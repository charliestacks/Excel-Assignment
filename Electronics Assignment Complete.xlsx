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Administrator\Documents\LUXDEV_ASSIGNMENTSANDPROJECTS\"/>
    </mc:Choice>
  </mc:AlternateContent>
  <xr:revisionPtr revIDLastSave="0" documentId="13_ncr:1_{D797725A-6884-4BE1-A384-C589962C4C74}" xr6:coauthVersionLast="47" xr6:coauthVersionMax="47" xr10:uidLastSave="{00000000-0000-0000-0000-000000000000}"/>
  <bookViews>
    <workbookView xWindow="-108" yWindow="-108" windowWidth="23256" windowHeight="12456" firstSheet="6" activeTab="6" xr2:uid="{00000000-000D-0000-FFFF-FFFF00000000}"/>
  </bookViews>
  <sheets>
    <sheet name="Data" sheetId="1" r:id="rId1"/>
    <sheet name="Working Sheet" sheetId="3" r:id="rId2"/>
    <sheet name="Brief" sheetId="2" r:id="rId3"/>
    <sheet name="Cleaning Documentation" sheetId="5" r:id="rId4"/>
    <sheet name="CountryFirstMonth" sheetId="7" r:id="rId5"/>
    <sheet name="ABC Classification" sheetId="9" r:id="rId6"/>
    <sheet name="SalespersonProdPivot" sheetId="13" r:id="rId7"/>
    <sheet name="Salesperson" sheetId="10" r:id="rId8"/>
    <sheet name="Cannibalization" sheetId="14" r:id="rId9"/>
    <sheet name="MeetingTarget" sheetId="12" r:id="rId10"/>
    <sheet name="PriceCompliance" sheetId="16" r:id="rId11"/>
    <sheet name="WhatIf" sheetId="17" r:id="rId12"/>
    <sheet name="Scenario_Results" sheetId="18" r:id="rId13"/>
    <sheet name="PivotTables" sheetId="20" r:id="rId14"/>
    <sheet name="Dashboard" sheetId="19" r:id="rId15"/>
    <sheet name="Insights" sheetId="21" r:id="rId16"/>
  </sheets>
  <definedNames>
    <definedName name="_xlnm._FilterDatabase" localSheetId="5" hidden="1">'ABC Classification'!$A$1:$G$639</definedName>
    <definedName name="_xlnm._FilterDatabase" localSheetId="0" hidden="1">Data!$A$1:$O$633</definedName>
    <definedName name="_xlnm._FilterDatabase" localSheetId="1" hidden="1">'Working Sheet'!$A$1:$AI$635</definedName>
    <definedName name="Slicer_Channel">#N/A</definedName>
    <definedName name="Slicer_Country">#N/A</definedName>
    <definedName name="Slicer_Months__OrderDate">#N/A</definedName>
    <definedName name="Slicer_ProductCategory">#N/A</definedName>
    <definedName name="Slicer_Region">#N/A</definedName>
    <definedName name="Slicer_Salesperson">#N/A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8" l="1"/>
  <c r="B4" i="18"/>
  <c r="C2" i="18"/>
  <c r="B2" i="18"/>
  <c r="B3" i="18"/>
  <c r="C3" i="18"/>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D2" i="9"/>
  <c r="K2" i="3"/>
  <c r="R2" i="3" s="1"/>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E30" i="10"/>
  <c r="F31" i="10"/>
  <c r="F32" i="10"/>
  <c r="F33" i="10"/>
  <c r="F34" i="10"/>
  <c r="F35" i="10"/>
  <c r="F36" i="10"/>
  <c r="F37" i="10"/>
  <c r="F38" i="10"/>
  <c r="F39" i="10"/>
  <c r="F40" i="10"/>
  <c r="F41" i="10"/>
  <c r="F42" i="10"/>
  <c r="F43" i="10"/>
  <c r="F44" i="10"/>
  <c r="F45" i="10"/>
  <c r="F30" i="10"/>
  <c r="E31" i="10"/>
  <c r="E32" i="10"/>
  <c r="E33" i="10"/>
  <c r="E34" i="10"/>
  <c r="E35" i="10"/>
  <c r="E36" i="10"/>
  <c r="E37" i="10"/>
  <c r="E38" i="10"/>
  <c r="E39" i="10"/>
  <c r="E40" i="10"/>
  <c r="E41" i="10"/>
  <c r="E42" i="10"/>
  <c r="E43" i="10"/>
  <c r="E44" i="10"/>
  <c r="E45" i="10"/>
  <c r="E82" i="9"/>
  <c r="D49" i="9"/>
  <c r="D70" i="9"/>
  <c r="D48" i="9"/>
  <c r="D30" i="9"/>
  <c r="D38" i="9"/>
  <c r="D12" i="9"/>
  <c r="D64" i="9"/>
  <c r="D63" i="9"/>
  <c r="D43" i="9"/>
  <c r="D13" i="9"/>
  <c r="D61" i="9"/>
  <c r="D21" i="9"/>
  <c r="D88" i="9"/>
  <c r="D28" i="9"/>
  <c r="D75" i="9"/>
  <c r="D53" i="9"/>
  <c r="D69" i="9"/>
  <c r="D37" i="9"/>
  <c r="D50" i="9"/>
  <c r="D55" i="9"/>
  <c r="D58" i="9"/>
  <c r="D45" i="9"/>
  <c r="D3" i="9"/>
  <c r="D81" i="9"/>
  <c r="D66" i="9"/>
  <c r="D20" i="9"/>
  <c r="D84" i="9"/>
  <c r="D51" i="9"/>
  <c r="D34" i="9"/>
  <c r="D86" i="9"/>
  <c r="D62" i="9"/>
  <c r="D26" i="9"/>
  <c r="D22" i="9"/>
  <c r="D67" i="9"/>
  <c r="D65" i="9"/>
  <c r="D47" i="9"/>
  <c r="D52" i="9"/>
  <c r="D76" i="9"/>
  <c r="D46" i="9"/>
  <c r="D27" i="9"/>
  <c r="D7" i="9"/>
  <c r="D80" i="9"/>
  <c r="D74" i="9"/>
  <c r="D15" i="9"/>
  <c r="D83" i="9"/>
  <c r="D54" i="9"/>
  <c r="D71" i="9"/>
  <c r="D33" i="9"/>
  <c r="D24" i="9"/>
  <c r="D9" i="9"/>
  <c r="D85" i="9"/>
  <c r="D59" i="9"/>
  <c r="D16" i="9"/>
  <c r="D42" i="9"/>
  <c r="D72" i="9"/>
  <c r="D14" i="9"/>
  <c r="D35" i="9"/>
  <c r="D40" i="9"/>
  <c r="D17" i="9"/>
  <c r="D89" i="9"/>
  <c r="D77" i="9"/>
  <c r="D11" i="9"/>
  <c r="D44" i="9"/>
  <c r="D41" i="9"/>
  <c r="D79" i="9"/>
  <c r="D39" i="9"/>
  <c r="D8" i="9"/>
  <c r="D57" i="9"/>
  <c r="D32" i="9"/>
  <c r="D68" i="9"/>
  <c r="D6" i="9"/>
  <c r="D78" i="9"/>
  <c r="D73" i="9"/>
  <c r="D19" i="9"/>
  <c r="D36" i="9"/>
  <c r="D56" i="9"/>
  <c r="D29" i="9"/>
  <c r="D25" i="9"/>
  <c r="D31" i="9"/>
  <c r="D10" i="9"/>
  <c r="D4" i="9"/>
  <c r="D23" i="9"/>
  <c r="D5" i="9"/>
  <c r="D60" i="9"/>
  <c r="D18" i="9"/>
  <c r="D87" i="9"/>
  <c r="D149" i="9"/>
  <c r="D167" i="9"/>
  <c r="D99" i="9"/>
  <c r="D125" i="9"/>
  <c r="D155" i="9"/>
  <c r="D168" i="9"/>
  <c r="D129" i="9"/>
  <c r="D103" i="9"/>
  <c r="D179" i="9"/>
  <c r="D97" i="9"/>
  <c r="D124" i="9"/>
  <c r="D92" i="9"/>
  <c r="D95" i="9"/>
  <c r="D169" i="9"/>
  <c r="D156" i="9"/>
  <c r="D153" i="9"/>
  <c r="D126" i="9"/>
  <c r="D109" i="9"/>
  <c r="D172" i="9"/>
  <c r="D158" i="9"/>
  <c r="D105" i="9"/>
  <c r="D164" i="9"/>
  <c r="D119" i="9"/>
  <c r="D110" i="9"/>
  <c r="D159" i="9"/>
  <c r="D139" i="9"/>
  <c r="D93" i="9"/>
  <c r="D143" i="9"/>
  <c r="D111" i="9"/>
  <c r="D91" i="9"/>
  <c r="D120" i="9"/>
  <c r="D144" i="9"/>
  <c r="D107" i="9"/>
  <c r="D132" i="9"/>
  <c r="D157" i="9"/>
  <c r="D113" i="9"/>
  <c r="D104" i="9"/>
  <c r="D117" i="9"/>
  <c r="D177" i="9"/>
  <c r="D130" i="9"/>
  <c r="D96" i="9"/>
  <c r="D145" i="9"/>
  <c r="D166" i="9"/>
  <c r="D162" i="9"/>
  <c r="D141" i="9"/>
  <c r="D136" i="9"/>
  <c r="D152" i="9"/>
  <c r="D173" i="9"/>
  <c r="D170" i="9"/>
  <c r="D114" i="9"/>
  <c r="D147" i="9"/>
  <c r="D123" i="9"/>
  <c r="D121" i="9"/>
  <c r="D174" i="9"/>
  <c r="D142" i="9"/>
  <c r="D102" i="9"/>
  <c r="D165" i="9"/>
  <c r="D100" i="9"/>
  <c r="D171" i="9"/>
  <c r="D112" i="9"/>
  <c r="D131" i="9"/>
  <c r="D138" i="9"/>
  <c r="D176" i="9"/>
  <c r="D101" i="9"/>
  <c r="D115" i="9"/>
  <c r="D161" i="9"/>
  <c r="D151" i="9"/>
  <c r="D140" i="9"/>
  <c r="D133" i="9"/>
  <c r="D118" i="9"/>
  <c r="D98" i="9"/>
  <c r="D134" i="9"/>
  <c r="D94" i="9"/>
  <c r="D154" i="9"/>
  <c r="D128" i="9"/>
  <c r="D127" i="9"/>
  <c r="D160" i="9"/>
  <c r="D135" i="9"/>
  <c r="D116" i="9"/>
  <c r="D148" i="9"/>
  <c r="D146" i="9"/>
  <c r="D137" i="9"/>
  <c r="D163" i="9"/>
  <c r="D90" i="9"/>
  <c r="D108" i="9"/>
  <c r="D178" i="9"/>
  <c r="D106" i="9"/>
  <c r="D122" i="9"/>
  <c r="D150" i="9"/>
  <c r="D175" i="9"/>
  <c r="D257" i="9"/>
  <c r="D189" i="9"/>
  <c r="D188" i="9"/>
  <c r="D222" i="9"/>
  <c r="D228" i="9"/>
  <c r="D208" i="9"/>
  <c r="D241" i="9"/>
  <c r="D185" i="9"/>
  <c r="D235" i="9"/>
  <c r="D253" i="9"/>
  <c r="D212" i="9"/>
  <c r="D230" i="9"/>
  <c r="D258" i="9"/>
  <c r="D236" i="9"/>
  <c r="D234" i="9"/>
  <c r="D206" i="9"/>
  <c r="D254" i="9"/>
  <c r="D251" i="9"/>
  <c r="D260" i="9"/>
  <c r="D193" i="9"/>
  <c r="D255" i="9"/>
  <c r="D192" i="9"/>
  <c r="D201" i="9"/>
  <c r="D191" i="9"/>
  <c r="D252" i="9"/>
  <c r="D214" i="9"/>
  <c r="D226" i="9"/>
  <c r="D202" i="9"/>
  <c r="D256" i="9"/>
  <c r="D181" i="9"/>
  <c r="D232" i="9"/>
  <c r="D190" i="9"/>
  <c r="D243" i="9"/>
  <c r="D233" i="9"/>
  <c r="D244" i="9"/>
  <c r="D223" i="9"/>
  <c r="D194" i="9"/>
  <c r="D240" i="9"/>
  <c r="D242" i="9"/>
  <c r="D209" i="9"/>
  <c r="D204" i="9"/>
  <c r="D239" i="9"/>
  <c r="D229" i="9"/>
  <c r="D213" i="9"/>
  <c r="D249" i="9"/>
  <c r="D183" i="9"/>
  <c r="D216" i="9"/>
  <c r="D207" i="9"/>
  <c r="D184" i="9"/>
  <c r="D221" i="9"/>
  <c r="D224" i="9"/>
  <c r="D199" i="9"/>
  <c r="D246" i="9"/>
  <c r="D237" i="9"/>
  <c r="D196" i="9"/>
  <c r="D225" i="9"/>
  <c r="D259" i="9"/>
  <c r="D220" i="9"/>
  <c r="D187" i="9"/>
  <c r="D197" i="9"/>
  <c r="D245" i="9"/>
  <c r="D203" i="9"/>
  <c r="D248" i="9"/>
  <c r="D182" i="9"/>
  <c r="D215" i="9"/>
  <c r="D219" i="9"/>
  <c r="D210" i="9"/>
  <c r="D250" i="9"/>
  <c r="D195" i="9"/>
  <c r="D186" i="9"/>
  <c r="D180" i="9"/>
  <c r="D231" i="9"/>
  <c r="D200" i="9"/>
  <c r="D211" i="9"/>
  <c r="D198" i="9"/>
  <c r="D218" i="9"/>
  <c r="D238" i="9"/>
  <c r="D205" i="9"/>
  <c r="D247" i="9"/>
  <c r="D217" i="9"/>
  <c r="D227" i="9"/>
  <c r="D280" i="9"/>
  <c r="D282" i="9"/>
  <c r="D332" i="9"/>
  <c r="D321" i="9"/>
  <c r="D328" i="9"/>
  <c r="D318" i="9"/>
  <c r="D334" i="9"/>
  <c r="D279" i="9"/>
  <c r="D353" i="9"/>
  <c r="D299" i="9"/>
  <c r="D302" i="9"/>
  <c r="D262" i="9"/>
  <c r="D313" i="9"/>
  <c r="D316" i="9"/>
  <c r="D310" i="9"/>
  <c r="D342" i="9"/>
  <c r="D283" i="9"/>
  <c r="D349" i="9"/>
  <c r="D326" i="9"/>
  <c r="D348" i="9"/>
  <c r="D325" i="9"/>
  <c r="D305" i="9"/>
  <c r="D277" i="9"/>
  <c r="D275" i="9"/>
  <c r="D298" i="9"/>
  <c r="D352" i="9"/>
  <c r="D300" i="9"/>
  <c r="D285" i="9"/>
  <c r="D331" i="9"/>
  <c r="D308" i="9"/>
  <c r="D347" i="9"/>
  <c r="D314" i="9"/>
  <c r="D291" i="9"/>
  <c r="D343" i="9"/>
  <c r="D338" i="9"/>
  <c r="D350" i="9"/>
  <c r="D288" i="9"/>
  <c r="D270" i="9"/>
  <c r="D301" i="9"/>
  <c r="D287" i="9"/>
  <c r="D271" i="9"/>
  <c r="D281" i="9"/>
  <c r="D317" i="9"/>
  <c r="D319" i="9"/>
  <c r="D264" i="9"/>
  <c r="D330" i="9"/>
  <c r="D322" i="9"/>
  <c r="D346" i="9"/>
  <c r="D266" i="9"/>
  <c r="D289" i="9"/>
  <c r="D354" i="9"/>
  <c r="D312" i="9"/>
  <c r="D320" i="9"/>
  <c r="D292" i="9"/>
  <c r="D315" i="9"/>
  <c r="D296" i="9"/>
  <c r="D293" i="9"/>
  <c r="D306" i="9"/>
  <c r="D273" i="9"/>
  <c r="D272" i="9"/>
  <c r="D263" i="9"/>
  <c r="D297" i="9"/>
  <c r="D284" i="9"/>
  <c r="D295" i="9"/>
  <c r="D261" i="9"/>
  <c r="D307" i="9"/>
  <c r="D329" i="9"/>
  <c r="D344" i="9"/>
  <c r="D311" i="9"/>
  <c r="D323" i="9"/>
  <c r="D294" i="9"/>
  <c r="D337" i="9"/>
  <c r="D345" i="9"/>
  <c r="D276" i="9"/>
  <c r="D333" i="9"/>
  <c r="D309" i="9"/>
  <c r="D335" i="9"/>
  <c r="D340" i="9"/>
  <c r="D269" i="9"/>
  <c r="D274" i="9"/>
  <c r="D341" i="9"/>
  <c r="D278" i="9"/>
  <c r="D336" i="9"/>
  <c r="D324" i="9"/>
  <c r="D304" i="9"/>
  <c r="D327" i="9"/>
  <c r="D351" i="9"/>
  <c r="D303" i="9"/>
  <c r="D290" i="9"/>
  <c r="D339" i="9"/>
  <c r="D265" i="9"/>
  <c r="D268" i="9"/>
  <c r="D286" i="9"/>
  <c r="D267" i="9"/>
  <c r="D382" i="9"/>
  <c r="D437" i="9"/>
  <c r="D377" i="9"/>
  <c r="D360" i="9"/>
  <c r="D398" i="9"/>
  <c r="D403" i="9"/>
  <c r="D358" i="9"/>
  <c r="D378" i="9"/>
  <c r="D367" i="9"/>
  <c r="D421" i="9"/>
  <c r="D435" i="9"/>
  <c r="D408" i="9"/>
  <c r="D366" i="9"/>
  <c r="D414" i="9"/>
  <c r="D375" i="9"/>
  <c r="D355" i="9"/>
  <c r="D381" i="9"/>
  <c r="D429" i="9"/>
  <c r="D374" i="9"/>
  <c r="D428" i="9"/>
  <c r="D405" i="9"/>
  <c r="D425" i="9"/>
  <c r="D383" i="9"/>
  <c r="D422" i="9"/>
  <c r="D434" i="9"/>
  <c r="D387" i="9"/>
  <c r="D390" i="9"/>
  <c r="D413" i="9"/>
  <c r="D365" i="9"/>
  <c r="D396" i="9"/>
  <c r="D393" i="9"/>
  <c r="D424" i="9"/>
  <c r="D399" i="9"/>
  <c r="D364" i="9"/>
  <c r="D362" i="9"/>
  <c r="D391" i="9"/>
  <c r="D392" i="9"/>
  <c r="D406" i="9"/>
  <c r="D440" i="9"/>
  <c r="D380" i="9"/>
  <c r="D417" i="9"/>
  <c r="D379" i="9"/>
  <c r="D361" i="9"/>
  <c r="D359" i="9"/>
  <c r="D368" i="9"/>
  <c r="D401" i="9"/>
  <c r="D370" i="9"/>
  <c r="D432" i="9"/>
  <c r="D389" i="9"/>
  <c r="D373" i="9"/>
  <c r="D357" i="9"/>
  <c r="D423" i="9"/>
  <c r="D356" i="9"/>
  <c r="D395" i="9"/>
  <c r="D363" i="9"/>
  <c r="D436" i="9"/>
  <c r="D404" i="9"/>
  <c r="D369" i="9"/>
  <c r="D433" i="9"/>
  <c r="D416" i="9"/>
  <c r="D376" i="9"/>
  <c r="D384" i="9"/>
  <c r="D388" i="9"/>
  <c r="D394" i="9"/>
  <c r="D419" i="9"/>
  <c r="D410" i="9"/>
  <c r="D407" i="9"/>
  <c r="D431" i="9"/>
  <c r="D412" i="9"/>
  <c r="D397" i="9"/>
  <c r="D400" i="9"/>
  <c r="D430" i="9"/>
  <c r="D418" i="9"/>
  <c r="D426" i="9"/>
  <c r="D402" i="9"/>
  <c r="D371" i="9"/>
  <c r="D411" i="9"/>
  <c r="D415" i="9"/>
  <c r="D372" i="9"/>
  <c r="D409" i="9"/>
  <c r="D427" i="9"/>
  <c r="D438" i="9"/>
  <c r="D385" i="9"/>
  <c r="D420" i="9"/>
  <c r="D386" i="9"/>
  <c r="D439" i="9"/>
  <c r="D490" i="9"/>
  <c r="D448" i="9"/>
  <c r="D522" i="9"/>
  <c r="D519" i="9"/>
  <c r="D462" i="9"/>
  <c r="D494" i="9"/>
  <c r="D513" i="9"/>
  <c r="D452" i="9"/>
  <c r="D505" i="9"/>
  <c r="D461" i="9"/>
  <c r="D474" i="9"/>
  <c r="D514" i="9"/>
  <c r="D463" i="9"/>
  <c r="D481" i="9"/>
  <c r="D501" i="9"/>
  <c r="D507" i="9"/>
  <c r="D502" i="9"/>
  <c r="D455" i="9"/>
  <c r="D515" i="9"/>
  <c r="D523" i="9"/>
  <c r="D500" i="9"/>
  <c r="D470" i="9"/>
  <c r="D477" i="9"/>
  <c r="D487" i="9"/>
  <c r="D472" i="9"/>
  <c r="D491" i="9"/>
  <c r="D528" i="9"/>
  <c r="D524" i="9"/>
  <c r="D508" i="9"/>
  <c r="D475" i="9"/>
  <c r="D480" i="9"/>
  <c r="D517" i="9"/>
  <c r="D521" i="9"/>
  <c r="D504" i="9"/>
  <c r="D464" i="9"/>
  <c r="D443" i="9"/>
  <c r="D483" i="9"/>
  <c r="D453" i="9"/>
  <c r="D516" i="9"/>
  <c r="D460" i="9"/>
  <c r="D446" i="9"/>
  <c r="D486" i="9"/>
  <c r="D497" i="9"/>
  <c r="D526" i="9"/>
  <c r="D509" i="9"/>
  <c r="D496" i="9"/>
  <c r="D484" i="9"/>
  <c r="D445" i="9"/>
  <c r="D468" i="9"/>
  <c r="D506" i="9"/>
  <c r="D451" i="9"/>
  <c r="D493" i="9"/>
  <c r="D518" i="9"/>
  <c r="D492" i="9"/>
  <c r="D469" i="9"/>
  <c r="D512" i="9"/>
  <c r="D449" i="9"/>
  <c r="D511" i="9"/>
  <c r="D471" i="9"/>
  <c r="D503" i="9"/>
  <c r="D489" i="9"/>
  <c r="D482" i="9"/>
  <c r="D467" i="9"/>
  <c r="D457" i="9"/>
  <c r="D444" i="9"/>
  <c r="D499" i="9"/>
  <c r="D458" i="9"/>
  <c r="D527" i="9"/>
  <c r="D476" i="9"/>
  <c r="D454" i="9"/>
  <c r="D510" i="9"/>
  <c r="D495" i="9"/>
  <c r="D485" i="9"/>
  <c r="D488" i="9"/>
  <c r="D442" i="9"/>
  <c r="D478" i="9"/>
  <c r="D520" i="9"/>
  <c r="D450" i="9"/>
  <c r="D447" i="9"/>
  <c r="D459" i="9"/>
  <c r="D525" i="9"/>
  <c r="D498" i="9"/>
  <c r="D479" i="9"/>
  <c r="D456" i="9"/>
  <c r="D465" i="9"/>
  <c r="D473" i="9"/>
  <c r="D441" i="9"/>
  <c r="D466" i="9"/>
  <c r="D582" i="9"/>
  <c r="D566" i="9"/>
  <c r="D619" i="9"/>
  <c r="D621" i="9"/>
  <c r="D548" i="9"/>
  <c r="D575" i="9"/>
  <c r="D546" i="9"/>
  <c r="D541" i="9"/>
  <c r="D580" i="9"/>
  <c r="D529" i="9"/>
  <c r="D598" i="9"/>
  <c r="D553" i="9"/>
  <c r="D622" i="9"/>
  <c r="D556" i="9"/>
  <c r="D564" i="9"/>
  <c r="D535" i="9"/>
  <c r="D576" i="9"/>
  <c r="D532" i="9"/>
  <c r="D573" i="9"/>
  <c r="D596" i="9"/>
  <c r="D591" i="9"/>
  <c r="D547" i="9"/>
  <c r="D550" i="9"/>
  <c r="D603" i="9"/>
  <c r="D597" i="9"/>
  <c r="D544" i="9"/>
  <c r="D565" i="9"/>
  <c r="D574" i="9"/>
  <c r="D606" i="9"/>
  <c r="D623" i="9"/>
  <c r="D604" i="9"/>
  <c r="D578" i="9"/>
  <c r="D625" i="9"/>
  <c r="D570" i="9"/>
  <c r="D588" i="9"/>
  <c r="D599" i="9"/>
  <c r="D542" i="9"/>
  <c r="D618" i="9"/>
  <c r="D577" i="9"/>
  <c r="D601" i="9"/>
  <c r="D557" i="9"/>
  <c r="D560" i="9"/>
  <c r="D540" i="9"/>
  <c r="D610" i="9"/>
  <c r="D607" i="9"/>
  <c r="D602" i="9"/>
  <c r="D568" i="9"/>
  <c r="D584" i="9"/>
  <c r="D537" i="9"/>
  <c r="D629" i="9"/>
  <c r="D620" i="9"/>
  <c r="D562" i="9"/>
  <c r="D600" i="9"/>
  <c r="D551" i="9"/>
  <c r="D616" i="9"/>
  <c r="D630" i="9"/>
  <c r="D538" i="9"/>
  <c r="D567" i="9"/>
  <c r="D536" i="9"/>
  <c r="D592" i="9"/>
  <c r="D631" i="9"/>
  <c r="D530" i="9"/>
  <c r="D628" i="9"/>
  <c r="D587" i="9"/>
  <c r="D589" i="9"/>
  <c r="D617" i="9"/>
  <c r="D572" i="9"/>
  <c r="D571" i="9"/>
  <c r="D593" i="9"/>
  <c r="D549" i="9"/>
  <c r="D615" i="9"/>
  <c r="D531" i="9"/>
  <c r="D595" i="9"/>
  <c r="D539" i="9"/>
  <c r="D545" i="9"/>
  <c r="D569" i="9"/>
  <c r="D613" i="9"/>
  <c r="D563" i="9"/>
  <c r="D611" i="9"/>
  <c r="D624" i="9"/>
  <c r="D581" i="9"/>
  <c r="D608" i="9"/>
  <c r="D612" i="9"/>
  <c r="D555" i="9"/>
  <c r="D605" i="9"/>
  <c r="D614" i="9"/>
  <c r="D579" i="9"/>
  <c r="D627" i="9"/>
  <c r="D590" i="9"/>
  <c r="D534" i="9"/>
  <c r="D586" i="9"/>
  <c r="D561" i="9"/>
  <c r="D552" i="9"/>
  <c r="D585" i="9"/>
  <c r="D533" i="9"/>
  <c r="D554" i="9"/>
  <c r="D543" i="9"/>
  <c r="D559" i="9"/>
  <c r="D583" i="9"/>
  <c r="D594" i="9"/>
  <c r="D609" i="9"/>
  <c r="D626" i="9"/>
  <c r="D558" i="9"/>
  <c r="D82" i="9"/>
  <c r="K3" i="3"/>
  <c r="K4" i="3"/>
  <c r="K5" i="3"/>
  <c r="K6" i="3"/>
  <c r="K7" i="3"/>
  <c r="K8" i="3"/>
  <c r="K9" i="3"/>
  <c r="R9" i="3" s="1"/>
  <c r="K10" i="3"/>
  <c r="K11" i="3"/>
  <c r="J11" i="3" s="1"/>
  <c r="K12" i="3"/>
  <c r="K13" i="3"/>
  <c r="K14" i="3"/>
  <c r="K15" i="3"/>
  <c r="K16" i="3"/>
  <c r="K17" i="3"/>
  <c r="R17" i="3" s="1"/>
  <c r="K18" i="3"/>
  <c r="K19" i="3"/>
  <c r="J19" i="3" s="1"/>
  <c r="K20" i="3"/>
  <c r="K21" i="3"/>
  <c r="K22" i="3"/>
  <c r="K23" i="3"/>
  <c r="K24" i="3"/>
  <c r="K25" i="3"/>
  <c r="R25" i="3" s="1"/>
  <c r="K26" i="3"/>
  <c r="K27" i="3"/>
  <c r="J27" i="3" s="1"/>
  <c r="K28" i="3"/>
  <c r="K29" i="3"/>
  <c r="K30" i="3"/>
  <c r="K31" i="3"/>
  <c r="K32" i="3"/>
  <c r="K33" i="3"/>
  <c r="R33" i="3" s="1"/>
  <c r="K34" i="3"/>
  <c r="K35" i="3"/>
  <c r="J35" i="3" s="1"/>
  <c r="K36" i="3"/>
  <c r="K37" i="3"/>
  <c r="K38" i="3"/>
  <c r="K39" i="3"/>
  <c r="K40" i="3"/>
  <c r="K41" i="3"/>
  <c r="R41" i="3" s="1"/>
  <c r="K42" i="3"/>
  <c r="K43" i="3"/>
  <c r="J43" i="3" s="1"/>
  <c r="K44" i="3"/>
  <c r="K45" i="3"/>
  <c r="K46" i="3"/>
  <c r="K47" i="3"/>
  <c r="K48" i="3"/>
  <c r="K49" i="3"/>
  <c r="R49" i="3" s="1"/>
  <c r="K50" i="3"/>
  <c r="R50" i="3" s="1"/>
  <c r="K51" i="3"/>
  <c r="R51" i="3" s="1"/>
  <c r="K52" i="3"/>
  <c r="R52" i="3" s="1"/>
  <c r="K53" i="3"/>
  <c r="R53" i="3" s="1"/>
  <c r="K54" i="3"/>
  <c r="R54" i="3" s="1"/>
  <c r="K55" i="3"/>
  <c r="R55" i="3" s="1"/>
  <c r="K56" i="3"/>
  <c r="R56" i="3" s="1"/>
  <c r="K57" i="3"/>
  <c r="R57" i="3" s="1"/>
  <c r="K58" i="3"/>
  <c r="R58" i="3" s="1"/>
  <c r="K59" i="3"/>
  <c r="R59" i="3" s="1"/>
  <c r="K60" i="3"/>
  <c r="R60" i="3" s="1"/>
  <c r="K61" i="3"/>
  <c r="R61" i="3" s="1"/>
  <c r="K62" i="3"/>
  <c r="R62" i="3" s="1"/>
  <c r="K63" i="3"/>
  <c r="R63" i="3" s="1"/>
  <c r="K64" i="3"/>
  <c r="R64" i="3" s="1"/>
  <c r="K65" i="3"/>
  <c r="R65" i="3" s="1"/>
  <c r="K66" i="3"/>
  <c r="R66" i="3" s="1"/>
  <c r="K67" i="3"/>
  <c r="J67" i="3" s="1"/>
  <c r="K68" i="3"/>
  <c r="R68" i="3" s="1"/>
  <c r="K69" i="3"/>
  <c r="R69" i="3" s="1"/>
  <c r="K70" i="3"/>
  <c r="R70" i="3" s="1"/>
  <c r="K71" i="3"/>
  <c r="R71" i="3" s="1"/>
  <c r="K72" i="3"/>
  <c r="R72" i="3" s="1"/>
  <c r="K73" i="3"/>
  <c r="R73" i="3" s="1"/>
  <c r="K74" i="3"/>
  <c r="R74" i="3" s="1"/>
  <c r="K75" i="3"/>
  <c r="J75" i="3" s="1"/>
  <c r="K76" i="3"/>
  <c r="R76" i="3" s="1"/>
  <c r="K77" i="3"/>
  <c r="R77" i="3" s="1"/>
  <c r="K78" i="3"/>
  <c r="R78" i="3" s="1"/>
  <c r="K79" i="3"/>
  <c r="R79" i="3" s="1"/>
  <c r="K80" i="3"/>
  <c r="R80" i="3" s="1"/>
  <c r="K81" i="3"/>
  <c r="R81" i="3" s="1"/>
  <c r="K82" i="3"/>
  <c r="R82" i="3" s="1"/>
  <c r="K83" i="3"/>
  <c r="R83" i="3" s="1"/>
  <c r="K84" i="3"/>
  <c r="R84" i="3" s="1"/>
  <c r="K85" i="3"/>
  <c r="R85" i="3" s="1"/>
  <c r="K86" i="3"/>
  <c r="R86" i="3" s="1"/>
  <c r="K87" i="3"/>
  <c r="R87" i="3" s="1"/>
  <c r="K88" i="3"/>
  <c r="R88" i="3" s="1"/>
  <c r="K89" i="3"/>
  <c r="R89" i="3" s="1"/>
  <c r="K90" i="3"/>
  <c r="R90" i="3" s="1"/>
  <c r="K91" i="3"/>
  <c r="R91" i="3" s="1"/>
  <c r="K92" i="3"/>
  <c r="R92" i="3" s="1"/>
  <c r="K93" i="3"/>
  <c r="R93" i="3" s="1"/>
  <c r="K94" i="3"/>
  <c r="R94" i="3" s="1"/>
  <c r="K95" i="3"/>
  <c r="R95" i="3" s="1"/>
  <c r="K96" i="3"/>
  <c r="R96" i="3" s="1"/>
  <c r="K97" i="3"/>
  <c r="R97" i="3" s="1"/>
  <c r="K98" i="3"/>
  <c r="R98" i="3" s="1"/>
  <c r="K99" i="3"/>
  <c r="R99" i="3" s="1"/>
  <c r="K100" i="3"/>
  <c r="R100" i="3" s="1"/>
  <c r="K101" i="3"/>
  <c r="R101" i="3" s="1"/>
  <c r="K102" i="3"/>
  <c r="R102" i="3" s="1"/>
  <c r="K103" i="3"/>
  <c r="R103" i="3" s="1"/>
  <c r="K104" i="3"/>
  <c r="R104" i="3" s="1"/>
  <c r="K105" i="3"/>
  <c r="R105" i="3" s="1"/>
  <c r="K106" i="3"/>
  <c r="R106" i="3" s="1"/>
  <c r="K107" i="3"/>
  <c r="R107" i="3" s="1"/>
  <c r="K108" i="3"/>
  <c r="R108" i="3" s="1"/>
  <c r="K109" i="3"/>
  <c r="R109" i="3" s="1"/>
  <c r="K110" i="3"/>
  <c r="R110" i="3" s="1"/>
  <c r="K111" i="3"/>
  <c r="R111" i="3" s="1"/>
  <c r="K112" i="3"/>
  <c r="R112" i="3" s="1"/>
  <c r="K113" i="3"/>
  <c r="R113" i="3" s="1"/>
  <c r="K114" i="3"/>
  <c r="R114" i="3" s="1"/>
  <c r="K115" i="3"/>
  <c r="R115" i="3" s="1"/>
  <c r="K116" i="3"/>
  <c r="R116" i="3" s="1"/>
  <c r="K117" i="3"/>
  <c r="R117" i="3" s="1"/>
  <c r="K118" i="3"/>
  <c r="R118" i="3" s="1"/>
  <c r="K119" i="3"/>
  <c r="R119" i="3" s="1"/>
  <c r="K120" i="3"/>
  <c r="R120" i="3" s="1"/>
  <c r="K121" i="3"/>
  <c r="R121" i="3" s="1"/>
  <c r="K122" i="3"/>
  <c r="R122" i="3" s="1"/>
  <c r="K123" i="3"/>
  <c r="R123" i="3" s="1"/>
  <c r="K124" i="3"/>
  <c r="R124" i="3" s="1"/>
  <c r="K125" i="3"/>
  <c r="R125" i="3" s="1"/>
  <c r="K126" i="3"/>
  <c r="R126" i="3" s="1"/>
  <c r="K127" i="3"/>
  <c r="R127" i="3" s="1"/>
  <c r="K128" i="3"/>
  <c r="R128" i="3" s="1"/>
  <c r="K129" i="3"/>
  <c r="R129" i="3" s="1"/>
  <c r="K130" i="3"/>
  <c r="R130" i="3" s="1"/>
  <c r="K131" i="3"/>
  <c r="J131" i="3" s="1"/>
  <c r="K132" i="3"/>
  <c r="R132" i="3" s="1"/>
  <c r="K133" i="3"/>
  <c r="R133" i="3" s="1"/>
  <c r="K134" i="3"/>
  <c r="R134" i="3" s="1"/>
  <c r="K135" i="3"/>
  <c r="R135" i="3" s="1"/>
  <c r="K136" i="3"/>
  <c r="R136" i="3" s="1"/>
  <c r="K137" i="3"/>
  <c r="R137" i="3" s="1"/>
  <c r="K138" i="3"/>
  <c r="R138" i="3" s="1"/>
  <c r="K139" i="3"/>
  <c r="J139" i="3" s="1"/>
  <c r="K140" i="3"/>
  <c r="R140" i="3" s="1"/>
  <c r="K141" i="3"/>
  <c r="R141" i="3" s="1"/>
  <c r="K142" i="3"/>
  <c r="R142" i="3" s="1"/>
  <c r="K143" i="3"/>
  <c r="R143" i="3" s="1"/>
  <c r="K144" i="3"/>
  <c r="R144" i="3" s="1"/>
  <c r="K145" i="3"/>
  <c r="R145" i="3" s="1"/>
  <c r="K146" i="3"/>
  <c r="R146" i="3" s="1"/>
  <c r="K147" i="3"/>
  <c r="R147" i="3" s="1"/>
  <c r="K148" i="3"/>
  <c r="R148" i="3" s="1"/>
  <c r="K149" i="3"/>
  <c r="R149" i="3" s="1"/>
  <c r="K150" i="3"/>
  <c r="R150" i="3" s="1"/>
  <c r="K151" i="3"/>
  <c r="R151" i="3" s="1"/>
  <c r="K152" i="3"/>
  <c r="R152" i="3" s="1"/>
  <c r="K153" i="3"/>
  <c r="R153" i="3" s="1"/>
  <c r="K154" i="3"/>
  <c r="R154" i="3" s="1"/>
  <c r="K155" i="3"/>
  <c r="R155" i="3" s="1"/>
  <c r="K156" i="3"/>
  <c r="R156" i="3" s="1"/>
  <c r="K157" i="3"/>
  <c r="R157" i="3" s="1"/>
  <c r="K158" i="3"/>
  <c r="R158" i="3" s="1"/>
  <c r="K159" i="3"/>
  <c r="R159" i="3" s="1"/>
  <c r="K160" i="3"/>
  <c r="R160" i="3" s="1"/>
  <c r="K161" i="3"/>
  <c r="R161" i="3" s="1"/>
  <c r="K162" i="3"/>
  <c r="R162" i="3" s="1"/>
  <c r="K163" i="3"/>
  <c r="R163" i="3" s="1"/>
  <c r="K164" i="3"/>
  <c r="R164" i="3" s="1"/>
  <c r="K165" i="3"/>
  <c r="R165" i="3" s="1"/>
  <c r="K166" i="3"/>
  <c r="R166" i="3" s="1"/>
  <c r="K167" i="3"/>
  <c r="R167" i="3" s="1"/>
  <c r="K168" i="3"/>
  <c r="R168" i="3" s="1"/>
  <c r="K169" i="3"/>
  <c r="R169" i="3" s="1"/>
  <c r="K170" i="3"/>
  <c r="R170" i="3" s="1"/>
  <c r="K171" i="3"/>
  <c r="R171" i="3" s="1"/>
  <c r="K172" i="3"/>
  <c r="R172" i="3" s="1"/>
  <c r="K173" i="3"/>
  <c r="R173" i="3" s="1"/>
  <c r="K174" i="3"/>
  <c r="R174" i="3" s="1"/>
  <c r="K175" i="3"/>
  <c r="R175" i="3" s="1"/>
  <c r="K176" i="3"/>
  <c r="R176" i="3" s="1"/>
  <c r="K177" i="3"/>
  <c r="R177" i="3" s="1"/>
  <c r="K178" i="3"/>
  <c r="R178" i="3" s="1"/>
  <c r="K179" i="3"/>
  <c r="R179" i="3" s="1"/>
  <c r="K180" i="3"/>
  <c r="R180" i="3" s="1"/>
  <c r="K181" i="3"/>
  <c r="R181" i="3" s="1"/>
  <c r="K182" i="3"/>
  <c r="R182" i="3" s="1"/>
  <c r="K183" i="3"/>
  <c r="R183" i="3" s="1"/>
  <c r="K184" i="3"/>
  <c r="R184" i="3" s="1"/>
  <c r="K185" i="3"/>
  <c r="R185" i="3" s="1"/>
  <c r="K186" i="3"/>
  <c r="R186" i="3" s="1"/>
  <c r="K187" i="3"/>
  <c r="R187" i="3" s="1"/>
  <c r="K188" i="3"/>
  <c r="R188" i="3" s="1"/>
  <c r="K189" i="3"/>
  <c r="R189" i="3" s="1"/>
  <c r="K190" i="3"/>
  <c r="R190" i="3" s="1"/>
  <c r="K191" i="3"/>
  <c r="R191" i="3" s="1"/>
  <c r="K192" i="3"/>
  <c r="R192" i="3" s="1"/>
  <c r="K193" i="3"/>
  <c r="R193" i="3" s="1"/>
  <c r="K194" i="3"/>
  <c r="R194" i="3" s="1"/>
  <c r="K195" i="3"/>
  <c r="J195" i="3" s="1"/>
  <c r="K196" i="3"/>
  <c r="R196" i="3" s="1"/>
  <c r="K197" i="3"/>
  <c r="R197" i="3" s="1"/>
  <c r="K198" i="3"/>
  <c r="R198" i="3" s="1"/>
  <c r="K199" i="3"/>
  <c r="R199" i="3" s="1"/>
  <c r="K200" i="3"/>
  <c r="R200" i="3" s="1"/>
  <c r="K201" i="3"/>
  <c r="R201" i="3" s="1"/>
  <c r="K202" i="3"/>
  <c r="R202" i="3" s="1"/>
  <c r="K203" i="3"/>
  <c r="J203" i="3" s="1"/>
  <c r="K204" i="3"/>
  <c r="R204" i="3" s="1"/>
  <c r="K205" i="3"/>
  <c r="R205" i="3" s="1"/>
  <c r="K206" i="3"/>
  <c r="R206" i="3" s="1"/>
  <c r="K207" i="3"/>
  <c r="R207" i="3" s="1"/>
  <c r="K208" i="3"/>
  <c r="R208" i="3" s="1"/>
  <c r="K209" i="3"/>
  <c r="R209" i="3" s="1"/>
  <c r="K210" i="3"/>
  <c r="R210" i="3" s="1"/>
  <c r="K211" i="3"/>
  <c r="R211" i="3" s="1"/>
  <c r="K212" i="3"/>
  <c r="R212" i="3" s="1"/>
  <c r="K213" i="3"/>
  <c r="R213" i="3" s="1"/>
  <c r="K214" i="3"/>
  <c r="R214" i="3" s="1"/>
  <c r="K215" i="3"/>
  <c r="R215" i="3" s="1"/>
  <c r="K216" i="3"/>
  <c r="R216" i="3" s="1"/>
  <c r="K217" i="3"/>
  <c r="R217" i="3" s="1"/>
  <c r="K218" i="3"/>
  <c r="R218" i="3" s="1"/>
  <c r="K219" i="3"/>
  <c r="R219" i="3" s="1"/>
  <c r="K220" i="3"/>
  <c r="R220" i="3" s="1"/>
  <c r="K221" i="3"/>
  <c r="R221" i="3" s="1"/>
  <c r="K222" i="3"/>
  <c r="R222" i="3" s="1"/>
  <c r="K223" i="3"/>
  <c r="R223" i="3" s="1"/>
  <c r="K224" i="3"/>
  <c r="R224" i="3" s="1"/>
  <c r="K225" i="3"/>
  <c r="R225" i="3" s="1"/>
  <c r="K226" i="3"/>
  <c r="R226" i="3" s="1"/>
  <c r="K227" i="3"/>
  <c r="R227" i="3" s="1"/>
  <c r="K228" i="3"/>
  <c r="R228" i="3" s="1"/>
  <c r="K229" i="3"/>
  <c r="R229" i="3" s="1"/>
  <c r="K230" i="3"/>
  <c r="R230" i="3" s="1"/>
  <c r="K231" i="3"/>
  <c r="R231" i="3" s="1"/>
  <c r="K232" i="3"/>
  <c r="R232" i="3" s="1"/>
  <c r="K233" i="3"/>
  <c r="R233" i="3" s="1"/>
  <c r="K234" i="3"/>
  <c r="R234" i="3" s="1"/>
  <c r="K235" i="3"/>
  <c r="R235" i="3" s="1"/>
  <c r="K236" i="3"/>
  <c r="R236" i="3" s="1"/>
  <c r="K237" i="3"/>
  <c r="R237" i="3" s="1"/>
  <c r="K238" i="3"/>
  <c r="R238" i="3" s="1"/>
  <c r="K239" i="3"/>
  <c r="R239" i="3" s="1"/>
  <c r="K240" i="3"/>
  <c r="R240" i="3" s="1"/>
  <c r="K241" i="3"/>
  <c r="R241" i="3" s="1"/>
  <c r="K242" i="3"/>
  <c r="R242" i="3" s="1"/>
  <c r="K243" i="3"/>
  <c r="R243" i="3" s="1"/>
  <c r="K244" i="3"/>
  <c r="R244" i="3" s="1"/>
  <c r="K245" i="3"/>
  <c r="R245" i="3" s="1"/>
  <c r="K246" i="3"/>
  <c r="R246" i="3" s="1"/>
  <c r="K247" i="3"/>
  <c r="R247" i="3" s="1"/>
  <c r="K248" i="3"/>
  <c r="R248" i="3" s="1"/>
  <c r="K249" i="3"/>
  <c r="R249" i="3" s="1"/>
  <c r="K250" i="3"/>
  <c r="R250" i="3" s="1"/>
  <c r="K251" i="3"/>
  <c r="R251" i="3" s="1"/>
  <c r="K252" i="3"/>
  <c r="R252" i="3" s="1"/>
  <c r="K253" i="3"/>
  <c r="R253" i="3" s="1"/>
  <c r="K254" i="3"/>
  <c r="R254" i="3" s="1"/>
  <c r="K255" i="3"/>
  <c r="R255" i="3" s="1"/>
  <c r="K256" i="3"/>
  <c r="R256" i="3" s="1"/>
  <c r="K257" i="3"/>
  <c r="R257" i="3" s="1"/>
  <c r="K258" i="3"/>
  <c r="R258" i="3" s="1"/>
  <c r="K259" i="3"/>
  <c r="J259" i="3" s="1"/>
  <c r="K260" i="3"/>
  <c r="R260" i="3" s="1"/>
  <c r="K261" i="3"/>
  <c r="R261" i="3" s="1"/>
  <c r="K262" i="3"/>
  <c r="R262" i="3" s="1"/>
  <c r="K263" i="3"/>
  <c r="R263" i="3" s="1"/>
  <c r="K264" i="3"/>
  <c r="R264" i="3" s="1"/>
  <c r="K265" i="3"/>
  <c r="R265" i="3" s="1"/>
  <c r="K266" i="3"/>
  <c r="R266" i="3" s="1"/>
  <c r="K267" i="3"/>
  <c r="J267" i="3" s="1"/>
  <c r="K268" i="3"/>
  <c r="R268" i="3" s="1"/>
  <c r="K269" i="3"/>
  <c r="R269" i="3" s="1"/>
  <c r="K270" i="3"/>
  <c r="R270" i="3" s="1"/>
  <c r="K271" i="3"/>
  <c r="R271" i="3" s="1"/>
  <c r="K272" i="3"/>
  <c r="R272" i="3" s="1"/>
  <c r="K273" i="3"/>
  <c r="R273" i="3" s="1"/>
  <c r="K274" i="3"/>
  <c r="R274" i="3" s="1"/>
  <c r="K275" i="3"/>
  <c r="R275" i="3" s="1"/>
  <c r="K276" i="3"/>
  <c r="R276" i="3" s="1"/>
  <c r="K277" i="3"/>
  <c r="R277" i="3" s="1"/>
  <c r="K278" i="3"/>
  <c r="R278" i="3" s="1"/>
  <c r="K279" i="3"/>
  <c r="R279" i="3" s="1"/>
  <c r="K280" i="3"/>
  <c r="R280" i="3" s="1"/>
  <c r="K281" i="3"/>
  <c r="R281" i="3" s="1"/>
  <c r="K282" i="3"/>
  <c r="R282" i="3" s="1"/>
  <c r="K283" i="3"/>
  <c r="R283" i="3" s="1"/>
  <c r="K284" i="3"/>
  <c r="R284" i="3" s="1"/>
  <c r="K285" i="3"/>
  <c r="R285" i="3" s="1"/>
  <c r="K286" i="3"/>
  <c r="R286" i="3" s="1"/>
  <c r="K287" i="3"/>
  <c r="R287" i="3" s="1"/>
  <c r="K288" i="3"/>
  <c r="R288" i="3" s="1"/>
  <c r="K289" i="3"/>
  <c r="R289" i="3" s="1"/>
  <c r="K290" i="3"/>
  <c r="R290" i="3" s="1"/>
  <c r="K291" i="3"/>
  <c r="R291" i="3" s="1"/>
  <c r="K292" i="3"/>
  <c r="R292" i="3" s="1"/>
  <c r="K293" i="3"/>
  <c r="R293" i="3" s="1"/>
  <c r="K294" i="3"/>
  <c r="R294" i="3" s="1"/>
  <c r="K295" i="3"/>
  <c r="R295" i="3" s="1"/>
  <c r="K296" i="3"/>
  <c r="R296" i="3" s="1"/>
  <c r="K297" i="3"/>
  <c r="R297" i="3" s="1"/>
  <c r="K298" i="3"/>
  <c r="R298" i="3" s="1"/>
  <c r="K299" i="3"/>
  <c r="R299" i="3" s="1"/>
  <c r="K300" i="3"/>
  <c r="R300" i="3" s="1"/>
  <c r="K301" i="3"/>
  <c r="R301" i="3" s="1"/>
  <c r="K302" i="3"/>
  <c r="R302" i="3" s="1"/>
  <c r="K303" i="3"/>
  <c r="R303" i="3" s="1"/>
  <c r="K304" i="3"/>
  <c r="R304" i="3" s="1"/>
  <c r="K305" i="3"/>
  <c r="R305" i="3" s="1"/>
  <c r="K306" i="3"/>
  <c r="R306" i="3" s="1"/>
  <c r="K307" i="3"/>
  <c r="R307" i="3" s="1"/>
  <c r="K308" i="3"/>
  <c r="R308" i="3" s="1"/>
  <c r="K309" i="3"/>
  <c r="R309" i="3" s="1"/>
  <c r="K310" i="3"/>
  <c r="R310" i="3" s="1"/>
  <c r="K311" i="3"/>
  <c r="R311" i="3" s="1"/>
  <c r="K312" i="3"/>
  <c r="R312" i="3" s="1"/>
  <c r="K313" i="3"/>
  <c r="R313" i="3" s="1"/>
  <c r="K314" i="3"/>
  <c r="R314" i="3" s="1"/>
  <c r="K315" i="3"/>
  <c r="R315" i="3" s="1"/>
  <c r="K316" i="3"/>
  <c r="R316" i="3" s="1"/>
  <c r="K317" i="3"/>
  <c r="R317" i="3" s="1"/>
  <c r="K318" i="3"/>
  <c r="R318" i="3" s="1"/>
  <c r="K319" i="3"/>
  <c r="R319" i="3" s="1"/>
  <c r="K320" i="3"/>
  <c r="R320" i="3" s="1"/>
  <c r="K321" i="3"/>
  <c r="R321" i="3" s="1"/>
  <c r="K322" i="3"/>
  <c r="R322" i="3" s="1"/>
  <c r="K323" i="3"/>
  <c r="J323" i="3" s="1"/>
  <c r="K324" i="3"/>
  <c r="R324" i="3" s="1"/>
  <c r="K325" i="3"/>
  <c r="R325" i="3" s="1"/>
  <c r="K326" i="3"/>
  <c r="R326" i="3" s="1"/>
  <c r="K327" i="3"/>
  <c r="R327" i="3" s="1"/>
  <c r="K328" i="3"/>
  <c r="R328" i="3" s="1"/>
  <c r="K329" i="3"/>
  <c r="R329" i="3" s="1"/>
  <c r="K330" i="3"/>
  <c r="R330" i="3" s="1"/>
  <c r="K331" i="3"/>
  <c r="J331" i="3" s="1"/>
  <c r="K332" i="3"/>
  <c r="R332" i="3" s="1"/>
  <c r="K333" i="3"/>
  <c r="R333" i="3" s="1"/>
  <c r="K334" i="3"/>
  <c r="R334" i="3" s="1"/>
  <c r="K335" i="3"/>
  <c r="R335" i="3" s="1"/>
  <c r="K336" i="3"/>
  <c r="R336" i="3" s="1"/>
  <c r="K337" i="3"/>
  <c r="R337" i="3" s="1"/>
  <c r="K338" i="3"/>
  <c r="R338" i="3" s="1"/>
  <c r="K339" i="3"/>
  <c r="R339" i="3" s="1"/>
  <c r="K340" i="3"/>
  <c r="R340" i="3" s="1"/>
  <c r="K341" i="3"/>
  <c r="R341" i="3" s="1"/>
  <c r="K342" i="3"/>
  <c r="R342" i="3" s="1"/>
  <c r="K343" i="3"/>
  <c r="R343" i="3" s="1"/>
  <c r="K344" i="3"/>
  <c r="R344" i="3" s="1"/>
  <c r="K345" i="3"/>
  <c r="R345" i="3" s="1"/>
  <c r="K346" i="3"/>
  <c r="R346" i="3" s="1"/>
  <c r="K347" i="3"/>
  <c r="R347" i="3" s="1"/>
  <c r="K348" i="3"/>
  <c r="R348" i="3" s="1"/>
  <c r="K349" i="3"/>
  <c r="R349" i="3" s="1"/>
  <c r="K350" i="3"/>
  <c r="R350" i="3" s="1"/>
  <c r="K351" i="3"/>
  <c r="R351" i="3" s="1"/>
  <c r="K352" i="3"/>
  <c r="R352" i="3" s="1"/>
  <c r="K353" i="3"/>
  <c r="R353" i="3" s="1"/>
  <c r="K354" i="3"/>
  <c r="R354" i="3" s="1"/>
  <c r="K355" i="3"/>
  <c r="R355" i="3" s="1"/>
  <c r="K356" i="3"/>
  <c r="R356" i="3" s="1"/>
  <c r="K357" i="3"/>
  <c r="R357" i="3" s="1"/>
  <c r="K358" i="3"/>
  <c r="R358" i="3" s="1"/>
  <c r="K359" i="3"/>
  <c r="R359" i="3" s="1"/>
  <c r="K360" i="3"/>
  <c r="R360" i="3" s="1"/>
  <c r="K361" i="3"/>
  <c r="R361" i="3" s="1"/>
  <c r="K362" i="3"/>
  <c r="R362" i="3" s="1"/>
  <c r="K363" i="3"/>
  <c r="R363" i="3" s="1"/>
  <c r="K364" i="3"/>
  <c r="R364" i="3" s="1"/>
  <c r="K365" i="3"/>
  <c r="R365" i="3" s="1"/>
  <c r="K366" i="3"/>
  <c r="R366" i="3" s="1"/>
  <c r="K367" i="3"/>
  <c r="R367" i="3" s="1"/>
  <c r="K368" i="3"/>
  <c r="R368" i="3" s="1"/>
  <c r="K369" i="3"/>
  <c r="R369" i="3" s="1"/>
  <c r="K370" i="3"/>
  <c r="R370" i="3" s="1"/>
  <c r="K371" i="3"/>
  <c r="R371" i="3" s="1"/>
  <c r="K372" i="3"/>
  <c r="R372" i="3" s="1"/>
  <c r="K373" i="3"/>
  <c r="R373" i="3" s="1"/>
  <c r="K374" i="3"/>
  <c r="R374" i="3" s="1"/>
  <c r="K375" i="3"/>
  <c r="R375" i="3" s="1"/>
  <c r="K376" i="3"/>
  <c r="R376" i="3" s="1"/>
  <c r="K377" i="3"/>
  <c r="R377" i="3" s="1"/>
  <c r="K378" i="3"/>
  <c r="R378" i="3" s="1"/>
  <c r="K379" i="3"/>
  <c r="R379" i="3" s="1"/>
  <c r="K380" i="3"/>
  <c r="R380" i="3" s="1"/>
  <c r="K381" i="3"/>
  <c r="R381" i="3" s="1"/>
  <c r="K382" i="3"/>
  <c r="R382" i="3" s="1"/>
  <c r="K383" i="3"/>
  <c r="R383" i="3" s="1"/>
  <c r="K384" i="3"/>
  <c r="R384" i="3" s="1"/>
  <c r="K385" i="3"/>
  <c r="R385" i="3" s="1"/>
  <c r="K386" i="3"/>
  <c r="R386" i="3" s="1"/>
  <c r="K387" i="3"/>
  <c r="J387" i="3" s="1"/>
  <c r="K388" i="3"/>
  <c r="R388" i="3" s="1"/>
  <c r="K389" i="3"/>
  <c r="R389" i="3" s="1"/>
  <c r="K390" i="3"/>
  <c r="R390" i="3" s="1"/>
  <c r="K391" i="3"/>
  <c r="R391" i="3" s="1"/>
  <c r="K392" i="3"/>
  <c r="R392" i="3" s="1"/>
  <c r="K393" i="3"/>
  <c r="R393" i="3" s="1"/>
  <c r="K394" i="3"/>
  <c r="R394" i="3" s="1"/>
  <c r="K395" i="3"/>
  <c r="J395" i="3" s="1"/>
  <c r="K396" i="3"/>
  <c r="R396" i="3" s="1"/>
  <c r="K397" i="3"/>
  <c r="R397" i="3" s="1"/>
  <c r="K398" i="3"/>
  <c r="R398" i="3" s="1"/>
  <c r="K399" i="3"/>
  <c r="R399" i="3" s="1"/>
  <c r="K400" i="3"/>
  <c r="R400" i="3" s="1"/>
  <c r="K401" i="3"/>
  <c r="R401" i="3" s="1"/>
  <c r="K402" i="3"/>
  <c r="R402" i="3" s="1"/>
  <c r="K403" i="3"/>
  <c r="R403" i="3" s="1"/>
  <c r="K404" i="3"/>
  <c r="R404" i="3" s="1"/>
  <c r="K405" i="3"/>
  <c r="R405" i="3" s="1"/>
  <c r="K406" i="3"/>
  <c r="R406" i="3" s="1"/>
  <c r="K407" i="3"/>
  <c r="R407" i="3" s="1"/>
  <c r="K408" i="3"/>
  <c r="R408" i="3" s="1"/>
  <c r="K409" i="3"/>
  <c r="R409" i="3" s="1"/>
  <c r="K410" i="3"/>
  <c r="R410" i="3" s="1"/>
  <c r="K411" i="3"/>
  <c r="R411" i="3" s="1"/>
  <c r="K412" i="3"/>
  <c r="R412" i="3" s="1"/>
  <c r="K413" i="3"/>
  <c r="R413" i="3" s="1"/>
  <c r="K414" i="3"/>
  <c r="R414" i="3" s="1"/>
  <c r="K415" i="3"/>
  <c r="R415" i="3" s="1"/>
  <c r="K416" i="3"/>
  <c r="R416" i="3" s="1"/>
  <c r="K417" i="3"/>
  <c r="R417" i="3" s="1"/>
  <c r="K418" i="3"/>
  <c r="R418" i="3" s="1"/>
  <c r="K419" i="3"/>
  <c r="R419" i="3" s="1"/>
  <c r="K420" i="3"/>
  <c r="R420" i="3" s="1"/>
  <c r="K421" i="3"/>
  <c r="R421" i="3" s="1"/>
  <c r="K422" i="3"/>
  <c r="R422" i="3" s="1"/>
  <c r="K423" i="3"/>
  <c r="R423" i="3" s="1"/>
  <c r="K424" i="3"/>
  <c r="R424" i="3" s="1"/>
  <c r="K425" i="3"/>
  <c r="R425" i="3" s="1"/>
  <c r="K426" i="3"/>
  <c r="R426" i="3" s="1"/>
  <c r="K427" i="3"/>
  <c r="R427" i="3" s="1"/>
  <c r="K428" i="3"/>
  <c r="R428" i="3" s="1"/>
  <c r="K429" i="3"/>
  <c r="R429" i="3" s="1"/>
  <c r="K430" i="3"/>
  <c r="R430" i="3" s="1"/>
  <c r="K431" i="3"/>
  <c r="R431" i="3" s="1"/>
  <c r="K432" i="3"/>
  <c r="R432" i="3" s="1"/>
  <c r="K433" i="3"/>
  <c r="R433" i="3" s="1"/>
  <c r="K434" i="3"/>
  <c r="R434" i="3" s="1"/>
  <c r="K435" i="3"/>
  <c r="R435" i="3" s="1"/>
  <c r="K436" i="3"/>
  <c r="R436" i="3" s="1"/>
  <c r="K437" i="3"/>
  <c r="R437" i="3" s="1"/>
  <c r="K438" i="3"/>
  <c r="R438" i="3" s="1"/>
  <c r="K439" i="3"/>
  <c r="R439" i="3" s="1"/>
  <c r="K440" i="3"/>
  <c r="R440" i="3" s="1"/>
  <c r="K441" i="3"/>
  <c r="R441" i="3" s="1"/>
  <c r="K442" i="3"/>
  <c r="R442" i="3" s="1"/>
  <c r="K443" i="3"/>
  <c r="R443" i="3" s="1"/>
  <c r="K444" i="3"/>
  <c r="R444" i="3" s="1"/>
  <c r="K445" i="3"/>
  <c r="R445" i="3" s="1"/>
  <c r="K446" i="3"/>
  <c r="R446" i="3" s="1"/>
  <c r="K447" i="3"/>
  <c r="R447" i="3" s="1"/>
  <c r="K448" i="3"/>
  <c r="R448" i="3" s="1"/>
  <c r="K449" i="3"/>
  <c r="R449" i="3" s="1"/>
  <c r="K450" i="3"/>
  <c r="R450" i="3" s="1"/>
  <c r="K451" i="3"/>
  <c r="J451" i="3" s="1"/>
  <c r="K452" i="3"/>
  <c r="R452" i="3" s="1"/>
  <c r="K453" i="3"/>
  <c r="R453" i="3" s="1"/>
  <c r="K454" i="3"/>
  <c r="R454" i="3" s="1"/>
  <c r="K455" i="3"/>
  <c r="R455" i="3" s="1"/>
  <c r="K456" i="3"/>
  <c r="R456" i="3" s="1"/>
  <c r="K457" i="3"/>
  <c r="R457" i="3" s="1"/>
  <c r="K458" i="3"/>
  <c r="R458" i="3" s="1"/>
  <c r="K459" i="3"/>
  <c r="J459" i="3" s="1"/>
  <c r="K460" i="3"/>
  <c r="R460" i="3" s="1"/>
  <c r="K461" i="3"/>
  <c r="R461" i="3" s="1"/>
  <c r="K462" i="3"/>
  <c r="R462" i="3" s="1"/>
  <c r="K463" i="3"/>
  <c r="R463" i="3" s="1"/>
  <c r="K464" i="3"/>
  <c r="R464" i="3" s="1"/>
  <c r="K465" i="3"/>
  <c r="R465" i="3" s="1"/>
  <c r="K466" i="3"/>
  <c r="R466" i="3" s="1"/>
  <c r="K467" i="3"/>
  <c r="R467" i="3" s="1"/>
  <c r="K468" i="3"/>
  <c r="R468" i="3" s="1"/>
  <c r="K469" i="3"/>
  <c r="R469" i="3" s="1"/>
  <c r="K470" i="3"/>
  <c r="R470" i="3" s="1"/>
  <c r="K471" i="3"/>
  <c r="R471" i="3" s="1"/>
  <c r="K472" i="3"/>
  <c r="R472" i="3" s="1"/>
  <c r="K473" i="3"/>
  <c r="R473" i="3" s="1"/>
  <c r="K474" i="3"/>
  <c r="R474" i="3" s="1"/>
  <c r="K475" i="3"/>
  <c r="R475" i="3" s="1"/>
  <c r="K476" i="3"/>
  <c r="R476" i="3" s="1"/>
  <c r="K477" i="3"/>
  <c r="R477" i="3" s="1"/>
  <c r="K478" i="3"/>
  <c r="R478" i="3" s="1"/>
  <c r="K479" i="3"/>
  <c r="R479" i="3" s="1"/>
  <c r="K480" i="3"/>
  <c r="R480" i="3" s="1"/>
  <c r="K481" i="3"/>
  <c r="R481" i="3" s="1"/>
  <c r="K482" i="3"/>
  <c r="R482" i="3" s="1"/>
  <c r="K483" i="3"/>
  <c r="R483" i="3" s="1"/>
  <c r="K484" i="3"/>
  <c r="R484" i="3" s="1"/>
  <c r="K485" i="3"/>
  <c r="R485" i="3" s="1"/>
  <c r="K486" i="3"/>
  <c r="R486" i="3" s="1"/>
  <c r="K487" i="3"/>
  <c r="R487" i="3" s="1"/>
  <c r="K488" i="3"/>
  <c r="R488" i="3" s="1"/>
  <c r="K489" i="3"/>
  <c r="R489" i="3" s="1"/>
  <c r="K490" i="3"/>
  <c r="R490" i="3" s="1"/>
  <c r="K491" i="3"/>
  <c r="R491" i="3" s="1"/>
  <c r="K492" i="3"/>
  <c r="R492" i="3" s="1"/>
  <c r="K493" i="3"/>
  <c r="R493" i="3" s="1"/>
  <c r="K494" i="3"/>
  <c r="R494" i="3" s="1"/>
  <c r="K495" i="3"/>
  <c r="R495" i="3" s="1"/>
  <c r="K496" i="3"/>
  <c r="R496" i="3" s="1"/>
  <c r="K497" i="3"/>
  <c r="R497" i="3" s="1"/>
  <c r="K498" i="3"/>
  <c r="R498" i="3" s="1"/>
  <c r="K499" i="3"/>
  <c r="R499" i="3" s="1"/>
  <c r="K500" i="3"/>
  <c r="R500" i="3" s="1"/>
  <c r="K501" i="3"/>
  <c r="R501" i="3" s="1"/>
  <c r="K502" i="3"/>
  <c r="R502" i="3" s="1"/>
  <c r="K503" i="3"/>
  <c r="R503" i="3" s="1"/>
  <c r="K504" i="3"/>
  <c r="R504" i="3" s="1"/>
  <c r="K505" i="3"/>
  <c r="R505" i="3" s="1"/>
  <c r="K506" i="3"/>
  <c r="R506" i="3" s="1"/>
  <c r="K507" i="3"/>
  <c r="R507" i="3" s="1"/>
  <c r="K508" i="3"/>
  <c r="R508" i="3" s="1"/>
  <c r="K509" i="3"/>
  <c r="R509" i="3" s="1"/>
  <c r="K510" i="3"/>
  <c r="R510" i="3" s="1"/>
  <c r="K511" i="3"/>
  <c r="R511" i="3" s="1"/>
  <c r="K512" i="3"/>
  <c r="R512" i="3" s="1"/>
  <c r="K513" i="3"/>
  <c r="R513" i="3" s="1"/>
  <c r="K514" i="3"/>
  <c r="R514" i="3" s="1"/>
  <c r="K515" i="3"/>
  <c r="J515" i="3" s="1"/>
  <c r="K516" i="3"/>
  <c r="R516" i="3" s="1"/>
  <c r="K517" i="3"/>
  <c r="R517" i="3" s="1"/>
  <c r="K518" i="3"/>
  <c r="R518" i="3" s="1"/>
  <c r="K519" i="3"/>
  <c r="R519" i="3" s="1"/>
  <c r="K520" i="3"/>
  <c r="R520" i="3" s="1"/>
  <c r="K521" i="3"/>
  <c r="R521" i="3" s="1"/>
  <c r="K522" i="3"/>
  <c r="R522" i="3" s="1"/>
  <c r="K523" i="3"/>
  <c r="J523" i="3" s="1"/>
  <c r="K524" i="3"/>
  <c r="R524" i="3" s="1"/>
  <c r="K525" i="3"/>
  <c r="R525" i="3" s="1"/>
  <c r="K526" i="3"/>
  <c r="R526" i="3" s="1"/>
  <c r="K527" i="3"/>
  <c r="R527" i="3" s="1"/>
  <c r="K528" i="3"/>
  <c r="R528" i="3" s="1"/>
  <c r="K529" i="3"/>
  <c r="R529" i="3" s="1"/>
  <c r="K530" i="3"/>
  <c r="R530" i="3" s="1"/>
  <c r="K531" i="3"/>
  <c r="R531" i="3" s="1"/>
  <c r="K532" i="3"/>
  <c r="R532" i="3" s="1"/>
  <c r="K533" i="3"/>
  <c r="R533" i="3" s="1"/>
  <c r="K534" i="3"/>
  <c r="R534" i="3" s="1"/>
  <c r="K535" i="3"/>
  <c r="R535" i="3" s="1"/>
  <c r="K536" i="3"/>
  <c r="R536" i="3" s="1"/>
  <c r="K537" i="3"/>
  <c r="R537" i="3" s="1"/>
  <c r="K538" i="3"/>
  <c r="R538" i="3" s="1"/>
  <c r="K539" i="3"/>
  <c r="R539" i="3" s="1"/>
  <c r="K540" i="3"/>
  <c r="R540" i="3" s="1"/>
  <c r="K541" i="3"/>
  <c r="R541" i="3" s="1"/>
  <c r="K542" i="3"/>
  <c r="R542" i="3" s="1"/>
  <c r="K543" i="3"/>
  <c r="R543" i="3" s="1"/>
  <c r="K544" i="3"/>
  <c r="R544" i="3" s="1"/>
  <c r="K545" i="3"/>
  <c r="R545" i="3" s="1"/>
  <c r="K546" i="3"/>
  <c r="R546" i="3" s="1"/>
  <c r="K547" i="3"/>
  <c r="R547" i="3" s="1"/>
  <c r="K548" i="3"/>
  <c r="R548" i="3" s="1"/>
  <c r="K549" i="3"/>
  <c r="R549" i="3" s="1"/>
  <c r="K550" i="3"/>
  <c r="R550" i="3" s="1"/>
  <c r="K551" i="3"/>
  <c r="R551" i="3" s="1"/>
  <c r="K552" i="3"/>
  <c r="R552" i="3" s="1"/>
  <c r="K553" i="3"/>
  <c r="R553" i="3" s="1"/>
  <c r="K554" i="3"/>
  <c r="R554" i="3" s="1"/>
  <c r="K555" i="3"/>
  <c r="R555" i="3" s="1"/>
  <c r="K556" i="3"/>
  <c r="R556" i="3" s="1"/>
  <c r="K557" i="3"/>
  <c r="R557" i="3" s="1"/>
  <c r="K558" i="3"/>
  <c r="R558" i="3" s="1"/>
  <c r="K559" i="3"/>
  <c r="R559" i="3" s="1"/>
  <c r="K560" i="3"/>
  <c r="R560" i="3" s="1"/>
  <c r="K561" i="3"/>
  <c r="R561" i="3" s="1"/>
  <c r="K562" i="3"/>
  <c r="R562" i="3" s="1"/>
  <c r="K563" i="3"/>
  <c r="R563" i="3" s="1"/>
  <c r="K564" i="3"/>
  <c r="R564" i="3" s="1"/>
  <c r="K565" i="3"/>
  <c r="R565" i="3" s="1"/>
  <c r="K566" i="3"/>
  <c r="R566" i="3" s="1"/>
  <c r="K567" i="3"/>
  <c r="R567" i="3" s="1"/>
  <c r="K568" i="3"/>
  <c r="R568" i="3" s="1"/>
  <c r="K569" i="3"/>
  <c r="R569" i="3" s="1"/>
  <c r="K570" i="3"/>
  <c r="R570" i="3" s="1"/>
  <c r="K571" i="3"/>
  <c r="R571" i="3" s="1"/>
  <c r="K572" i="3"/>
  <c r="R572" i="3" s="1"/>
  <c r="K573" i="3"/>
  <c r="R573" i="3" s="1"/>
  <c r="K574" i="3"/>
  <c r="R574" i="3" s="1"/>
  <c r="K575" i="3"/>
  <c r="R575" i="3" s="1"/>
  <c r="K576" i="3"/>
  <c r="R576" i="3" s="1"/>
  <c r="K577" i="3"/>
  <c r="R577" i="3" s="1"/>
  <c r="K578" i="3"/>
  <c r="R578" i="3" s="1"/>
  <c r="K579" i="3"/>
  <c r="J579" i="3" s="1"/>
  <c r="K580" i="3"/>
  <c r="R580" i="3" s="1"/>
  <c r="K581" i="3"/>
  <c r="R581" i="3" s="1"/>
  <c r="K582" i="3"/>
  <c r="R582" i="3" s="1"/>
  <c r="K583" i="3"/>
  <c r="R583" i="3" s="1"/>
  <c r="K584" i="3"/>
  <c r="R584" i="3" s="1"/>
  <c r="K585" i="3"/>
  <c r="R585" i="3" s="1"/>
  <c r="K586" i="3"/>
  <c r="R586" i="3" s="1"/>
  <c r="K587" i="3"/>
  <c r="J587" i="3" s="1"/>
  <c r="K588" i="3"/>
  <c r="R588" i="3" s="1"/>
  <c r="K589" i="3"/>
  <c r="R589" i="3" s="1"/>
  <c r="K590" i="3"/>
  <c r="R590" i="3" s="1"/>
  <c r="K591" i="3"/>
  <c r="R591" i="3" s="1"/>
  <c r="K592" i="3"/>
  <c r="R592" i="3" s="1"/>
  <c r="K593" i="3"/>
  <c r="R593" i="3" s="1"/>
  <c r="K594" i="3"/>
  <c r="R594" i="3" s="1"/>
  <c r="K595" i="3"/>
  <c r="R595" i="3" s="1"/>
  <c r="K596" i="3"/>
  <c r="R596" i="3" s="1"/>
  <c r="K597" i="3"/>
  <c r="R597" i="3" s="1"/>
  <c r="K598" i="3"/>
  <c r="R598" i="3" s="1"/>
  <c r="K599" i="3"/>
  <c r="R599" i="3" s="1"/>
  <c r="K600" i="3"/>
  <c r="R600" i="3" s="1"/>
  <c r="K601" i="3"/>
  <c r="R601" i="3" s="1"/>
  <c r="K602" i="3"/>
  <c r="R602" i="3" s="1"/>
  <c r="K603" i="3"/>
  <c r="R603" i="3" s="1"/>
  <c r="K604" i="3"/>
  <c r="R604" i="3" s="1"/>
  <c r="K605" i="3"/>
  <c r="R605" i="3" s="1"/>
  <c r="K606" i="3"/>
  <c r="R606" i="3" s="1"/>
  <c r="K607" i="3"/>
  <c r="R607" i="3" s="1"/>
  <c r="K608" i="3"/>
  <c r="R608" i="3" s="1"/>
  <c r="K609" i="3"/>
  <c r="R609" i="3" s="1"/>
  <c r="K610" i="3"/>
  <c r="R610" i="3" s="1"/>
  <c r="K611" i="3"/>
  <c r="R611" i="3" s="1"/>
  <c r="K612" i="3"/>
  <c r="R612" i="3" s="1"/>
  <c r="K613" i="3"/>
  <c r="R613" i="3" s="1"/>
  <c r="K614" i="3"/>
  <c r="R614" i="3" s="1"/>
  <c r="K615" i="3"/>
  <c r="R615" i="3" s="1"/>
  <c r="K616" i="3"/>
  <c r="R616" i="3" s="1"/>
  <c r="K617" i="3"/>
  <c r="R617" i="3" s="1"/>
  <c r="K618" i="3"/>
  <c r="R618" i="3" s="1"/>
  <c r="K619" i="3"/>
  <c r="R619" i="3" s="1"/>
  <c r="K620" i="3"/>
  <c r="R620" i="3" s="1"/>
  <c r="K621" i="3"/>
  <c r="R621" i="3" s="1"/>
  <c r="K622" i="3"/>
  <c r="R622" i="3" s="1"/>
  <c r="K623" i="3"/>
  <c r="R623" i="3" s="1"/>
  <c r="K624" i="3"/>
  <c r="R624" i="3" s="1"/>
  <c r="K625" i="3"/>
  <c r="R625" i="3" s="1"/>
  <c r="K626" i="3"/>
  <c r="R626" i="3" s="1"/>
  <c r="K627" i="3"/>
  <c r="R627" i="3" s="1"/>
  <c r="K628" i="3"/>
  <c r="R628" i="3" s="1"/>
  <c r="K629" i="3"/>
  <c r="R629" i="3" s="1"/>
  <c r="K630" i="3"/>
  <c r="R630" i="3" s="1"/>
  <c r="K631" i="3"/>
  <c r="R631" i="3" s="1"/>
  <c r="K632" i="3"/>
  <c r="R632" i="3" s="1"/>
  <c r="K633" i="3"/>
  <c r="R633" i="3" s="1"/>
  <c r="AG3" i="3"/>
  <c r="AG4" i="3"/>
  <c r="AG9" i="3"/>
  <c r="AG21" i="3"/>
  <c r="AG24" i="3"/>
  <c r="AG25" i="3"/>
  <c r="AG26" i="3"/>
  <c r="AG27" i="3"/>
  <c r="AG29" i="3"/>
  <c r="AG30" i="3"/>
  <c r="AG33" i="3"/>
  <c r="AG36" i="3"/>
  <c r="AG37" i="3"/>
  <c r="AG38" i="3"/>
  <c r="AG39" i="3"/>
  <c r="AG46" i="3"/>
  <c r="AG48" i="3"/>
  <c r="AG51" i="3"/>
  <c r="AG53" i="3"/>
  <c r="AG60" i="3"/>
  <c r="AG61" i="3"/>
  <c r="AG66" i="3"/>
  <c r="AG71" i="3"/>
  <c r="AG75" i="3"/>
  <c r="AG80" i="3"/>
  <c r="AG87" i="3"/>
  <c r="AG90" i="3"/>
  <c r="AG92" i="3"/>
  <c r="AG103" i="3"/>
  <c r="AG104" i="3"/>
  <c r="AG105" i="3"/>
  <c r="AG106" i="3"/>
  <c r="AG107" i="3"/>
  <c r="AG111" i="3"/>
  <c r="AG113" i="3"/>
  <c r="AG114" i="3"/>
  <c r="AG117" i="3"/>
  <c r="AG120" i="3"/>
  <c r="AG130" i="3"/>
  <c r="AG132" i="3"/>
  <c r="AG133" i="3"/>
  <c r="AG137" i="3"/>
  <c r="AG139" i="3"/>
  <c r="AG141" i="3"/>
  <c r="AG148" i="3"/>
  <c r="AG155" i="3"/>
  <c r="AG156" i="3"/>
  <c r="AG157" i="3"/>
  <c r="AG159" i="3"/>
  <c r="AG160" i="3"/>
  <c r="AG162" i="3"/>
  <c r="AG165" i="3"/>
  <c r="AG167" i="3"/>
  <c r="AG168" i="3"/>
  <c r="AG169" i="3"/>
  <c r="AG170" i="3"/>
  <c r="AG173" i="3"/>
  <c r="AG175" i="3"/>
  <c r="AG176" i="3"/>
  <c r="AG183" i="3"/>
  <c r="AG187" i="3"/>
  <c r="AG190" i="3"/>
  <c r="AG191" i="3"/>
  <c r="AG192" i="3"/>
  <c r="AG194" i="3"/>
  <c r="AG197" i="3"/>
  <c r="AG198" i="3"/>
  <c r="AG199" i="3"/>
  <c r="AG205" i="3"/>
  <c r="AG206" i="3"/>
  <c r="AG208" i="3"/>
  <c r="AG211" i="3"/>
  <c r="AG217" i="3"/>
  <c r="AG218" i="3"/>
  <c r="AG219" i="3"/>
  <c r="AG220" i="3"/>
  <c r="AG223" i="3"/>
  <c r="AG224" i="3"/>
  <c r="AG225" i="3"/>
  <c r="AG227" i="3"/>
  <c r="AG228" i="3"/>
  <c r="AG229" i="3"/>
  <c r="AG230" i="3"/>
  <c r="AG231" i="3"/>
  <c r="AG233" i="3"/>
  <c r="AG235" i="3"/>
  <c r="AG237" i="3"/>
  <c r="AG239" i="3"/>
  <c r="AG240" i="3"/>
  <c r="AG242" i="3"/>
  <c r="AG246" i="3"/>
  <c r="AG249" i="3"/>
  <c r="AG250" i="3"/>
  <c r="AG251" i="3"/>
  <c r="AG252" i="3"/>
  <c r="AG255" i="3"/>
  <c r="AG256" i="3"/>
  <c r="AG260" i="3"/>
  <c r="AG265" i="3"/>
  <c r="AG266" i="3"/>
  <c r="AG267" i="3"/>
  <c r="AG268" i="3"/>
  <c r="AG269" i="3"/>
  <c r="AG275" i="3"/>
  <c r="AG277" i="3"/>
  <c r="AG279" i="3"/>
  <c r="AG281" i="3"/>
  <c r="AG283" i="3"/>
  <c r="AG285" i="3"/>
  <c r="AG287" i="3"/>
  <c r="AG293" i="3"/>
  <c r="AG295" i="3"/>
  <c r="AG299" i="3"/>
  <c r="AG304" i="3"/>
  <c r="AG306" i="3"/>
  <c r="AG312" i="3"/>
  <c r="AG314" i="3"/>
  <c r="AG316" i="3"/>
  <c r="AG321" i="3"/>
  <c r="AG326" i="3"/>
  <c r="AG327" i="3"/>
  <c r="AG331" i="3"/>
  <c r="AG345" i="3"/>
  <c r="AG349" i="3"/>
  <c r="AG350" i="3"/>
  <c r="AG354" i="3"/>
  <c r="AG357" i="3"/>
  <c r="AG362" i="3"/>
  <c r="AG365" i="3"/>
  <c r="AG369" i="3"/>
  <c r="AG376" i="3"/>
  <c r="AG378" i="3"/>
  <c r="AG379" i="3"/>
  <c r="AG380" i="3"/>
  <c r="AG385" i="3"/>
  <c r="AG386" i="3"/>
  <c r="AG389" i="3"/>
  <c r="AG391" i="3"/>
  <c r="AG396" i="3"/>
  <c r="AG399" i="3"/>
  <c r="AG405" i="3"/>
  <c r="AG407" i="3"/>
  <c r="AG410" i="3"/>
  <c r="AG412" i="3"/>
  <c r="AG413" i="3"/>
  <c r="AG415" i="3"/>
  <c r="AG417" i="3"/>
  <c r="AG420" i="3"/>
  <c r="AG424" i="3"/>
  <c r="AG426" i="3"/>
  <c r="AG429" i="3"/>
  <c r="AG433" i="3"/>
  <c r="AG443" i="3"/>
  <c r="AG444" i="3"/>
  <c r="AG448" i="3"/>
  <c r="AG458" i="3"/>
  <c r="AG462" i="3"/>
  <c r="AG467" i="3"/>
  <c r="AG468" i="3"/>
  <c r="AG469" i="3"/>
  <c r="AG482" i="3"/>
  <c r="AG483" i="3"/>
  <c r="AG486" i="3"/>
  <c r="AG492" i="3"/>
  <c r="AG500" i="3"/>
  <c r="AG504" i="3"/>
  <c r="AG505" i="3"/>
  <c r="AG514" i="3"/>
  <c r="AG518" i="3"/>
  <c r="AG526" i="3"/>
  <c r="AG530" i="3"/>
  <c r="AG538" i="3"/>
  <c r="AG539" i="3"/>
  <c r="AG541" i="3"/>
  <c r="AG542" i="3"/>
  <c r="AG545" i="3"/>
  <c r="AG549" i="3"/>
  <c r="AG553" i="3"/>
  <c r="AG560" i="3"/>
  <c r="AG561" i="3"/>
  <c r="AG563" i="3"/>
  <c r="AG566" i="3"/>
  <c r="AG567" i="3"/>
  <c r="AG568" i="3"/>
  <c r="AG570" i="3"/>
  <c r="AG572" i="3"/>
  <c r="AG574" i="3"/>
  <c r="AG575" i="3"/>
  <c r="AG577" i="3"/>
  <c r="AG581" i="3"/>
  <c r="AG585" i="3"/>
  <c r="AG594" i="3"/>
  <c r="AG595" i="3"/>
  <c r="AG601" i="3"/>
  <c r="AG602" i="3"/>
  <c r="AG603" i="3"/>
  <c r="AG604" i="3"/>
  <c r="AG609" i="3"/>
  <c r="AG610" i="3"/>
  <c r="AG611" i="3"/>
  <c r="AG612" i="3"/>
  <c r="AG614" i="3"/>
  <c r="AG617" i="3"/>
  <c r="AG621" i="3"/>
  <c r="AG622" i="3"/>
  <c r="AG625" i="3"/>
  <c r="AG626" i="3"/>
  <c r="AG627" i="3"/>
  <c r="AG63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2" i="3"/>
  <c r="D3" i="3"/>
  <c r="F3" i="3" s="1"/>
  <c r="G3" i="3" s="1"/>
  <c r="D4" i="3"/>
  <c r="F4" i="3" s="1"/>
  <c r="G4" i="3" s="1"/>
  <c r="D5" i="3"/>
  <c r="F5" i="3" s="1"/>
  <c r="G5" i="3" s="1"/>
  <c r="D6" i="3"/>
  <c r="F6" i="3" s="1"/>
  <c r="G6" i="3" s="1"/>
  <c r="D7" i="3"/>
  <c r="F7" i="3" s="1"/>
  <c r="G7" i="3" s="1"/>
  <c r="D8" i="3"/>
  <c r="F8" i="3" s="1"/>
  <c r="G8" i="3" s="1"/>
  <c r="D9" i="3"/>
  <c r="F9" i="3" s="1"/>
  <c r="G9" i="3" s="1"/>
  <c r="D10" i="3"/>
  <c r="F10" i="3" s="1"/>
  <c r="G10" i="3" s="1"/>
  <c r="D11" i="3"/>
  <c r="F11" i="3" s="1"/>
  <c r="G11" i="3" s="1"/>
  <c r="D12" i="3"/>
  <c r="F12" i="3" s="1"/>
  <c r="G12" i="3" s="1"/>
  <c r="D13" i="3"/>
  <c r="F13" i="3" s="1"/>
  <c r="G13" i="3" s="1"/>
  <c r="D14" i="3"/>
  <c r="F14" i="3" s="1"/>
  <c r="G14" i="3" s="1"/>
  <c r="D15" i="3"/>
  <c r="F15" i="3" s="1"/>
  <c r="G15" i="3" s="1"/>
  <c r="D16" i="3"/>
  <c r="F16" i="3" s="1"/>
  <c r="G16" i="3" s="1"/>
  <c r="D17" i="3"/>
  <c r="F17" i="3" s="1"/>
  <c r="G17" i="3" s="1"/>
  <c r="D18" i="3"/>
  <c r="F18" i="3" s="1"/>
  <c r="G18" i="3" s="1"/>
  <c r="D19" i="3"/>
  <c r="F19" i="3" s="1"/>
  <c r="G19" i="3" s="1"/>
  <c r="D20" i="3"/>
  <c r="F20" i="3" s="1"/>
  <c r="G20" i="3" s="1"/>
  <c r="D21" i="3"/>
  <c r="F21" i="3" s="1"/>
  <c r="G21" i="3" s="1"/>
  <c r="D22" i="3"/>
  <c r="F22" i="3" s="1"/>
  <c r="G22" i="3" s="1"/>
  <c r="D23" i="3"/>
  <c r="F23" i="3" s="1"/>
  <c r="G23" i="3" s="1"/>
  <c r="D24" i="3"/>
  <c r="F24" i="3" s="1"/>
  <c r="G24" i="3" s="1"/>
  <c r="D25" i="3"/>
  <c r="F25" i="3" s="1"/>
  <c r="G25" i="3" s="1"/>
  <c r="D26" i="3"/>
  <c r="F26" i="3" s="1"/>
  <c r="G26" i="3" s="1"/>
  <c r="D27" i="3"/>
  <c r="F27" i="3" s="1"/>
  <c r="G27" i="3" s="1"/>
  <c r="D28" i="3"/>
  <c r="F28" i="3" s="1"/>
  <c r="G28" i="3" s="1"/>
  <c r="D29" i="3"/>
  <c r="F29" i="3" s="1"/>
  <c r="G29" i="3" s="1"/>
  <c r="D30" i="3"/>
  <c r="F30" i="3" s="1"/>
  <c r="G30" i="3" s="1"/>
  <c r="D31" i="3"/>
  <c r="F31" i="3" s="1"/>
  <c r="G31" i="3" s="1"/>
  <c r="D32" i="3"/>
  <c r="F32" i="3" s="1"/>
  <c r="G32" i="3" s="1"/>
  <c r="D33" i="3"/>
  <c r="F33" i="3" s="1"/>
  <c r="G33" i="3" s="1"/>
  <c r="D34" i="3"/>
  <c r="F34" i="3" s="1"/>
  <c r="G34" i="3" s="1"/>
  <c r="D35" i="3"/>
  <c r="F35" i="3" s="1"/>
  <c r="G35" i="3" s="1"/>
  <c r="D36" i="3"/>
  <c r="F36" i="3" s="1"/>
  <c r="G36" i="3" s="1"/>
  <c r="D37" i="3"/>
  <c r="F37" i="3" s="1"/>
  <c r="G37" i="3" s="1"/>
  <c r="D38" i="3"/>
  <c r="F38" i="3" s="1"/>
  <c r="G38" i="3" s="1"/>
  <c r="D39" i="3"/>
  <c r="F39" i="3" s="1"/>
  <c r="G39" i="3" s="1"/>
  <c r="D40" i="3"/>
  <c r="F40" i="3" s="1"/>
  <c r="G40" i="3" s="1"/>
  <c r="D41" i="3"/>
  <c r="F41" i="3" s="1"/>
  <c r="G41" i="3" s="1"/>
  <c r="D42" i="3"/>
  <c r="F42" i="3" s="1"/>
  <c r="G42" i="3" s="1"/>
  <c r="D43" i="3"/>
  <c r="F43" i="3" s="1"/>
  <c r="G43" i="3" s="1"/>
  <c r="D44" i="3"/>
  <c r="F44" i="3" s="1"/>
  <c r="G44" i="3" s="1"/>
  <c r="D45" i="3"/>
  <c r="F45" i="3" s="1"/>
  <c r="G45" i="3" s="1"/>
  <c r="D46" i="3"/>
  <c r="F46" i="3" s="1"/>
  <c r="G46" i="3" s="1"/>
  <c r="D47" i="3"/>
  <c r="F47" i="3" s="1"/>
  <c r="G47" i="3" s="1"/>
  <c r="D48" i="3"/>
  <c r="F48" i="3" s="1"/>
  <c r="G48" i="3" s="1"/>
  <c r="D49" i="3"/>
  <c r="F49" i="3" s="1"/>
  <c r="G49" i="3" s="1"/>
  <c r="D50" i="3"/>
  <c r="F50" i="3" s="1"/>
  <c r="G50" i="3" s="1"/>
  <c r="D51" i="3"/>
  <c r="F51" i="3" s="1"/>
  <c r="G51" i="3" s="1"/>
  <c r="D52" i="3"/>
  <c r="F52" i="3" s="1"/>
  <c r="G52" i="3" s="1"/>
  <c r="D53" i="3"/>
  <c r="F53" i="3" s="1"/>
  <c r="G53" i="3" s="1"/>
  <c r="D54" i="3"/>
  <c r="F54" i="3" s="1"/>
  <c r="G54" i="3" s="1"/>
  <c r="D55" i="3"/>
  <c r="F55" i="3" s="1"/>
  <c r="G55" i="3" s="1"/>
  <c r="D56" i="3"/>
  <c r="F56" i="3" s="1"/>
  <c r="G56" i="3" s="1"/>
  <c r="D57" i="3"/>
  <c r="F57" i="3" s="1"/>
  <c r="G57" i="3" s="1"/>
  <c r="D58" i="3"/>
  <c r="F58" i="3" s="1"/>
  <c r="G58" i="3" s="1"/>
  <c r="D59" i="3"/>
  <c r="F59" i="3" s="1"/>
  <c r="G59" i="3" s="1"/>
  <c r="D60" i="3"/>
  <c r="F60" i="3" s="1"/>
  <c r="G60" i="3" s="1"/>
  <c r="D61" i="3"/>
  <c r="F61" i="3" s="1"/>
  <c r="G61" i="3" s="1"/>
  <c r="D62" i="3"/>
  <c r="F62" i="3" s="1"/>
  <c r="G62" i="3" s="1"/>
  <c r="D63" i="3"/>
  <c r="F63" i="3" s="1"/>
  <c r="G63" i="3" s="1"/>
  <c r="D64" i="3"/>
  <c r="F64" i="3" s="1"/>
  <c r="G64" i="3" s="1"/>
  <c r="D65" i="3"/>
  <c r="F65" i="3" s="1"/>
  <c r="G65" i="3" s="1"/>
  <c r="D66" i="3"/>
  <c r="F66" i="3" s="1"/>
  <c r="G66" i="3" s="1"/>
  <c r="D67" i="3"/>
  <c r="F67" i="3" s="1"/>
  <c r="G67" i="3" s="1"/>
  <c r="D68" i="3"/>
  <c r="F68" i="3" s="1"/>
  <c r="G68" i="3" s="1"/>
  <c r="D69" i="3"/>
  <c r="F69" i="3" s="1"/>
  <c r="G69" i="3" s="1"/>
  <c r="D70" i="3"/>
  <c r="F70" i="3" s="1"/>
  <c r="G70" i="3" s="1"/>
  <c r="D71" i="3"/>
  <c r="F71" i="3" s="1"/>
  <c r="G71" i="3" s="1"/>
  <c r="D72" i="3"/>
  <c r="F72" i="3" s="1"/>
  <c r="G72" i="3" s="1"/>
  <c r="D73" i="3"/>
  <c r="F73" i="3" s="1"/>
  <c r="G73" i="3" s="1"/>
  <c r="D74" i="3"/>
  <c r="F74" i="3" s="1"/>
  <c r="G74" i="3" s="1"/>
  <c r="D75" i="3"/>
  <c r="F75" i="3" s="1"/>
  <c r="G75" i="3" s="1"/>
  <c r="D76" i="3"/>
  <c r="F76" i="3" s="1"/>
  <c r="G76" i="3" s="1"/>
  <c r="D77" i="3"/>
  <c r="F77" i="3" s="1"/>
  <c r="G77" i="3" s="1"/>
  <c r="D78" i="3"/>
  <c r="F78" i="3" s="1"/>
  <c r="G78" i="3" s="1"/>
  <c r="D79" i="3"/>
  <c r="F79" i="3" s="1"/>
  <c r="G79" i="3" s="1"/>
  <c r="D80" i="3"/>
  <c r="F80" i="3" s="1"/>
  <c r="G80" i="3" s="1"/>
  <c r="D81" i="3"/>
  <c r="F81" i="3" s="1"/>
  <c r="G81" i="3" s="1"/>
  <c r="D82" i="3"/>
  <c r="F82" i="3" s="1"/>
  <c r="G82" i="3" s="1"/>
  <c r="D83" i="3"/>
  <c r="F83" i="3" s="1"/>
  <c r="G83" i="3" s="1"/>
  <c r="D84" i="3"/>
  <c r="F84" i="3" s="1"/>
  <c r="G84" i="3" s="1"/>
  <c r="D85" i="3"/>
  <c r="F85" i="3" s="1"/>
  <c r="G85" i="3" s="1"/>
  <c r="D86" i="3"/>
  <c r="F86" i="3" s="1"/>
  <c r="G86" i="3" s="1"/>
  <c r="D87" i="3"/>
  <c r="F87" i="3" s="1"/>
  <c r="G87" i="3" s="1"/>
  <c r="D88" i="3"/>
  <c r="F88" i="3" s="1"/>
  <c r="G88" i="3" s="1"/>
  <c r="D89" i="3"/>
  <c r="F89" i="3" s="1"/>
  <c r="G89" i="3" s="1"/>
  <c r="D90" i="3"/>
  <c r="F90" i="3" s="1"/>
  <c r="G90" i="3" s="1"/>
  <c r="D91" i="3"/>
  <c r="F91" i="3" s="1"/>
  <c r="G91" i="3" s="1"/>
  <c r="D92" i="3"/>
  <c r="F92" i="3" s="1"/>
  <c r="G92" i="3" s="1"/>
  <c r="D93" i="3"/>
  <c r="F93" i="3" s="1"/>
  <c r="G93" i="3" s="1"/>
  <c r="D94" i="3"/>
  <c r="F94" i="3" s="1"/>
  <c r="G94" i="3" s="1"/>
  <c r="D95" i="3"/>
  <c r="F95" i="3" s="1"/>
  <c r="G95" i="3" s="1"/>
  <c r="D96" i="3"/>
  <c r="F96" i="3" s="1"/>
  <c r="G96" i="3" s="1"/>
  <c r="D97" i="3"/>
  <c r="F97" i="3" s="1"/>
  <c r="G97" i="3" s="1"/>
  <c r="D98" i="3"/>
  <c r="F98" i="3" s="1"/>
  <c r="G98" i="3" s="1"/>
  <c r="D99" i="3"/>
  <c r="F99" i="3" s="1"/>
  <c r="G99" i="3" s="1"/>
  <c r="D100" i="3"/>
  <c r="F100" i="3" s="1"/>
  <c r="G100" i="3" s="1"/>
  <c r="D101" i="3"/>
  <c r="F101" i="3" s="1"/>
  <c r="G101" i="3" s="1"/>
  <c r="D102" i="3"/>
  <c r="F102" i="3" s="1"/>
  <c r="G102" i="3" s="1"/>
  <c r="D103" i="3"/>
  <c r="F103" i="3" s="1"/>
  <c r="G103" i="3" s="1"/>
  <c r="D104" i="3"/>
  <c r="F104" i="3" s="1"/>
  <c r="G104" i="3" s="1"/>
  <c r="D105" i="3"/>
  <c r="F105" i="3" s="1"/>
  <c r="G105" i="3" s="1"/>
  <c r="D106" i="3"/>
  <c r="F106" i="3" s="1"/>
  <c r="G106" i="3" s="1"/>
  <c r="D107" i="3"/>
  <c r="F107" i="3" s="1"/>
  <c r="G107" i="3" s="1"/>
  <c r="D108" i="3"/>
  <c r="F108" i="3" s="1"/>
  <c r="G108" i="3" s="1"/>
  <c r="D109" i="3"/>
  <c r="F109" i="3" s="1"/>
  <c r="G109" i="3" s="1"/>
  <c r="D110" i="3"/>
  <c r="F110" i="3" s="1"/>
  <c r="G110" i="3" s="1"/>
  <c r="D111" i="3"/>
  <c r="F111" i="3" s="1"/>
  <c r="G111" i="3" s="1"/>
  <c r="D112" i="3"/>
  <c r="F112" i="3" s="1"/>
  <c r="G112" i="3" s="1"/>
  <c r="D113" i="3"/>
  <c r="F113" i="3" s="1"/>
  <c r="G113" i="3" s="1"/>
  <c r="D114" i="3"/>
  <c r="F114" i="3" s="1"/>
  <c r="G114" i="3" s="1"/>
  <c r="D115" i="3"/>
  <c r="F115" i="3" s="1"/>
  <c r="G115" i="3" s="1"/>
  <c r="D116" i="3"/>
  <c r="F116" i="3" s="1"/>
  <c r="G116" i="3" s="1"/>
  <c r="D117" i="3"/>
  <c r="F117" i="3" s="1"/>
  <c r="G117" i="3" s="1"/>
  <c r="D118" i="3"/>
  <c r="F118" i="3" s="1"/>
  <c r="G118" i="3" s="1"/>
  <c r="D119" i="3"/>
  <c r="F119" i="3" s="1"/>
  <c r="G119" i="3" s="1"/>
  <c r="D120" i="3"/>
  <c r="F120" i="3" s="1"/>
  <c r="G120" i="3" s="1"/>
  <c r="D121" i="3"/>
  <c r="F121" i="3" s="1"/>
  <c r="G121" i="3" s="1"/>
  <c r="D122" i="3"/>
  <c r="F122" i="3" s="1"/>
  <c r="G122" i="3" s="1"/>
  <c r="D123" i="3"/>
  <c r="F123" i="3" s="1"/>
  <c r="G123" i="3" s="1"/>
  <c r="D124" i="3"/>
  <c r="F124" i="3" s="1"/>
  <c r="G124" i="3" s="1"/>
  <c r="D125" i="3"/>
  <c r="F125" i="3" s="1"/>
  <c r="G125" i="3" s="1"/>
  <c r="D126" i="3"/>
  <c r="F126" i="3" s="1"/>
  <c r="G126" i="3" s="1"/>
  <c r="D127" i="3"/>
  <c r="F127" i="3" s="1"/>
  <c r="G127" i="3" s="1"/>
  <c r="D128" i="3"/>
  <c r="F128" i="3" s="1"/>
  <c r="G128" i="3" s="1"/>
  <c r="D129" i="3"/>
  <c r="F129" i="3" s="1"/>
  <c r="G129" i="3" s="1"/>
  <c r="D130" i="3"/>
  <c r="F130" i="3" s="1"/>
  <c r="G130" i="3" s="1"/>
  <c r="D131" i="3"/>
  <c r="F131" i="3" s="1"/>
  <c r="G131" i="3" s="1"/>
  <c r="D132" i="3"/>
  <c r="F132" i="3" s="1"/>
  <c r="G132" i="3" s="1"/>
  <c r="D133" i="3"/>
  <c r="F133" i="3" s="1"/>
  <c r="G133" i="3" s="1"/>
  <c r="D134" i="3"/>
  <c r="F134" i="3" s="1"/>
  <c r="G134" i="3" s="1"/>
  <c r="D135" i="3"/>
  <c r="F135" i="3" s="1"/>
  <c r="G135" i="3" s="1"/>
  <c r="D136" i="3"/>
  <c r="F136" i="3" s="1"/>
  <c r="G136" i="3" s="1"/>
  <c r="D137" i="3"/>
  <c r="F137" i="3" s="1"/>
  <c r="G137" i="3" s="1"/>
  <c r="D138" i="3"/>
  <c r="F138" i="3" s="1"/>
  <c r="G138" i="3" s="1"/>
  <c r="D139" i="3"/>
  <c r="F139" i="3" s="1"/>
  <c r="G139" i="3" s="1"/>
  <c r="D140" i="3"/>
  <c r="F140" i="3" s="1"/>
  <c r="G140" i="3" s="1"/>
  <c r="D141" i="3"/>
  <c r="F141" i="3" s="1"/>
  <c r="G141" i="3" s="1"/>
  <c r="D142" i="3"/>
  <c r="F142" i="3" s="1"/>
  <c r="G142" i="3" s="1"/>
  <c r="D143" i="3"/>
  <c r="F143" i="3" s="1"/>
  <c r="G143" i="3" s="1"/>
  <c r="D144" i="3"/>
  <c r="F144" i="3" s="1"/>
  <c r="G144" i="3" s="1"/>
  <c r="D145" i="3"/>
  <c r="F145" i="3" s="1"/>
  <c r="G145" i="3" s="1"/>
  <c r="D146" i="3"/>
  <c r="F146" i="3" s="1"/>
  <c r="G146" i="3" s="1"/>
  <c r="D147" i="3"/>
  <c r="F147" i="3" s="1"/>
  <c r="G147" i="3" s="1"/>
  <c r="D148" i="3"/>
  <c r="F148" i="3" s="1"/>
  <c r="G148" i="3" s="1"/>
  <c r="D149" i="3"/>
  <c r="F149" i="3" s="1"/>
  <c r="G149" i="3" s="1"/>
  <c r="D150" i="3"/>
  <c r="F150" i="3" s="1"/>
  <c r="G150" i="3" s="1"/>
  <c r="D151" i="3"/>
  <c r="F151" i="3" s="1"/>
  <c r="G151" i="3" s="1"/>
  <c r="D152" i="3"/>
  <c r="F152" i="3" s="1"/>
  <c r="G152" i="3" s="1"/>
  <c r="D153" i="3"/>
  <c r="F153" i="3" s="1"/>
  <c r="G153" i="3" s="1"/>
  <c r="D154" i="3"/>
  <c r="F154" i="3" s="1"/>
  <c r="G154" i="3" s="1"/>
  <c r="D155" i="3"/>
  <c r="F155" i="3" s="1"/>
  <c r="G155" i="3" s="1"/>
  <c r="D156" i="3"/>
  <c r="F156" i="3" s="1"/>
  <c r="G156" i="3" s="1"/>
  <c r="D157" i="3"/>
  <c r="F157" i="3" s="1"/>
  <c r="G157" i="3" s="1"/>
  <c r="D158" i="3"/>
  <c r="F158" i="3" s="1"/>
  <c r="G158" i="3" s="1"/>
  <c r="D159" i="3"/>
  <c r="F159" i="3" s="1"/>
  <c r="G159" i="3" s="1"/>
  <c r="D160" i="3"/>
  <c r="F160" i="3" s="1"/>
  <c r="G160" i="3" s="1"/>
  <c r="D161" i="3"/>
  <c r="F161" i="3" s="1"/>
  <c r="G161" i="3" s="1"/>
  <c r="D162" i="3"/>
  <c r="F162" i="3" s="1"/>
  <c r="G162" i="3" s="1"/>
  <c r="D163" i="3"/>
  <c r="F163" i="3" s="1"/>
  <c r="G163" i="3" s="1"/>
  <c r="D164" i="3"/>
  <c r="F164" i="3" s="1"/>
  <c r="G164" i="3" s="1"/>
  <c r="D165" i="3"/>
  <c r="F165" i="3" s="1"/>
  <c r="G165" i="3" s="1"/>
  <c r="D166" i="3"/>
  <c r="F166" i="3" s="1"/>
  <c r="G166" i="3" s="1"/>
  <c r="D167" i="3"/>
  <c r="F167" i="3" s="1"/>
  <c r="G167" i="3" s="1"/>
  <c r="D168" i="3"/>
  <c r="F168" i="3" s="1"/>
  <c r="G168" i="3" s="1"/>
  <c r="D169" i="3"/>
  <c r="F169" i="3" s="1"/>
  <c r="G169" i="3" s="1"/>
  <c r="D170" i="3"/>
  <c r="F170" i="3" s="1"/>
  <c r="G170" i="3" s="1"/>
  <c r="D171" i="3"/>
  <c r="F171" i="3" s="1"/>
  <c r="G171" i="3" s="1"/>
  <c r="D172" i="3"/>
  <c r="F172" i="3" s="1"/>
  <c r="G172" i="3" s="1"/>
  <c r="D173" i="3"/>
  <c r="F173" i="3" s="1"/>
  <c r="G173" i="3" s="1"/>
  <c r="D174" i="3"/>
  <c r="F174" i="3" s="1"/>
  <c r="G174" i="3" s="1"/>
  <c r="D175" i="3"/>
  <c r="F175" i="3" s="1"/>
  <c r="G175" i="3" s="1"/>
  <c r="D176" i="3"/>
  <c r="F176" i="3" s="1"/>
  <c r="G176" i="3" s="1"/>
  <c r="D177" i="3"/>
  <c r="F177" i="3" s="1"/>
  <c r="G177" i="3" s="1"/>
  <c r="D178" i="3"/>
  <c r="F178" i="3" s="1"/>
  <c r="G178" i="3" s="1"/>
  <c r="D179" i="3"/>
  <c r="F179" i="3" s="1"/>
  <c r="G179" i="3" s="1"/>
  <c r="D180" i="3"/>
  <c r="F180" i="3" s="1"/>
  <c r="G180" i="3" s="1"/>
  <c r="D181" i="3"/>
  <c r="F181" i="3" s="1"/>
  <c r="G181" i="3" s="1"/>
  <c r="D182" i="3"/>
  <c r="F182" i="3" s="1"/>
  <c r="G182" i="3" s="1"/>
  <c r="D183" i="3"/>
  <c r="F183" i="3" s="1"/>
  <c r="G183" i="3" s="1"/>
  <c r="D184" i="3"/>
  <c r="F184" i="3" s="1"/>
  <c r="G184" i="3" s="1"/>
  <c r="D185" i="3"/>
  <c r="F185" i="3" s="1"/>
  <c r="G185" i="3" s="1"/>
  <c r="D186" i="3"/>
  <c r="F186" i="3" s="1"/>
  <c r="G186" i="3" s="1"/>
  <c r="D187" i="3"/>
  <c r="F187" i="3" s="1"/>
  <c r="G187" i="3" s="1"/>
  <c r="D188" i="3"/>
  <c r="F188" i="3" s="1"/>
  <c r="G188" i="3" s="1"/>
  <c r="D189" i="3"/>
  <c r="F189" i="3" s="1"/>
  <c r="G189" i="3" s="1"/>
  <c r="D190" i="3"/>
  <c r="F190" i="3" s="1"/>
  <c r="G190" i="3" s="1"/>
  <c r="D191" i="3"/>
  <c r="F191" i="3" s="1"/>
  <c r="G191" i="3" s="1"/>
  <c r="D192" i="3"/>
  <c r="F192" i="3" s="1"/>
  <c r="G192" i="3" s="1"/>
  <c r="D193" i="3"/>
  <c r="F193" i="3" s="1"/>
  <c r="G193" i="3" s="1"/>
  <c r="D194" i="3"/>
  <c r="F194" i="3" s="1"/>
  <c r="G194" i="3" s="1"/>
  <c r="D195" i="3"/>
  <c r="F195" i="3" s="1"/>
  <c r="G195" i="3" s="1"/>
  <c r="D196" i="3"/>
  <c r="F196" i="3" s="1"/>
  <c r="G196" i="3" s="1"/>
  <c r="D197" i="3"/>
  <c r="F197" i="3" s="1"/>
  <c r="G197" i="3" s="1"/>
  <c r="D198" i="3"/>
  <c r="F198" i="3" s="1"/>
  <c r="G198" i="3" s="1"/>
  <c r="D199" i="3"/>
  <c r="F199" i="3" s="1"/>
  <c r="G199" i="3" s="1"/>
  <c r="D200" i="3"/>
  <c r="F200" i="3" s="1"/>
  <c r="G200" i="3" s="1"/>
  <c r="D201" i="3"/>
  <c r="F201" i="3" s="1"/>
  <c r="G201" i="3" s="1"/>
  <c r="D202" i="3"/>
  <c r="F202" i="3" s="1"/>
  <c r="G202" i="3" s="1"/>
  <c r="D203" i="3"/>
  <c r="F203" i="3" s="1"/>
  <c r="G203" i="3" s="1"/>
  <c r="D204" i="3"/>
  <c r="F204" i="3" s="1"/>
  <c r="G204" i="3" s="1"/>
  <c r="D205" i="3"/>
  <c r="F205" i="3" s="1"/>
  <c r="G205" i="3" s="1"/>
  <c r="D206" i="3"/>
  <c r="F206" i="3" s="1"/>
  <c r="G206" i="3" s="1"/>
  <c r="D207" i="3"/>
  <c r="F207" i="3" s="1"/>
  <c r="G207" i="3" s="1"/>
  <c r="D208" i="3"/>
  <c r="F208" i="3" s="1"/>
  <c r="G208" i="3" s="1"/>
  <c r="D209" i="3"/>
  <c r="F209" i="3" s="1"/>
  <c r="G209" i="3" s="1"/>
  <c r="D210" i="3"/>
  <c r="F210" i="3" s="1"/>
  <c r="G210" i="3" s="1"/>
  <c r="D211" i="3"/>
  <c r="F211" i="3" s="1"/>
  <c r="G211" i="3" s="1"/>
  <c r="D212" i="3"/>
  <c r="F212" i="3" s="1"/>
  <c r="G212" i="3" s="1"/>
  <c r="D213" i="3"/>
  <c r="F213" i="3" s="1"/>
  <c r="G213" i="3" s="1"/>
  <c r="D214" i="3"/>
  <c r="F214" i="3" s="1"/>
  <c r="G214" i="3" s="1"/>
  <c r="D215" i="3"/>
  <c r="F215" i="3" s="1"/>
  <c r="G215" i="3" s="1"/>
  <c r="D216" i="3"/>
  <c r="F216" i="3" s="1"/>
  <c r="G216" i="3" s="1"/>
  <c r="D217" i="3"/>
  <c r="F217" i="3" s="1"/>
  <c r="G217" i="3" s="1"/>
  <c r="D218" i="3"/>
  <c r="F218" i="3" s="1"/>
  <c r="G218" i="3" s="1"/>
  <c r="D219" i="3"/>
  <c r="F219" i="3" s="1"/>
  <c r="G219" i="3" s="1"/>
  <c r="D220" i="3"/>
  <c r="F220" i="3" s="1"/>
  <c r="G220" i="3" s="1"/>
  <c r="D221" i="3"/>
  <c r="F221" i="3" s="1"/>
  <c r="G221" i="3" s="1"/>
  <c r="D222" i="3"/>
  <c r="F222" i="3" s="1"/>
  <c r="G222" i="3" s="1"/>
  <c r="D223" i="3"/>
  <c r="F223" i="3" s="1"/>
  <c r="G223" i="3" s="1"/>
  <c r="D224" i="3"/>
  <c r="F224" i="3" s="1"/>
  <c r="G224" i="3" s="1"/>
  <c r="D225" i="3"/>
  <c r="F225" i="3" s="1"/>
  <c r="G225" i="3" s="1"/>
  <c r="D226" i="3"/>
  <c r="F226" i="3" s="1"/>
  <c r="G226" i="3" s="1"/>
  <c r="D227" i="3"/>
  <c r="F227" i="3" s="1"/>
  <c r="G227" i="3" s="1"/>
  <c r="D228" i="3"/>
  <c r="F228" i="3" s="1"/>
  <c r="G228" i="3" s="1"/>
  <c r="D229" i="3"/>
  <c r="F229" i="3" s="1"/>
  <c r="G229" i="3" s="1"/>
  <c r="D230" i="3"/>
  <c r="F230" i="3" s="1"/>
  <c r="G230" i="3" s="1"/>
  <c r="D231" i="3"/>
  <c r="F231" i="3" s="1"/>
  <c r="G231" i="3" s="1"/>
  <c r="D232" i="3"/>
  <c r="F232" i="3" s="1"/>
  <c r="G232" i="3" s="1"/>
  <c r="D233" i="3"/>
  <c r="F233" i="3" s="1"/>
  <c r="G233" i="3" s="1"/>
  <c r="D234" i="3"/>
  <c r="F234" i="3" s="1"/>
  <c r="G234" i="3" s="1"/>
  <c r="D235" i="3"/>
  <c r="F235" i="3" s="1"/>
  <c r="G235" i="3" s="1"/>
  <c r="D236" i="3"/>
  <c r="F236" i="3" s="1"/>
  <c r="G236" i="3" s="1"/>
  <c r="D237" i="3"/>
  <c r="F237" i="3" s="1"/>
  <c r="G237" i="3" s="1"/>
  <c r="D238" i="3"/>
  <c r="F238" i="3" s="1"/>
  <c r="G238" i="3" s="1"/>
  <c r="D239" i="3"/>
  <c r="F239" i="3" s="1"/>
  <c r="G239" i="3" s="1"/>
  <c r="D240" i="3"/>
  <c r="F240" i="3" s="1"/>
  <c r="G240" i="3" s="1"/>
  <c r="D241" i="3"/>
  <c r="F241" i="3" s="1"/>
  <c r="G241" i="3" s="1"/>
  <c r="D242" i="3"/>
  <c r="F242" i="3" s="1"/>
  <c r="G242" i="3" s="1"/>
  <c r="D243" i="3"/>
  <c r="F243" i="3" s="1"/>
  <c r="G243" i="3" s="1"/>
  <c r="D244" i="3"/>
  <c r="F244" i="3" s="1"/>
  <c r="G244" i="3" s="1"/>
  <c r="D245" i="3"/>
  <c r="F245" i="3" s="1"/>
  <c r="G245" i="3" s="1"/>
  <c r="D246" i="3"/>
  <c r="F246" i="3" s="1"/>
  <c r="G246" i="3" s="1"/>
  <c r="D247" i="3"/>
  <c r="F247" i="3" s="1"/>
  <c r="G247" i="3" s="1"/>
  <c r="D248" i="3"/>
  <c r="F248" i="3" s="1"/>
  <c r="G248" i="3" s="1"/>
  <c r="D249" i="3"/>
  <c r="F249" i="3" s="1"/>
  <c r="G249" i="3" s="1"/>
  <c r="D250" i="3"/>
  <c r="F250" i="3" s="1"/>
  <c r="G250" i="3" s="1"/>
  <c r="D251" i="3"/>
  <c r="F251" i="3" s="1"/>
  <c r="G251" i="3" s="1"/>
  <c r="D252" i="3"/>
  <c r="F252" i="3" s="1"/>
  <c r="G252" i="3" s="1"/>
  <c r="D253" i="3"/>
  <c r="F253" i="3" s="1"/>
  <c r="G253" i="3" s="1"/>
  <c r="D254" i="3"/>
  <c r="F254" i="3" s="1"/>
  <c r="G254" i="3" s="1"/>
  <c r="D255" i="3"/>
  <c r="F255" i="3" s="1"/>
  <c r="G255" i="3" s="1"/>
  <c r="D256" i="3"/>
  <c r="F256" i="3" s="1"/>
  <c r="G256" i="3" s="1"/>
  <c r="D257" i="3"/>
  <c r="F257" i="3" s="1"/>
  <c r="G257" i="3" s="1"/>
  <c r="D258" i="3"/>
  <c r="F258" i="3" s="1"/>
  <c r="G258" i="3" s="1"/>
  <c r="D259" i="3"/>
  <c r="F259" i="3" s="1"/>
  <c r="G259" i="3" s="1"/>
  <c r="D260" i="3"/>
  <c r="F260" i="3" s="1"/>
  <c r="G260" i="3" s="1"/>
  <c r="D261" i="3"/>
  <c r="F261" i="3" s="1"/>
  <c r="G261" i="3" s="1"/>
  <c r="D262" i="3"/>
  <c r="F262" i="3" s="1"/>
  <c r="G262" i="3" s="1"/>
  <c r="D263" i="3"/>
  <c r="F263" i="3" s="1"/>
  <c r="G263" i="3" s="1"/>
  <c r="D264" i="3"/>
  <c r="F264" i="3" s="1"/>
  <c r="G264" i="3" s="1"/>
  <c r="D265" i="3"/>
  <c r="F265" i="3" s="1"/>
  <c r="G265" i="3" s="1"/>
  <c r="D266" i="3"/>
  <c r="F266" i="3" s="1"/>
  <c r="G266" i="3" s="1"/>
  <c r="D267" i="3"/>
  <c r="F267" i="3" s="1"/>
  <c r="G267" i="3" s="1"/>
  <c r="D268" i="3"/>
  <c r="F268" i="3" s="1"/>
  <c r="G268" i="3" s="1"/>
  <c r="D269" i="3"/>
  <c r="F269" i="3" s="1"/>
  <c r="G269" i="3" s="1"/>
  <c r="D270" i="3"/>
  <c r="F270" i="3" s="1"/>
  <c r="G270" i="3" s="1"/>
  <c r="D271" i="3"/>
  <c r="F271" i="3" s="1"/>
  <c r="G271" i="3" s="1"/>
  <c r="D272" i="3"/>
  <c r="F272" i="3" s="1"/>
  <c r="G272" i="3" s="1"/>
  <c r="D273" i="3"/>
  <c r="F273" i="3" s="1"/>
  <c r="G273" i="3" s="1"/>
  <c r="D274" i="3"/>
  <c r="F274" i="3" s="1"/>
  <c r="G274" i="3" s="1"/>
  <c r="D275" i="3"/>
  <c r="F275" i="3" s="1"/>
  <c r="G275" i="3" s="1"/>
  <c r="D276" i="3"/>
  <c r="F276" i="3" s="1"/>
  <c r="G276" i="3" s="1"/>
  <c r="D277" i="3"/>
  <c r="F277" i="3" s="1"/>
  <c r="G277" i="3" s="1"/>
  <c r="D278" i="3"/>
  <c r="F278" i="3" s="1"/>
  <c r="G278" i="3" s="1"/>
  <c r="D279" i="3"/>
  <c r="F279" i="3" s="1"/>
  <c r="G279" i="3" s="1"/>
  <c r="D280" i="3"/>
  <c r="F280" i="3" s="1"/>
  <c r="G280" i="3" s="1"/>
  <c r="D281" i="3"/>
  <c r="F281" i="3" s="1"/>
  <c r="G281" i="3" s="1"/>
  <c r="D282" i="3"/>
  <c r="F282" i="3" s="1"/>
  <c r="G282" i="3" s="1"/>
  <c r="D283" i="3"/>
  <c r="F283" i="3" s="1"/>
  <c r="G283" i="3" s="1"/>
  <c r="D284" i="3"/>
  <c r="F284" i="3" s="1"/>
  <c r="G284" i="3" s="1"/>
  <c r="D285" i="3"/>
  <c r="F285" i="3" s="1"/>
  <c r="G285" i="3" s="1"/>
  <c r="D286" i="3"/>
  <c r="F286" i="3" s="1"/>
  <c r="G286" i="3" s="1"/>
  <c r="D287" i="3"/>
  <c r="F287" i="3" s="1"/>
  <c r="G287" i="3" s="1"/>
  <c r="D288" i="3"/>
  <c r="F288" i="3" s="1"/>
  <c r="G288" i="3" s="1"/>
  <c r="D289" i="3"/>
  <c r="F289" i="3" s="1"/>
  <c r="G289" i="3" s="1"/>
  <c r="D290" i="3"/>
  <c r="F290" i="3" s="1"/>
  <c r="G290" i="3" s="1"/>
  <c r="D291" i="3"/>
  <c r="F291" i="3" s="1"/>
  <c r="G291" i="3" s="1"/>
  <c r="D292" i="3"/>
  <c r="F292" i="3" s="1"/>
  <c r="G292" i="3" s="1"/>
  <c r="D293" i="3"/>
  <c r="F293" i="3" s="1"/>
  <c r="G293" i="3" s="1"/>
  <c r="D294" i="3"/>
  <c r="F294" i="3" s="1"/>
  <c r="G294" i="3" s="1"/>
  <c r="D295" i="3"/>
  <c r="F295" i="3" s="1"/>
  <c r="G295" i="3" s="1"/>
  <c r="D296" i="3"/>
  <c r="F296" i="3" s="1"/>
  <c r="G296" i="3" s="1"/>
  <c r="D297" i="3"/>
  <c r="F297" i="3" s="1"/>
  <c r="G297" i="3" s="1"/>
  <c r="D298" i="3"/>
  <c r="F298" i="3" s="1"/>
  <c r="G298" i="3" s="1"/>
  <c r="D299" i="3"/>
  <c r="F299" i="3" s="1"/>
  <c r="G299" i="3" s="1"/>
  <c r="D300" i="3"/>
  <c r="F300" i="3" s="1"/>
  <c r="G300" i="3" s="1"/>
  <c r="D301" i="3"/>
  <c r="F301" i="3" s="1"/>
  <c r="G301" i="3" s="1"/>
  <c r="D302" i="3"/>
  <c r="F302" i="3" s="1"/>
  <c r="G302" i="3" s="1"/>
  <c r="D303" i="3"/>
  <c r="F303" i="3" s="1"/>
  <c r="G303" i="3" s="1"/>
  <c r="D304" i="3"/>
  <c r="F304" i="3" s="1"/>
  <c r="G304" i="3" s="1"/>
  <c r="D305" i="3"/>
  <c r="F305" i="3" s="1"/>
  <c r="G305" i="3" s="1"/>
  <c r="D306" i="3"/>
  <c r="F306" i="3" s="1"/>
  <c r="G306" i="3" s="1"/>
  <c r="D307" i="3"/>
  <c r="F307" i="3" s="1"/>
  <c r="G307" i="3" s="1"/>
  <c r="D308" i="3"/>
  <c r="F308" i="3" s="1"/>
  <c r="G308" i="3" s="1"/>
  <c r="D309" i="3"/>
  <c r="F309" i="3" s="1"/>
  <c r="G309" i="3" s="1"/>
  <c r="D310" i="3"/>
  <c r="F310" i="3" s="1"/>
  <c r="G310" i="3" s="1"/>
  <c r="D311" i="3"/>
  <c r="F311" i="3" s="1"/>
  <c r="G311" i="3" s="1"/>
  <c r="D312" i="3"/>
  <c r="F312" i="3" s="1"/>
  <c r="G312" i="3" s="1"/>
  <c r="D313" i="3"/>
  <c r="F313" i="3" s="1"/>
  <c r="G313" i="3" s="1"/>
  <c r="D314" i="3"/>
  <c r="F314" i="3" s="1"/>
  <c r="G314" i="3" s="1"/>
  <c r="D315" i="3"/>
  <c r="F315" i="3" s="1"/>
  <c r="G315" i="3" s="1"/>
  <c r="D316" i="3"/>
  <c r="F316" i="3" s="1"/>
  <c r="G316" i="3" s="1"/>
  <c r="D317" i="3"/>
  <c r="F317" i="3" s="1"/>
  <c r="G317" i="3" s="1"/>
  <c r="D318" i="3"/>
  <c r="F318" i="3" s="1"/>
  <c r="G318" i="3" s="1"/>
  <c r="D319" i="3"/>
  <c r="F319" i="3" s="1"/>
  <c r="G319" i="3" s="1"/>
  <c r="D320" i="3"/>
  <c r="F320" i="3" s="1"/>
  <c r="G320" i="3" s="1"/>
  <c r="D321" i="3"/>
  <c r="F321" i="3" s="1"/>
  <c r="G321" i="3" s="1"/>
  <c r="D322" i="3"/>
  <c r="F322" i="3" s="1"/>
  <c r="G322" i="3" s="1"/>
  <c r="D323" i="3"/>
  <c r="F323" i="3" s="1"/>
  <c r="G323" i="3" s="1"/>
  <c r="D324" i="3"/>
  <c r="F324" i="3" s="1"/>
  <c r="G324" i="3" s="1"/>
  <c r="D325" i="3"/>
  <c r="F325" i="3" s="1"/>
  <c r="G325" i="3" s="1"/>
  <c r="D326" i="3"/>
  <c r="F326" i="3" s="1"/>
  <c r="G326" i="3" s="1"/>
  <c r="D327" i="3"/>
  <c r="F327" i="3" s="1"/>
  <c r="G327" i="3" s="1"/>
  <c r="D328" i="3"/>
  <c r="F328" i="3" s="1"/>
  <c r="G328" i="3" s="1"/>
  <c r="D329" i="3"/>
  <c r="F329" i="3" s="1"/>
  <c r="G329" i="3" s="1"/>
  <c r="D330" i="3"/>
  <c r="F330" i="3" s="1"/>
  <c r="G330" i="3" s="1"/>
  <c r="D331" i="3"/>
  <c r="F331" i="3" s="1"/>
  <c r="G331" i="3" s="1"/>
  <c r="D332" i="3"/>
  <c r="F332" i="3" s="1"/>
  <c r="G332" i="3" s="1"/>
  <c r="D333" i="3"/>
  <c r="F333" i="3" s="1"/>
  <c r="G333" i="3" s="1"/>
  <c r="D334" i="3"/>
  <c r="F334" i="3" s="1"/>
  <c r="G334" i="3" s="1"/>
  <c r="D335" i="3"/>
  <c r="F335" i="3" s="1"/>
  <c r="G335" i="3" s="1"/>
  <c r="D336" i="3"/>
  <c r="F336" i="3" s="1"/>
  <c r="G336" i="3" s="1"/>
  <c r="D337" i="3"/>
  <c r="F337" i="3" s="1"/>
  <c r="G337" i="3" s="1"/>
  <c r="D338" i="3"/>
  <c r="F338" i="3" s="1"/>
  <c r="G338" i="3" s="1"/>
  <c r="D339" i="3"/>
  <c r="F339" i="3" s="1"/>
  <c r="G339" i="3" s="1"/>
  <c r="D340" i="3"/>
  <c r="F340" i="3" s="1"/>
  <c r="G340" i="3" s="1"/>
  <c r="D341" i="3"/>
  <c r="F341" i="3" s="1"/>
  <c r="G341" i="3" s="1"/>
  <c r="D342" i="3"/>
  <c r="F342" i="3" s="1"/>
  <c r="G342" i="3" s="1"/>
  <c r="D343" i="3"/>
  <c r="F343" i="3" s="1"/>
  <c r="G343" i="3" s="1"/>
  <c r="D344" i="3"/>
  <c r="F344" i="3" s="1"/>
  <c r="G344" i="3" s="1"/>
  <c r="D345" i="3"/>
  <c r="F345" i="3" s="1"/>
  <c r="G345" i="3" s="1"/>
  <c r="D346" i="3"/>
  <c r="F346" i="3" s="1"/>
  <c r="G346" i="3" s="1"/>
  <c r="D347" i="3"/>
  <c r="F347" i="3" s="1"/>
  <c r="G347" i="3" s="1"/>
  <c r="D348" i="3"/>
  <c r="F348" i="3" s="1"/>
  <c r="G348" i="3" s="1"/>
  <c r="D349" i="3"/>
  <c r="F349" i="3" s="1"/>
  <c r="G349" i="3" s="1"/>
  <c r="D350" i="3"/>
  <c r="F350" i="3" s="1"/>
  <c r="G350" i="3" s="1"/>
  <c r="D351" i="3"/>
  <c r="F351" i="3" s="1"/>
  <c r="G351" i="3" s="1"/>
  <c r="D352" i="3"/>
  <c r="F352" i="3" s="1"/>
  <c r="G352" i="3" s="1"/>
  <c r="D353" i="3"/>
  <c r="F353" i="3" s="1"/>
  <c r="G353" i="3" s="1"/>
  <c r="D354" i="3"/>
  <c r="F354" i="3" s="1"/>
  <c r="G354" i="3" s="1"/>
  <c r="D355" i="3"/>
  <c r="F355" i="3" s="1"/>
  <c r="G355" i="3" s="1"/>
  <c r="D356" i="3"/>
  <c r="F356" i="3" s="1"/>
  <c r="G356" i="3" s="1"/>
  <c r="D357" i="3"/>
  <c r="F357" i="3" s="1"/>
  <c r="G357" i="3" s="1"/>
  <c r="D358" i="3"/>
  <c r="F358" i="3" s="1"/>
  <c r="G358" i="3" s="1"/>
  <c r="D359" i="3"/>
  <c r="F359" i="3" s="1"/>
  <c r="G359" i="3" s="1"/>
  <c r="D360" i="3"/>
  <c r="F360" i="3" s="1"/>
  <c r="G360" i="3" s="1"/>
  <c r="D361" i="3"/>
  <c r="F361" i="3" s="1"/>
  <c r="G361" i="3" s="1"/>
  <c r="D362" i="3"/>
  <c r="F362" i="3" s="1"/>
  <c r="G362" i="3" s="1"/>
  <c r="D363" i="3"/>
  <c r="F363" i="3" s="1"/>
  <c r="G363" i="3" s="1"/>
  <c r="D364" i="3"/>
  <c r="F364" i="3" s="1"/>
  <c r="G364" i="3" s="1"/>
  <c r="D365" i="3"/>
  <c r="F365" i="3" s="1"/>
  <c r="G365" i="3" s="1"/>
  <c r="D366" i="3"/>
  <c r="F366" i="3" s="1"/>
  <c r="G366" i="3" s="1"/>
  <c r="D367" i="3"/>
  <c r="F367" i="3" s="1"/>
  <c r="G367" i="3" s="1"/>
  <c r="D368" i="3"/>
  <c r="F368" i="3" s="1"/>
  <c r="G368" i="3" s="1"/>
  <c r="D369" i="3"/>
  <c r="F369" i="3" s="1"/>
  <c r="G369" i="3" s="1"/>
  <c r="D370" i="3"/>
  <c r="F370" i="3" s="1"/>
  <c r="G370" i="3" s="1"/>
  <c r="D371" i="3"/>
  <c r="F371" i="3" s="1"/>
  <c r="G371" i="3" s="1"/>
  <c r="D372" i="3"/>
  <c r="F372" i="3" s="1"/>
  <c r="G372" i="3" s="1"/>
  <c r="D373" i="3"/>
  <c r="F373" i="3" s="1"/>
  <c r="G373" i="3" s="1"/>
  <c r="D374" i="3"/>
  <c r="F374" i="3" s="1"/>
  <c r="G374" i="3" s="1"/>
  <c r="D375" i="3"/>
  <c r="F375" i="3" s="1"/>
  <c r="G375" i="3" s="1"/>
  <c r="D376" i="3"/>
  <c r="F376" i="3" s="1"/>
  <c r="G376" i="3" s="1"/>
  <c r="D377" i="3"/>
  <c r="F377" i="3" s="1"/>
  <c r="G377" i="3" s="1"/>
  <c r="D378" i="3"/>
  <c r="F378" i="3" s="1"/>
  <c r="G378" i="3" s="1"/>
  <c r="D379" i="3"/>
  <c r="F379" i="3" s="1"/>
  <c r="G379" i="3" s="1"/>
  <c r="D380" i="3"/>
  <c r="F380" i="3" s="1"/>
  <c r="G380" i="3" s="1"/>
  <c r="D381" i="3"/>
  <c r="F381" i="3" s="1"/>
  <c r="G381" i="3" s="1"/>
  <c r="D382" i="3"/>
  <c r="F382" i="3" s="1"/>
  <c r="G382" i="3" s="1"/>
  <c r="D383" i="3"/>
  <c r="F383" i="3" s="1"/>
  <c r="G383" i="3" s="1"/>
  <c r="D384" i="3"/>
  <c r="F384" i="3" s="1"/>
  <c r="G384" i="3" s="1"/>
  <c r="D385" i="3"/>
  <c r="F385" i="3" s="1"/>
  <c r="G385" i="3" s="1"/>
  <c r="D386" i="3"/>
  <c r="F386" i="3" s="1"/>
  <c r="G386" i="3" s="1"/>
  <c r="D387" i="3"/>
  <c r="F387" i="3" s="1"/>
  <c r="G387" i="3" s="1"/>
  <c r="D388" i="3"/>
  <c r="F388" i="3" s="1"/>
  <c r="G388" i="3" s="1"/>
  <c r="D389" i="3"/>
  <c r="F389" i="3" s="1"/>
  <c r="G389" i="3" s="1"/>
  <c r="D390" i="3"/>
  <c r="F390" i="3" s="1"/>
  <c r="G390" i="3" s="1"/>
  <c r="D391" i="3"/>
  <c r="F391" i="3" s="1"/>
  <c r="G391" i="3" s="1"/>
  <c r="D392" i="3"/>
  <c r="F392" i="3" s="1"/>
  <c r="G392" i="3" s="1"/>
  <c r="D393" i="3"/>
  <c r="F393" i="3" s="1"/>
  <c r="G393" i="3" s="1"/>
  <c r="D394" i="3"/>
  <c r="F394" i="3" s="1"/>
  <c r="G394" i="3" s="1"/>
  <c r="D395" i="3"/>
  <c r="F395" i="3" s="1"/>
  <c r="G395" i="3" s="1"/>
  <c r="D396" i="3"/>
  <c r="F396" i="3" s="1"/>
  <c r="G396" i="3" s="1"/>
  <c r="D397" i="3"/>
  <c r="F397" i="3" s="1"/>
  <c r="G397" i="3" s="1"/>
  <c r="D398" i="3"/>
  <c r="F398" i="3" s="1"/>
  <c r="G398" i="3" s="1"/>
  <c r="D399" i="3"/>
  <c r="F399" i="3" s="1"/>
  <c r="G399" i="3" s="1"/>
  <c r="D400" i="3"/>
  <c r="F400" i="3" s="1"/>
  <c r="G400" i="3" s="1"/>
  <c r="D401" i="3"/>
  <c r="F401" i="3" s="1"/>
  <c r="G401" i="3" s="1"/>
  <c r="D402" i="3"/>
  <c r="F402" i="3" s="1"/>
  <c r="G402" i="3" s="1"/>
  <c r="D403" i="3"/>
  <c r="F403" i="3" s="1"/>
  <c r="G403" i="3" s="1"/>
  <c r="D404" i="3"/>
  <c r="F404" i="3" s="1"/>
  <c r="G404" i="3" s="1"/>
  <c r="D405" i="3"/>
  <c r="F405" i="3" s="1"/>
  <c r="G405" i="3" s="1"/>
  <c r="D406" i="3"/>
  <c r="F406" i="3" s="1"/>
  <c r="G406" i="3" s="1"/>
  <c r="D407" i="3"/>
  <c r="F407" i="3" s="1"/>
  <c r="G407" i="3" s="1"/>
  <c r="D408" i="3"/>
  <c r="F408" i="3" s="1"/>
  <c r="G408" i="3" s="1"/>
  <c r="D409" i="3"/>
  <c r="F409" i="3" s="1"/>
  <c r="G409" i="3" s="1"/>
  <c r="D410" i="3"/>
  <c r="F410" i="3" s="1"/>
  <c r="G410" i="3" s="1"/>
  <c r="D411" i="3"/>
  <c r="F411" i="3" s="1"/>
  <c r="G411" i="3" s="1"/>
  <c r="D412" i="3"/>
  <c r="F412" i="3" s="1"/>
  <c r="G412" i="3" s="1"/>
  <c r="D413" i="3"/>
  <c r="F413" i="3" s="1"/>
  <c r="G413" i="3" s="1"/>
  <c r="D414" i="3"/>
  <c r="F414" i="3" s="1"/>
  <c r="G414" i="3" s="1"/>
  <c r="D415" i="3"/>
  <c r="F415" i="3" s="1"/>
  <c r="G415" i="3" s="1"/>
  <c r="D416" i="3"/>
  <c r="F416" i="3" s="1"/>
  <c r="G416" i="3" s="1"/>
  <c r="D417" i="3"/>
  <c r="F417" i="3" s="1"/>
  <c r="G417" i="3" s="1"/>
  <c r="D418" i="3"/>
  <c r="F418" i="3" s="1"/>
  <c r="G418" i="3" s="1"/>
  <c r="D419" i="3"/>
  <c r="F419" i="3" s="1"/>
  <c r="G419" i="3" s="1"/>
  <c r="D420" i="3"/>
  <c r="F420" i="3" s="1"/>
  <c r="G420" i="3" s="1"/>
  <c r="D421" i="3"/>
  <c r="F421" i="3" s="1"/>
  <c r="G421" i="3" s="1"/>
  <c r="D422" i="3"/>
  <c r="F422" i="3" s="1"/>
  <c r="G422" i="3" s="1"/>
  <c r="D423" i="3"/>
  <c r="F423" i="3" s="1"/>
  <c r="G423" i="3" s="1"/>
  <c r="D424" i="3"/>
  <c r="F424" i="3" s="1"/>
  <c r="G424" i="3" s="1"/>
  <c r="D425" i="3"/>
  <c r="F425" i="3" s="1"/>
  <c r="G425" i="3" s="1"/>
  <c r="D426" i="3"/>
  <c r="F426" i="3" s="1"/>
  <c r="G426" i="3" s="1"/>
  <c r="D427" i="3"/>
  <c r="F427" i="3" s="1"/>
  <c r="G427" i="3" s="1"/>
  <c r="D428" i="3"/>
  <c r="F428" i="3" s="1"/>
  <c r="G428" i="3" s="1"/>
  <c r="D429" i="3"/>
  <c r="F429" i="3" s="1"/>
  <c r="G429" i="3" s="1"/>
  <c r="D430" i="3"/>
  <c r="F430" i="3" s="1"/>
  <c r="G430" i="3" s="1"/>
  <c r="D431" i="3"/>
  <c r="F431" i="3" s="1"/>
  <c r="G431" i="3" s="1"/>
  <c r="D432" i="3"/>
  <c r="F432" i="3" s="1"/>
  <c r="G432" i="3" s="1"/>
  <c r="D433" i="3"/>
  <c r="F433" i="3" s="1"/>
  <c r="G433" i="3" s="1"/>
  <c r="D434" i="3"/>
  <c r="F434" i="3" s="1"/>
  <c r="G434" i="3" s="1"/>
  <c r="D435" i="3"/>
  <c r="F435" i="3" s="1"/>
  <c r="G435" i="3" s="1"/>
  <c r="D436" i="3"/>
  <c r="F436" i="3" s="1"/>
  <c r="G436" i="3" s="1"/>
  <c r="D437" i="3"/>
  <c r="F437" i="3" s="1"/>
  <c r="G437" i="3" s="1"/>
  <c r="D438" i="3"/>
  <c r="F438" i="3" s="1"/>
  <c r="G438" i="3" s="1"/>
  <c r="D439" i="3"/>
  <c r="F439" i="3" s="1"/>
  <c r="G439" i="3" s="1"/>
  <c r="D440" i="3"/>
  <c r="F440" i="3" s="1"/>
  <c r="G440" i="3" s="1"/>
  <c r="D441" i="3"/>
  <c r="F441" i="3" s="1"/>
  <c r="G441" i="3" s="1"/>
  <c r="D442" i="3"/>
  <c r="F442" i="3" s="1"/>
  <c r="G442" i="3" s="1"/>
  <c r="D443" i="3"/>
  <c r="F443" i="3" s="1"/>
  <c r="G443" i="3" s="1"/>
  <c r="D444" i="3"/>
  <c r="F444" i="3" s="1"/>
  <c r="G444" i="3" s="1"/>
  <c r="D445" i="3"/>
  <c r="F445" i="3" s="1"/>
  <c r="G445" i="3" s="1"/>
  <c r="D446" i="3"/>
  <c r="F446" i="3" s="1"/>
  <c r="G446" i="3" s="1"/>
  <c r="D447" i="3"/>
  <c r="F447" i="3" s="1"/>
  <c r="G447" i="3" s="1"/>
  <c r="D448" i="3"/>
  <c r="F448" i="3" s="1"/>
  <c r="G448" i="3" s="1"/>
  <c r="D449" i="3"/>
  <c r="F449" i="3" s="1"/>
  <c r="G449" i="3" s="1"/>
  <c r="D450" i="3"/>
  <c r="F450" i="3" s="1"/>
  <c r="G450" i="3" s="1"/>
  <c r="D451" i="3"/>
  <c r="F451" i="3" s="1"/>
  <c r="G451" i="3" s="1"/>
  <c r="D452" i="3"/>
  <c r="F452" i="3" s="1"/>
  <c r="G452" i="3" s="1"/>
  <c r="D453" i="3"/>
  <c r="F453" i="3" s="1"/>
  <c r="G453" i="3" s="1"/>
  <c r="D454" i="3"/>
  <c r="F454" i="3" s="1"/>
  <c r="G454" i="3" s="1"/>
  <c r="D455" i="3"/>
  <c r="F455" i="3" s="1"/>
  <c r="G455" i="3" s="1"/>
  <c r="D456" i="3"/>
  <c r="F456" i="3" s="1"/>
  <c r="G456" i="3" s="1"/>
  <c r="D457" i="3"/>
  <c r="F457" i="3" s="1"/>
  <c r="G457" i="3" s="1"/>
  <c r="D458" i="3"/>
  <c r="F458" i="3" s="1"/>
  <c r="G458" i="3" s="1"/>
  <c r="D459" i="3"/>
  <c r="F459" i="3" s="1"/>
  <c r="G459" i="3" s="1"/>
  <c r="D460" i="3"/>
  <c r="F460" i="3" s="1"/>
  <c r="G460" i="3" s="1"/>
  <c r="D461" i="3"/>
  <c r="F461" i="3" s="1"/>
  <c r="G461" i="3" s="1"/>
  <c r="D462" i="3"/>
  <c r="F462" i="3" s="1"/>
  <c r="G462" i="3" s="1"/>
  <c r="D463" i="3"/>
  <c r="F463" i="3" s="1"/>
  <c r="G463" i="3" s="1"/>
  <c r="D464" i="3"/>
  <c r="F464" i="3" s="1"/>
  <c r="G464" i="3" s="1"/>
  <c r="D465" i="3"/>
  <c r="F465" i="3" s="1"/>
  <c r="G465" i="3" s="1"/>
  <c r="D466" i="3"/>
  <c r="F466" i="3" s="1"/>
  <c r="G466" i="3" s="1"/>
  <c r="D467" i="3"/>
  <c r="F467" i="3" s="1"/>
  <c r="G467" i="3" s="1"/>
  <c r="D468" i="3"/>
  <c r="F468" i="3" s="1"/>
  <c r="G468" i="3" s="1"/>
  <c r="D469" i="3"/>
  <c r="F469" i="3" s="1"/>
  <c r="G469" i="3" s="1"/>
  <c r="D470" i="3"/>
  <c r="F470" i="3" s="1"/>
  <c r="G470" i="3" s="1"/>
  <c r="D471" i="3"/>
  <c r="F471" i="3" s="1"/>
  <c r="G471" i="3" s="1"/>
  <c r="D472" i="3"/>
  <c r="F472" i="3" s="1"/>
  <c r="G472" i="3" s="1"/>
  <c r="D473" i="3"/>
  <c r="F473" i="3" s="1"/>
  <c r="G473" i="3" s="1"/>
  <c r="D474" i="3"/>
  <c r="F474" i="3" s="1"/>
  <c r="G474" i="3" s="1"/>
  <c r="D475" i="3"/>
  <c r="F475" i="3" s="1"/>
  <c r="G475" i="3" s="1"/>
  <c r="D476" i="3"/>
  <c r="F476" i="3" s="1"/>
  <c r="G476" i="3" s="1"/>
  <c r="D477" i="3"/>
  <c r="F477" i="3" s="1"/>
  <c r="G477" i="3" s="1"/>
  <c r="D478" i="3"/>
  <c r="F478" i="3" s="1"/>
  <c r="G478" i="3" s="1"/>
  <c r="D479" i="3"/>
  <c r="F479" i="3" s="1"/>
  <c r="G479" i="3" s="1"/>
  <c r="D480" i="3"/>
  <c r="F480" i="3" s="1"/>
  <c r="G480" i="3" s="1"/>
  <c r="D481" i="3"/>
  <c r="F481" i="3" s="1"/>
  <c r="G481" i="3" s="1"/>
  <c r="D482" i="3"/>
  <c r="F482" i="3" s="1"/>
  <c r="G482" i="3" s="1"/>
  <c r="D483" i="3"/>
  <c r="F483" i="3" s="1"/>
  <c r="G483" i="3" s="1"/>
  <c r="D484" i="3"/>
  <c r="F484" i="3" s="1"/>
  <c r="G484" i="3" s="1"/>
  <c r="D485" i="3"/>
  <c r="F485" i="3" s="1"/>
  <c r="G485" i="3" s="1"/>
  <c r="D486" i="3"/>
  <c r="F486" i="3" s="1"/>
  <c r="G486" i="3" s="1"/>
  <c r="D487" i="3"/>
  <c r="F487" i="3" s="1"/>
  <c r="G487" i="3" s="1"/>
  <c r="D488" i="3"/>
  <c r="F488" i="3" s="1"/>
  <c r="G488" i="3" s="1"/>
  <c r="D489" i="3"/>
  <c r="F489" i="3" s="1"/>
  <c r="G489" i="3" s="1"/>
  <c r="D490" i="3"/>
  <c r="F490" i="3" s="1"/>
  <c r="G490" i="3" s="1"/>
  <c r="D491" i="3"/>
  <c r="F491" i="3" s="1"/>
  <c r="G491" i="3" s="1"/>
  <c r="D492" i="3"/>
  <c r="F492" i="3" s="1"/>
  <c r="G492" i="3" s="1"/>
  <c r="D493" i="3"/>
  <c r="F493" i="3" s="1"/>
  <c r="G493" i="3" s="1"/>
  <c r="D494" i="3"/>
  <c r="F494" i="3" s="1"/>
  <c r="G494" i="3" s="1"/>
  <c r="D495" i="3"/>
  <c r="F495" i="3" s="1"/>
  <c r="G495" i="3" s="1"/>
  <c r="D496" i="3"/>
  <c r="F496" i="3" s="1"/>
  <c r="G496" i="3" s="1"/>
  <c r="D497" i="3"/>
  <c r="F497" i="3" s="1"/>
  <c r="G497" i="3" s="1"/>
  <c r="D498" i="3"/>
  <c r="F498" i="3" s="1"/>
  <c r="G498" i="3" s="1"/>
  <c r="D499" i="3"/>
  <c r="F499" i="3" s="1"/>
  <c r="G499" i="3" s="1"/>
  <c r="D500" i="3"/>
  <c r="F500" i="3" s="1"/>
  <c r="G500" i="3" s="1"/>
  <c r="D501" i="3"/>
  <c r="F501" i="3" s="1"/>
  <c r="G501" i="3" s="1"/>
  <c r="D502" i="3"/>
  <c r="F502" i="3" s="1"/>
  <c r="G502" i="3" s="1"/>
  <c r="D503" i="3"/>
  <c r="F503" i="3" s="1"/>
  <c r="G503" i="3" s="1"/>
  <c r="D504" i="3"/>
  <c r="F504" i="3" s="1"/>
  <c r="G504" i="3" s="1"/>
  <c r="D505" i="3"/>
  <c r="F505" i="3" s="1"/>
  <c r="G505" i="3" s="1"/>
  <c r="D506" i="3"/>
  <c r="F506" i="3" s="1"/>
  <c r="G506" i="3" s="1"/>
  <c r="D507" i="3"/>
  <c r="F507" i="3" s="1"/>
  <c r="G507" i="3" s="1"/>
  <c r="D508" i="3"/>
  <c r="F508" i="3" s="1"/>
  <c r="G508" i="3" s="1"/>
  <c r="D509" i="3"/>
  <c r="F509" i="3" s="1"/>
  <c r="G509" i="3" s="1"/>
  <c r="D510" i="3"/>
  <c r="F510" i="3" s="1"/>
  <c r="G510" i="3" s="1"/>
  <c r="D511" i="3"/>
  <c r="F511" i="3" s="1"/>
  <c r="G511" i="3" s="1"/>
  <c r="D512" i="3"/>
  <c r="F512" i="3" s="1"/>
  <c r="G512" i="3" s="1"/>
  <c r="D513" i="3"/>
  <c r="F513" i="3" s="1"/>
  <c r="G513" i="3" s="1"/>
  <c r="D514" i="3"/>
  <c r="F514" i="3" s="1"/>
  <c r="G514" i="3" s="1"/>
  <c r="D515" i="3"/>
  <c r="F515" i="3" s="1"/>
  <c r="G515" i="3" s="1"/>
  <c r="D516" i="3"/>
  <c r="F516" i="3" s="1"/>
  <c r="G516" i="3" s="1"/>
  <c r="D517" i="3"/>
  <c r="F517" i="3" s="1"/>
  <c r="G517" i="3" s="1"/>
  <c r="D518" i="3"/>
  <c r="F518" i="3" s="1"/>
  <c r="G518" i="3" s="1"/>
  <c r="D519" i="3"/>
  <c r="F519" i="3" s="1"/>
  <c r="G519" i="3" s="1"/>
  <c r="D520" i="3"/>
  <c r="F520" i="3" s="1"/>
  <c r="G520" i="3" s="1"/>
  <c r="D521" i="3"/>
  <c r="F521" i="3" s="1"/>
  <c r="G521" i="3" s="1"/>
  <c r="D522" i="3"/>
  <c r="F522" i="3" s="1"/>
  <c r="G522" i="3" s="1"/>
  <c r="D523" i="3"/>
  <c r="F523" i="3" s="1"/>
  <c r="G523" i="3" s="1"/>
  <c r="D524" i="3"/>
  <c r="F524" i="3" s="1"/>
  <c r="G524" i="3" s="1"/>
  <c r="D525" i="3"/>
  <c r="F525" i="3" s="1"/>
  <c r="G525" i="3" s="1"/>
  <c r="D526" i="3"/>
  <c r="F526" i="3" s="1"/>
  <c r="G526" i="3" s="1"/>
  <c r="D527" i="3"/>
  <c r="F527" i="3" s="1"/>
  <c r="G527" i="3" s="1"/>
  <c r="D528" i="3"/>
  <c r="F528" i="3" s="1"/>
  <c r="G528" i="3" s="1"/>
  <c r="D529" i="3"/>
  <c r="F529" i="3" s="1"/>
  <c r="G529" i="3" s="1"/>
  <c r="D530" i="3"/>
  <c r="F530" i="3" s="1"/>
  <c r="G530" i="3" s="1"/>
  <c r="D531" i="3"/>
  <c r="F531" i="3" s="1"/>
  <c r="G531" i="3" s="1"/>
  <c r="D532" i="3"/>
  <c r="F532" i="3" s="1"/>
  <c r="G532" i="3" s="1"/>
  <c r="D533" i="3"/>
  <c r="F533" i="3" s="1"/>
  <c r="G533" i="3" s="1"/>
  <c r="D534" i="3"/>
  <c r="F534" i="3" s="1"/>
  <c r="G534" i="3" s="1"/>
  <c r="D535" i="3"/>
  <c r="F535" i="3" s="1"/>
  <c r="G535" i="3" s="1"/>
  <c r="D536" i="3"/>
  <c r="F536" i="3" s="1"/>
  <c r="G536" i="3" s="1"/>
  <c r="D537" i="3"/>
  <c r="F537" i="3" s="1"/>
  <c r="G537" i="3" s="1"/>
  <c r="D538" i="3"/>
  <c r="F538" i="3" s="1"/>
  <c r="G538" i="3" s="1"/>
  <c r="D539" i="3"/>
  <c r="F539" i="3" s="1"/>
  <c r="G539" i="3" s="1"/>
  <c r="D540" i="3"/>
  <c r="F540" i="3" s="1"/>
  <c r="G540" i="3" s="1"/>
  <c r="D541" i="3"/>
  <c r="F541" i="3" s="1"/>
  <c r="G541" i="3" s="1"/>
  <c r="D542" i="3"/>
  <c r="F542" i="3" s="1"/>
  <c r="G542" i="3" s="1"/>
  <c r="D543" i="3"/>
  <c r="F543" i="3" s="1"/>
  <c r="G543" i="3" s="1"/>
  <c r="D544" i="3"/>
  <c r="F544" i="3" s="1"/>
  <c r="G544" i="3" s="1"/>
  <c r="D545" i="3"/>
  <c r="F545" i="3" s="1"/>
  <c r="G545" i="3" s="1"/>
  <c r="D546" i="3"/>
  <c r="F546" i="3" s="1"/>
  <c r="G546" i="3" s="1"/>
  <c r="D547" i="3"/>
  <c r="F547" i="3" s="1"/>
  <c r="G547" i="3" s="1"/>
  <c r="D548" i="3"/>
  <c r="F548" i="3" s="1"/>
  <c r="G548" i="3" s="1"/>
  <c r="D549" i="3"/>
  <c r="F549" i="3" s="1"/>
  <c r="G549" i="3" s="1"/>
  <c r="D550" i="3"/>
  <c r="F550" i="3" s="1"/>
  <c r="G550" i="3" s="1"/>
  <c r="D551" i="3"/>
  <c r="F551" i="3" s="1"/>
  <c r="G551" i="3" s="1"/>
  <c r="D552" i="3"/>
  <c r="F552" i="3" s="1"/>
  <c r="G552" i="3" s="1"/>
  <c r="D553" i="3"/>
  <c r="F553" i="3" s="1"/>
  <c r="G553" i="3" s="1"/>
  <c r="D554" i="3"/>
  <c r="F554" i="3" s="1"/>
  <c r="G554" i="3" s="1"/>
  <c r="D555" i="3"/>
  <c r="F555" i="3" s="1"/>
  <c r="G555" i="3" s="1"/>
  <c r="D556" i="3"/>
  <c r="F556" i="3" s="1"/>
  <c r="G556" i="3" s="1"/>
  <c r="D557" i="3"/>
  <c r="F557" i="3" s="1"/>
  <c r="G557" i="3" s="1"/>
  <c r="D558" i="3"/>
  <c r="F558" i="3" s="1"/>
  <c r="G558" i="3" s="1"/>
  <c r="D559" i="3"/>
  <c r="F559" i="3" s="1"/>
  <c r="G559" i="3" s="1"/>
  <c r="D560" i="3"/>
  <c r="F560" i="3" s="1"/>
  <c r="G560" i="3" s="1"/>
  <c r="D561" i="3"/>
  <c r="F561" i="3" s="1"/>
  <c r="G561" i="3" s="1"/>
  <c r="D562" i="3"/>
  <c r="F562" i="3" s="1"/>
  <c r="G562" i="3" s="1"/>
  <c r="D563" i="3"/>
  <c r="F563" i="3" s="1"/>
  <c r="G563" i="3" s="1"/>
  <c r="D564" i="3"/>
  <c r="F564" i="3" s="1"/>
  <c r="G564" i="3" s="1"/>
  <c r="D565" i="3"/>
  <c r="F565" i="3" s="1"/>
  <c r="G565" i="3" s="1"/>
  <c r="D566" i="3"/>
  <c r="F566" i="3" s="1"/>
  <c r="G566" i="3" s="1"/>
  <c r="D567" i="3"/>
  <c r="F567" i="3" s="1"/>
  <c r="G567" i="3" s="1"/>
  <c r="D568" i="3"/>
  <c r="F568" i="3" s="1"/>
  <c r="G568" i="3" s="1"/>
  <c r="D569" i="3"/>
  <c r="F569" i="3" s="1"/>
  <c r="G569" i="3" s="1"/>
  <c r="D570" i="3"/>
  <c r="F570" i="3" s="1"/>
  <c r="G570" i="3" s="1"/>
  <c r="D571" i="3"/>
  <c r="F571" i="3" s="1"/>
  <c r="G571" i="3" s="1"/>
  <c r="D572" i="3"/>
  <c r="F572" i="3" s="1"/>
  <c r="G572" i="3" s="1"/>
  <c r="D573" i="3"/>
  <c r="F573" i="3" s="1"/>
  <c r="G573" i="3" s="1"/>
  <c r="D574" i="3"/>
  <c r="F574" i="3" s="1"/>
  <c r="G574" i="3" s="1"/>
  <c r="D575" i="3"/>
  <c r="F575" i="3" s="1"/>
  <c r="G575" i="3" s="1"/>
  <c r="D576" i="3"/>
  <c r="F576" i="3" s="1"/>
  <c r="G576" i="3" s="1"/>
  <c r="D577" i="3"/>
  <c r="F577" i="3" s="1"/>
  <c r="G577" i="3" s="1"/>
  <c r="D578" i="3"/>
  <c r="F578" i="3" s="1"/>
  <c r="G578" i="3" s="1"/>
  <c r="D579" i="3"/>
  <c r="F579" i="3" s="1"/>
  <c r="G579" i="3" s="1"/>
  <c r="D580" i="3"/>
  <c r="F580" i="3" s="1"/>
  <c r="G580" i="3" s="1"/>
  <c r="D581" i="3"/>
  <c r="F581" i="3" s="1"/>
  <c r="G581" i="3" s="1"/>
  <c r="D582" i="3"/>
  <c r="F582" i="3" s="1"/>
  <c r="G582" i="3" s="1"/>
  <c r="D583" i="3"/>
  <c r="F583" i="3" s="1"/>
  <c r="G583" i="3" s="1"/>
  <c r="D584" i="3"/>
  <c r="F584" i="3" s="1"/>
  <c r="G584" i="3" s="1"/>
  <c r="D585" i="3"/>
  <c r="F585" i="3" s="1"/>
  <c r="G585" i="3" s="1"/>
  <c r="D586" i="3"/>
  <c r="F586" i="3" s="1"/>
  <c r="G586" i="3" s="1"/>
  <c r="D587" i="3"/>
  <c r="F587" i="3" s="1"/>
  <c r="G587" i="3" s="1"/>
  <c r="D588" i="3"/>
  <c r="F588" i="3" s="1"/>
  <c r="G588" i="3" s="1"/>
  <c r="D589" i="3"/>
  <c r="F589" i="3" s="1"/>
  <c r="G589" i="3" s="1"/>
  <c r="D590" i="3"/>
  <c r="F590" i="3" s="1"/>
  <c r="G590" i="3" s="1"/>
  <c r="D591" i="3"/>
  <c r="F591" i="3" s="1"/>
  <c r="G591" i="3" s="1"/>
  <c r="D592" i="3"/>
  <c r="F592" i="3" s="1"/>
  <c r="G592" i="3" s="1"/>
  <c r="D593" i="3"/>
  <c r="F593" i="3" s="1"/>
  <c r="G593" i="3" s="1"/>
  <c r="D594" i="3"/>
  <c r="F594" i="3" s="1"/>
  <c r="G594" i="3" s="1"/>
  <c r="D595" i="3"/>
  <c r="F595" i="3" s="1"/>
  <c r="G595" i="3" s="1"/>
  <c r="D596" i="3"/>
  <c r="F596" i="3" s="1"/>
  <c r="G596" i="3" s="1"/>
  <c r="D597" i="3"/>
  <c r="F597" i="3" s="1"/>
  <c r="G597" i="3" s="1"/>
  <c r="D598" i="3"/>
  <c r="F598" i="3" s="1"/>
  <c r="G598" i="3" s="1"/>
  <c r="D599" i="3"/>
  <c r="F599" i="3" s="1"/>
  <c r="G599" i="3" s="1"/>
  <c r="D600" i="3"/>
  <c r="F600" i="3" s="1"/>
  <c r="G600" i="3" s="1"/>
  <c r="D601" i="3"/>
  <c r="F601" i="3" s="1"/>
  <c r="G601" i="3" s="1"/>
  <c r="D602" i="3"/>
  <c r="F602" i="3" s="1"/>
  <c r="G602" i="3" s="1"/>
  <c r="D603" i="3"/>
  <c r="F603" i="3" s="1"/>
  <c r="G603" i="3" s="1"/>
  <c r="D604" i="3"/>
  <c r="F604" i="3" s="1"/>
  <c r="G604" i="3" s="1"/>
  <c r="D605" i="3"/>
  <c r="F605" i="3" s="1"/>
  <c r="G605" i="3" s="1"/>
  <c r="D606" i="3"/>
  <c r="F606" i="3" s="1"/>
  <c r="G606" i="3" s="1"/>
  <c r="D607" i="3"/>
  <c r="F607" i="3" s="1"/>
  <c r="G607" i="3" s="1"/>
  <c r="D608" i="3"/>
  <c r="F608" i="3" s="1"/>
  <c r="G608" i="3" s="1"/>
  <c r="D609" i="3"/>
  <c r="F609" i="3" s="1"/>
  <c r="G609" i="3" s="1"/>
  <c r="D610" i="3"/>
  <c r="F610" i="3" s="1"/>
  <c r="G610" i="3" s="1"/>
  <c r="D611" i="3"/>
  <c r="F611" i="3" s="1"/>
  <c r="G611" i="3" s="1"/>
  <c r="D612" i="3"/>
  <c r="F612" i="3" s="1"/>
  <c r="G612" i="3" s="1"/>
  <c r="D613" i="3"/>
  <c r="F613" i="3" s="1"/>
  <c r="G613" i="3" s="1"/>
  <c r="D614" i="3"/>
  <c r="F614" i="3" s="1"/>
  <c r="G614" i="3" s="1"/>
  <c r="D615" i="3"/>
  <c r="F615" i="3" s="1"/>
  <c r="G615" i="3" s="1"/>
  <c r="D616" i="3"/>
  <c r="F616" i="3" s="1"/>
  <c r="G616" i="3" s="1"/>
  <c r="D617" i="3"/>
  <c r="F617" i="3" s="1"/>
  <c r="G617" i="3" s="1"/>
  <c r="D618" i="3"/>
  <c r="F618" i="3" s="1"/>
  <c r="G618" i="3" s="1"/>
  <c r="D619" i="3"/>
  <c r="F619" i="3" s="1"/>
  <c r="G619" i="3" s="1"/>
  <c r="D620" i="3"/>
  <c r="F620" i="3" s="1"/>
  <c r="G620" i="3" s="1"/>
  <c r="D621" i="3"/>
  <c r="F621" i="3" s="1"/>
  <c r="G621" i="3" s="1"/>
  <c r="D622" i="3"/>
  <c r="F622" i="3" s="1"/>
  <c r="G622" i="3" s="1"/>
  <c r="D623" i="3"/>
  <c r="F623" i="3" s="1"/>
  <c r="G623" i="3" s="1"/>
  <c r="D624" i="3"/>
  <c r="F624" i="3" s="1"/>
  <c r="G624" i="3" s="1"/>
  <c r="D625" i="3"/>
  <c r="F625" i="3" s="1"/>
  <c r="G625" i="3" s="1"/>
  <c r="D626" i="3"/>
  <c r="F626" i="3" s="1"/>
  <c r="G626" i="3" s="1"/>
  <c r="D627" i="3"/>
  <c r="F627" i="3" s="1"/>
  <c r="G627" i="3" s="1"/>
  <c r="D628" i="3"/>
  <c r="F628" i="3" s="1"/>
  <c r="G628" i="3" s="1"/>
  <c r="D629" i="3"/>
  <c r="F629" i="3" s="1"/>
  <c r="G629" i="3" s="1"/>
  <c r="D630" i="3"/>
  <c r="F630" i="3" s="1"/>
  <c r="G630" i="3" s="1"/>
  <c r="D631" i="3"/>
  <c r="F631" i="3" s="1"/>
  <c r="G631" i="3" s="1"/>
  <c r="D632" i="3"/>
  <c r="F632" i="3" s="1"/>
  <c r="G632" i="3" s="1"/>
  <c r="D633" i="3"/>
  <c r="F633" i="3" s="1"/>
  <c r="G633" i="3" s="1"/>
  <c r="D2" i="3"/>
  <c r="F2" i="3" s="1"/>
  <c r="G2" i="3" s="1"/>
  <c r="E610" i="3"/>
  <c r="E194" i="3"/>
  <c r="E107" i="3"/>
  <c r="E498" i="3"/>
  <c r="E332" i="3"/>
  <c r="E250" i="3"/>
  <c r="E161" i="3"/>
  <c r="E53" i="3"/>
  <c r="E611" i="3"/>
  <c r="E333" i="3"/>
  <c r="E455" i="3"/>
  <c r="E174" i="3"/>
  <c r="E232" i="3"/>
  <c r="E354" i="3"/>
  <c r="E89" i="3"/>
  <c r="E162" i="3"/>
  <c r="E381" i="3"/>
  <c r="E288" i="3"/>
  <c r="E528" i="3"/>
  <c r="E310" i="3"/>
  <c r="E499" i="3"/>
  <c r="E233" i="3"/>
  <c r="E382" i="3"/>
  <c r="E566" i="3"/>
  <c r="E421" i="3"/>
  <c r="E400" i="3"/>
  <c r="E519" i="3"/>
  <c r="E108" i="3"/>
  <c r="E289" i="3"/>
  <c r="E553" i="3"/>
  <c r="E612" i="3"/>
  <c r="E477" i="3"/>
  <c r="E355" i="3"/>
  <c r="E334" i="3"/>
  <c r="E267" i="3"/>
  <c r="E54" i="3"/>
  <c r="E90" i="3"/>
  <c r="E109" i="3"/>
  <c r="E36" i="3"/>
  <c r="E268" i="3"/>
  <c r="E290" i="3"/>
  <c r="E401" i="3"/>
  <c r="E613" i="3"/>
  <c r="E21" i="3"/>
  <c r="E70" i="3"/>
  <c r="E500" i="3"/>
  <c r="E143" i="3"/>
  <c r="E251" i="3"/>
  <c r="E529" i="3"/>
  <c r="E356" i="3"/>
  <c r="E422" i="3"/>
  <c r="E597" i="3"/>
  <c r="E234" i="3"/>
  <c r="E614" i="3"/>
  <c r="E530" i="3"/>
  <c r="E163" i="3"/>
  <c r="E195" i="3"/>
  <c r="E269" i="3"/>
  <c r="E383" i="3"/>
  <c r="E110" i="3"/>
  <c r="E501" i="3"/>
  <c r="E2" i="3"/>
  <c r="E55" i="3"/>
  <c r="E384" i="3"/>
  <c r="E615" i="3"/>
  <c r="E583" i="3"/>
  <c r="E175" i="3"/>
  <c r="E91" i="3"/>
  <c r="E128" i="3"/>
  <c r="E22" i="3"/>
  <c r="E23" i="3"/>
  <c r="E129" i="3"/>
  <c r="E130" i="3"/>
  <c r="E502" i="3"/>
  <c r="E92" i="3"/>
  <c r="E131" i="3"/>
  <c r="E598" i="3"/>
  <c r="E616" i="3"/>
  <c r="E111" i="3"/>
  <c r="E335" i="3"/>
  <c r="E357" i="3"/>
  <c r="E71" i="3"/>
  <c r="E235" i="3"/>
  <c r="E617" i="3"/>
  <c r="E3" i="3"/>
  <c r="E214" i="3"/>
  <c r="E336" i="3"/>
  <c r="E56" i="3"/>
  <c r="E554" i="3"/>
  <c r="E402" i="3"/>
  <c r="E57" i="3"/>
  <c r="E72" i="3"/>
  <c r="E144" i="3"/>
  <c r="E196" i="3"/>
  <c r="E531" i="3"/>
  <c r="E555" i="3"/>
  <c r="E423" i="3"/>
  <c r="E215" i="3"/>
  <c r="E145" i="3"/>
  <c r="E358" i="3"/>
  <c r="E618" i="3"/>
  <c r="E456" i="3"/>
  <c r="E311" i="3"/>
  <c r="E164" i="3"/>
  <c r="E532" i="3"/>
  <c r="E503" i="3"/>
  <c r="E457" i="3"/>
  <c r="E93" i="3"/>
  <c r="E73" i="3"/>
  <c r="E252" i="3"/>
  <c r="E599" i="3"/>
  <c r="E24" i="3"/>
  <c r="E37" i="3"/>
  <c r="E38" i="3"/>
  <c r="E424" i="3"/>
  <c r="E197" i="3"/>
  <c r="E478" i="3"/>
  <c r="E112" i="3"/>
  <c r="E291" i="3"/>
  <c r="E146" i="3"/>
  <c r="E533" i="3"/>
  <c r="E600" i="3"/>
  <c r="E74" i="3"/>
  <c r="E270" i="3"/>
  <c r="E425" i="3"/>
  <c r="E39" i="3"/>
  <c r="E292" i="3"/>
  <c r="E25" i="3"/>
  <c r="E198" i="3"/>
  <c r="E176" i="3"/>
  <c r="E113" i="3"/>
  <c r="E426" i="3"/>
  <c r="E4" i="3"/>
  <c r="E5" i="3"/>
  <c r="E216" i="3"/>
  <c r="E177" i="3"/>
  <c r="E236" i="3"/>
  <c r="E584" i="3"/>
  <c r="E40" i="3"/>
  <c r="E556" i="3"/>
  <c r="E178" i="3"/>
  <c r="E585" i="3"/>
  <c r="E217" i="3"/>
  <c r="E199" i="3"/>
  <c r="E520" i="3"/>
  <c r="E253" i="3"/>
  <c r="E619" i="3"/>
  <c r="E427" i="3"/>
  <c r="E179" i="3"/>
  <c r="E428" i="3"/>
  <c r="E429" i="3"/>
  <c r="E75" i="3"/>
  <c r="E200" i="3"/>
  <c r="E403" i="3"/>
  <c r="E41" i="3"/>
  <c r="E6" i="3"/>
  <c r="E337" i="3"/>
  <c r="E271" i="3"/>
  <c r="E42" i="3"/>
  <c r="E359" i="3"/>
  <c r="E94" i="3"/>
  <c r="E254" i="3"/>
  <c r="E504" i="3"/>
  <c r="E458" i="3"/>
  <c r="E218" i="3"/>
  <c r="E312" i="3"/>
  <c r="E26" i="3"/>
  <c r="E237" i="3"/>
  <c r="E272" i="3"/>
  <c r="E586" i="3"/>
  <c r="E534" i="3"/>
  <c r="E7" i="3"/>
  <c r="E587" i="3"/>
  <c r="E430" i="3"/>
  <c r="E535" i="3"/>
  <c r="E459" i="3"/>
  <c r="E557" i="3"/>
  <c r="E338" i="3"/>
  <c r="E404" i="3"/>
  <c r="E431" i="3"/>
  <c r="E432" i="3"/>
  <c r="E201" i="3"/>
  <c r="E147" i="3"/>
  <c r="E76" i="3"/>
  <c r="E132" i="3"/>
  <c r="E460" i="3"/>
  <c r="E8" i="3"/>
  <c r="E405" i="3"/>
  <c r="E180" i="3"/>
  <c r="E293" i="3"/>
  <c r="E9" i="3"/>
  <c r="E219" i="3"/>
  <c r="E220" i="3"/>
  <c r="E479" i="3"/>
  <c r="E536" i="3"/>
  <c r="E537" i="3"/>
  <c r="E406" i="3"/>
  <c r="E202" i="3"/>
  <c r="E181" i="3"/>
  <c r="E58" i="3"/>
  <c r="E360" i="3"/>
  <c r="E77" i="3"/>
  <c r="E10" i="3"/>
  <c r="E95" i="3"/>
  <c r="E294" i="3"/>
  <c r="E273" i="3"/>
  <c r="E96" i="3"/>
  <c r="E221" i="3"/>
  <c r="E407" i="3"/>
  <c r="E505" i="3"/>
  <c r="E148" i="3"/>
  <c r="E538" i="3"/>
  <c r="E165" i="3"/>
  <c r="E601" i="3"/>
  <c r="E78" i="3"/>
  <c r="E620" i="3"/>
  <c r="E521" i="3"/>
  <c r="E182" i="3"/>
  <c r="E274" i="3"/>
  <c r="E522" i="3"/>
  <c r="E461" i="3"/>
  <c r="E97" i="3"/>
  <c r="E203" i="3"/>
  <c r="E114" i="3"/>
  <c r="E339" i="3"/>
  <c r="E313" i="3"/>
  <c r="E222" i="3"/>
  <c r="E43" i="3"/>
  <c r="E79" i="3"/>
  <c r="E621" i="3"/>
  <c r="E80" i="3"/>
  <c r="E385" i="3"/>
  <c r="E602" i="3"/>
  <c r="E433" i="3"/>
  <c r="E386" i="3"/>
  <c r="E295" i="3"/>
  <c r="E115" i="3"/>
  <c r="E11" i="3"/>
  <c r="E116" i="3"/>
  <c r="E387" i="3"/>
  <c r="E408" i="3"/>
  <c r="E340" i="3"/>
  <c r="E238" i="3"/>
  <c r="E480" i="3"/>
  <c r="E588" i="3"/>
  <c r="E589" i="3"/>
  <c r="E275" i="3"/>
  <c r="E276" i="3"/>
  <c r="E434" i="3"/>
  <c r="E506" i="3"/>
  <c r="E539" i="3"/>
  <c r="E523" i="3"/>
  <c r="E149" i="3"/>
  <c r="E117" i="3"/>
  <c r="E133" i="3"/>
  <c r="E341" i="3"/>
  <c r="E558" i="3"/>
  <c r="E12" i="3"/>
  <c r="E239" i="3"/>
  <c r="E255" i="3"/>
  <c r="E240" i="3"/>
  <c r="E622" i="3"/>
  <c r="E223" i="3"/>
  <c r="E462" i="3"/>
  <c r="E256" i="3"/>
  <c r="E27" i="3"/>
  <c r="E435" i="3"/>
  <c r="E540" i="3"/>
  <c r="E507" i="3"/>
  <c r="E257" i="3"/>
  <c r="E28" i="3"/>
  <c r="E436" i="3"/>
  <c r="E134" i="3"/>
  <c r="E409" i="3"/>
  <c r="E388" i="3"/>
  <c r="E541" i="3"/>
  <c r="E623" i="3"/>
  <c r="E118" i="3"/>
  <c r="E44" i="3"/>
  <c r="E437" i="3"/>
  <c r="E119" i="3"/>
  <c r="E258" i="3"/>
  <c r="E567" i="3"/>
  <c r="E183" i="3"/>
  <c r="E463" i="3"/>
  <c r="E204" i="3"/>
  <c r="E224" i="3"/>
  <c r="E120" i="3"/>
  <c r="E150" i="3"/>
  <c r="E166" i="3"/>
  <c r="E410" i="3"/>
  <c r="E277" i="3"/>
  <c r="E568" i="3"/>
  <c r="E29" i="3"/>
  <c r="E205" i="3"/>
  <c r="E508" i="3"/>
  <c r="E590" i="3"/>
  <c r="E184" i="3"/>
  <c r="E135" i="3"/>
  <c r="E509" i="3"/>
  <c r="E510" i="3"/>
  <c r="E278" i="3"/>
  <c r="E481" i="3"/>
  <c r="E59" i="3"/>
  <c r="E559" i="3"/>
  <c r="E136" i="3"/>
  <c r="E524" i="3"/>
  <c r="E438" i="3"/>
  <c r="E361" i="3"/>
  <c r="E314" i="3"/>
  <c r="E315" i="3"/>
  <c r="E342" i="3"/>
  <c r="E569" i="3"/>
  <c r="E316" i="3"/>
  <c r="E259" i="3"/>
  <c r="E241" i="3"/>
  <c r="E603" i="3"/>
  <c r="E137" i="3"/>
  <c r="E482" i="3"/>
  <c r="E225" i="3"/>
  <c r="E570" i="3"/>
  <c r="E560" i="3"/>
  <c r="E242" i="3"/>
  <c r="E561" i="3"/>
  <c r="E206" i="3"/>
  <c r="E483" i="3"/>
  <c r="E389" i="3"/>
  <c r="E226" i="3"/>
  <c r="E81" i="3"/>
  <c r="E542" i="3"/>
  <c r="E98" i="3"/>
  <c r="E45" i="3"/>
  <c r="E296" i="3"/>
  <c r="E484" i="3"/>
  <c r="E297" i="3"/>
  <c r="E298" i="3"/>
  <c r="E151" i="3"/>
  <c r="E464" i="3"/>
  <c r="E390" i="3"/>
  <c r="E511" i="3"/>
  <c r="E465" i="3"/>
  <c r="E138" i="3"/>
  <c r="E317" i="3"/>
  <c r="E604" i="3"/>
  <c r="E605" i="3"/>
  <c r="E571" i="3"/>
  <c r="E362" i="3"/>
  <c r="E466" i="3"/>
  <c r="E485" i="3"/>
  <c r="E439" i="3"/>
  <c r="E243" i="3"/>
  <c r="E185" i="3"/>
  <c r="E82" i="3"/>
  <c r="E391" i="3"/>
  <c r="E572" i="3"/>
  <c r="E486" i="3"/>
  <c r="E60" i="3"/>
  <c r="E467" i="3"/>
  <c r="E61" i="3"/>
  <c r="E260" i="3"/>
  <c r="E318" i="3"/>
  <c r="E62" i="3"/>
  <c r="E543" i="3"/>
  <c r="E186" i="3"/>
  <c r="E392" i="3"/>
  <c r="E573" i="3"/>
  <c r="E512" i="3"/>
  <c r="E487" i="3"/>
  <c r="E63" i="3"/>
  <c r="E207" i="3"/>
  <c r="E363" i="3"/>
  <c r="E440" i="3"/>
  <c r="E488" i="3"/>
  <c r="E606" i="3"/>
  <c r="E364" i="3"/>
  <c r="E574" i="3"/>
  <c r="E152" i="3"/>
  <c r="E99" i="3"/>
  <c r="E513" i="3"/>
  <c r="E208" i="3"/>
  <c r="E591" i="3"/>
  <c r="E244" i="3"/>
  <c r="E624" i="3"/>
  <c r="E468" i="3"/>
  <c r="E121" i="3"/>
  <c r="E489" i="3"/>
  <c r="E167" i="3"/>
  <c r="E469" i="3"/>
  <c r="E279" i="3"/>
  <c r="E625" i="3"/>
  <c r="E299" i="3"/>
  <c r="E575" i="3"/>
  <c r="E168" i="3"/>
  <c r="E365" i="3"/>
  <c r="E187" i="3"/>
  <c r="E227" i="3"/>
  <c r="E576" i="3"/>
  <c r="E411" i="3"/>
  <c r="E343" i="3"/>
  <c r="E13" i="3"/>
  <c r="E366" i="3"/>
  <c r="E367" i="3"/>
  <c r="E64" i="3"/>
  <c r="E544" i="3"/>
  <c r="E470" i="3"/>
  <c r="E300" i="3"/>
  <c r="E344" i="3"/>
  <c r="E319" i="3"/>
  <c r="E83" i="3"/>
  <c r="E320" i="3"/>
  <c r="E280" i="3"/>
  <c r="E209" i="3"/>
  <c r="E368" i="3"/>
  <c r="E441" i="3"/>
  <c r="E442" i="3"/>
  <c r="E369" i="3"/>
  <c r="E443" i="3"/>
  <c r="E301" i="3"/>
  <c r="E46" i="3"/>
  <c r="E14" i="3"/>
  <c r="E228" i="3"/>
  <c r="E545" i="3"/>
  <c r="E412" i="3"/>
  <c r="E321" i="3"/>
  <c r="E169" i="3"/>
  <c r="E139" i="3"/>
  <c r="E626" i="3"/>
  <c r="E514" i="3"/>
  <c r="E413" i="3"/>
  <c r="E281" i="3"/>
  <c r="E30" i="3"/>
  <c r="E490" i="3"/>
  <c r="E65" i="3"/>
  <c r="E84" i="3"/>
  <c r="E188" i="3"/>
  <c r="E15" i="3"/>
  <c r="E525" i="3"/>
  <c r="E592" i="3"/>
  <c r="E370" i="3"/>
  <c r="E189" i="3"/>
  <c r="E471" i="3"/>
  <c r="E47" i="3"/>
  <c r="E371" i="3"/>
  <c r="E372" i="3"/>
  <c r="E322" i="3"/>
  <c r="E393" i="3"/>
  <c r="E302" i="3"/>
  <c r="E303" i="3"/>
  <c r="E100" i="3"/>
  <c r="E122" i="3"/>
  <c r="E472" i="3"/>
  <c r="E515" i="3"/>
  <c r="E31" i="3"/>
  <c r="E473" i="3"/>
  <c r="E394" i="3"/>
  <c r="E562" i="3"/>
  <c r="E345" i="3"/>
  <c r="E414" i="3"/>
  <c r="E526" i="3"/>
  <c r="E170" i="3"/>
  <c r="E563" i="3"/>
  <c r="E627" i="3"/>
  <c r="E304" i="3"/>
  <c r="E229" i="3"/>
  <c r="E444" i="3"/>
  <c r="E577" i="3"/>
  <c r="E101" i="3"/>
  <c r="E346" i="3"/>
  <c r="E445" i="3"/>
  <c r="E578" i="3"/>
  <c r="E373" i="3"/>
  <c r="E153" i="3"/>
  <c r="E527" i="3"/>
  <c r="E491" i="3"/>
  <c r="E282" i="3"/>
  <c r="E140" i="3"/>
  <c r="E16" i="3"/>
  <c r="E395" i="3"/>
  <c r="E85" i="3"/>
  <c r="E171" i="3"/>
  <c r="E305" i="3"/>
  <c r="E593" i="3"/>
  <c r="E261" i="3"/>
  <c r="E245" i="3"/>
  <c r="E628" i="3"/>
  <c r="E32" i="3"/>
  <c r="E347" i="3"/>
  <c r="E446" i="3"/>
  <c r="E102" i="3"/>
  <c r="E154" i="3"/>
  <c r="E348" i="3"/>
  <c r="E415" i="3"/>
  <c r="E447" i="3"/>
  <c r="E492" i="3"/>
  <c r="E66" i="3"/>
  <c r="E190" i="3"/>
  <c r="E155" i="3"/>
  <c r="E246" i="3"/>
  <c r="E306" i="3"/>
  <c r="E33" i="3"/>
  <c r="E103" i="3"/>
  <c r="E448" i="3"/>
  <c r="E191" i="3"/>
  <c r="E283" i="3"/>
  <c r="E104" i="3"/>
  <c r="E34" i="3"/>
  <c r="E516" i="3"/>
  <c r="E579" i="3"/>
  <c r="E564" i="3"/>
  <c r="E307" i="3"/>
  <c r="E210" i="3"/>
  <c r="E323" i="3"/>
  <c r="E67" i="3"/>
  <c r="E493" i="3"/>
  <c r="E494" i="3"/>
  <c r="E607" i="3"/>
  <c r="E324" i="3"/>
  <c r="E546" i="3"/>
  <c r="E449" i="3"/>
  <c r="E123" i="3"/>
  <c r="E35" i="3"/>
  <c r="E547" i="3"/>
  <c r="E124" i="3"/>
  <c r="E450" i="3"/>
  <c r="E125" i="3"/>
  <c r="E517" i="3"/>
  <c r="E580" i="3"/>
  <c r="E374" i="3"/>
  <c r="E17" i="3"/>
  <c r="E349" i="3"/>
  <c r="E581" i="3"/>
  <c r="E284" i="3"/>
  <c r="E325" i="3"/>
  <c r="E262" i="3"/>
  <c r="E285" i="3"/>
  <c r="E396" i="3"/>
  <c r="E105" i="3"/>
  <c r="E350" i="3"/>
  <c r="E211" i="3"/>
  <c r="E230" i="3"/>
  <c r="E608" i="3"/>
  <c r="E86" i="3"/>
  <c r="E375" i="3"/>
  <c r="E126" i="3"/>
  <c r="E351" i="3"/>
  <c r="E548" i="3"/>
  <c r="E352" i="3"/>
  <c r="E495" i="3"/>
  <c r="E451" i="3"/>
  <c r="E496" i="3"/>
  <c r="E18" i="3"/>
  <c r="E629" i="3"/>
  <c r="E263" i="3"/>
  <c r="E452" i="3"/>
  <c r="E609" i="3"/>
  <c r="E397" i="3"/>
  <c r="E68" i="3"/>
  <c r="E353" i="3"/>
  <c r="E376" i="3"/>
  <c r="E48" i="3"/>
  <c r="E497" i="3"/>
  <c r="E49" i="3"/>
  <c r="E416" i="3"/>
  <c r="E565" i="3"/>
  <c r="E192" i="3"/>
  <c r="E264" i="3"/>
  <c r="E326" i="3"/>
  <c r="E417" i="3"/>
  <c r="E141" i="3"/>
  <c r="E156" i="3"/>
  <c r="E231" i="3"/>
  <c r="E549" i="3"/>
  <c r="E87" i="3"/>
  <c r="E327" i="3"/>
  <c r="E377" i="3"/>
  <c r="E474" i="3"/>
  <c r="E212" i="3"/>
  <c r="E308" i="3"/>
  <c r="E328" i="3"/>
  <c r="E475" i="3"/>
  <c r="E19" i="3"/>
  <c r="E69" i="3"/>
  <c r="E329" i="3"/>
  <c r="E20" i="3"/>
  <c r="E213" i="3"/>
  <c r="E418" i="3"/>
  <c r="E419" i="3"/>
  <c r="E550" i="3"/>
  <c r="E172" i="3"/>
  <c r="E265" i="3"/>
  <c r="E630" i="3"/>
  <c r="E582" i="3"/>
  <c r="E50" i="3"/>
  <c r="E453" i="3"/>
  <c r="E330" i="3"/>
  <c r="E631" i="3"/>
  <c r="E632" i="3"/>
  <c r="E518" i="3"/>
  <c r="E594" i="3"/>
  <c r="E157" i="3"/>
  <c r="E595" i="3"/>
  <c r="E173" i="3"/>
  <c r="E331" i="3"/>
  <c r="E51" i="3"/>
  <c r="E309" i="3"/>
  <c r="E476" i="3"/>
  <c r="E286" i="3"/>
  <c r="E551" i="3"/>
  <c r="E127" i="3"/>
  <c r="E88" i="3"/>
  <c r="E247" i="3"/>
  <c r="E52" i="3"/>
  <c r="E552" i="3"/>
  <c r="E158" i="3"/>
  <c r="E398" i="3"/>
  <c r="E248" i="3"/>
  <c r="E399" i="3"/>
  <c r="E378" i="3"/>
  <c r="E420" i="3"/>
  <c r="E249" i="3"/>
  <c r="E106" i="3"/>
  <c r="E633" i="3"/>
  <c r="E193" i="3"/>
  <c r="E596" i="3"/>
  <c r="E266" i="3"/>
  <c r="E379" i="3"/>
  <c r="E159" i="3"/>
  <c r="E287" i="3"/>
  <c r="E454" i="3"/>
  <c r="E380" i="3"/>
  <c r="E160" i="3"/>
  <c r="E142" i="3"/>
  <c r="E27" i="12"/>
  <c r="D93" i="16"/>
  <c r="D85" i="16"/>
  <c r="D92" i="16"/>
  <c r="D100" i="16"/>
  <c r="D91" i="16"/>
  <c r="D99" i="16"/>
  <c r="D90" i="16"/>
  <c r="D97" i="16"/>
  <c r="D89" i="16"/>
  <c r="D98" i="16"/>
  <c r="D96" i="16"/>
  <c r="D88" i="16"/>
  <c r="D87" i="16"/>
  <c r="E8" i="13"/>
  <c r="D95" i="16"/>
  <c r="I9" i="12"/>
  <c r="D94" i="16"/>
  <c r="D86" i="16"/>
  <c r="F12" i="16"/>
  <c r="A97" i="20"/>
  <c r="A93" i="20"/>
  <c r="AA601" i="3" l="1"/>
  <c r="AA217" i="3"/>
  <c r="AA615" i="3"/>
  <c r="AA630" i="3"/>
  <c r="AA622" i="3"/>
  <c r="AA614" i="3"/>
  <c r="AA606" i="3"/>
  <c r="AA598" i="3"/>
  <c r="AA590" i="3"/>
  <c r="AA582" i="3"/>
  <c r="AA574" i="3"/>
  <c r="AA566" i="3"/>
  <c r="AA558" i="3"/>
  <c r="AA550" i="3"/>
  <c r="AA542" i="3"/>
  <c r="AA534" i="3"/>
  <c r="AA526" i="3"/>
  <c r="AA518" i="3"/>
  <c r="AA510" i="3"/>
  <c r="AA502" i="3"/>
  <c r="AA494" i="3"/>
  <c r="AA631" i="3"/>
  <c r="AA599" i="3"/>
  <c r="AA629" i="3"/>
  <c r="AA621" i="3"/>
  <c r="AA613" i="3"/>
  <c r="AA605" i="3"/>
  <c r="AA597" i="3"/>
  <c r="AA589" i="3"/>
  <c r="AA581" i="3"/>
  <c r="AA573" i="3"/>
  <c r="AA565" i="3"/>
  <c r="AA557" i="3"/>
  <c r="AA549" i="3"/>
  <c r="AA541" i="3"/>
  <c r="AA533" i="3"/>
  <c r="AA525" i="3"/>
  <c r="AA517" i="3"/>
  <c r="AA509" i="3"/>
  <c r="AA501" i="3"/>
  <c r="AA493" i="3"/>
  <c r="AA485" i="3"/>
  <c r="AA477" i="3"/>
  <c r="AA469" i="3"/>
  <c r="AA461" i="3"/>
  <c r="AA591" i="3"/>
  <c r="AA628" i="3"/>
  <c r="AA620" i="3"/>
  <c r="AA612" i="3"/>
  <c r="AA604" i="3"/>
  <c r="AA596" i="3"/>
  <c r="AA588" i="3"/>
  <c r="AA580" i="3"/>
  <c r="AA623" i="3"/>
  <c r="AA607" i="3"/>
  <c r="AA583" i="3"/>
  <c r="AA627" i="3"/>
  <c r="AA619" i="3"/>
  <c r="AA611" i="3"/>
  <c r="AA603" i="3"/>
  <c r="AA595" i="3"/>
  <c r="AA587" i="3"/>
  <c r="AA579" i="3"/>
  <c r="AA571" i="3"/>
  <c r="AA563" i="3"/>
  <c r="AA555" i="3"/>
  <c r="AA547" i="3"/>
  <c r="AA539" i="3"/>
  <c r="AA531" i="3"/>
  <c r="AA523" i="3"/>
  <c r="AA515" i="3"/>
  <c r="AA507" i="3"/>
  <c r="AA499" i="3"/>
  <c r="AA491" i="3"/>
  <c r="AA483" i="3"/>
  <c r="AA475" i="3"/>
  <c r="AA467" i="3"/>
  <c r="AA459" i="3"/>
  <c r="AA451" i="3"/>
  <c r="AA443" i="3"/>
  <c r="AA435" i="3"/>
  <c r="AA427" i="3"/>
  <c r="AA419" i="3"/>
  <c r="AA411" i="3"/>
  <c r="AA403" i="3"/>
  <c r="AA395" i="3"/>
  <c r="AA387" i="3"/>
  <c r="AA379" i="3"/>
  <c r="AA371" i="3"/>
  <c r="AA363" i="3"/>
  <c r="AA355" i="3"/>
  <c r="AA347" i="3"/>
  <c r="AA339" i="3"/>
  <c r="AA331" i="3"/>
  <c r="AA323" i="3"/>
  <c r="AA315" i="3"/>
  <c r="AA307" i="3"/>
  <c r="AA299" i="3"/>
  <c r="AA291" i="3"/>
  <c r="AA283" i="3"/>
  <c r="AA275" i="3"/>
  <c r="AA267" i="3"/>
  <c r="AA259" i="3"/>
  <c r="AA251" i="3"/>
  <c r="AA243" i="3"/>
  <c r="AA235" i="3"/>
  <c r="AA227" i="3"/>
  <c r="AA219" i="3"/>
  <c r="AA211" i="3"/>
  <c r="AA203" i="3"/>
  <c r="AA195" i="3"/>
  <c r="AA187" i="3"/>
  <c r="AA179" i="3"/>
  <c r="AA171" i="3"/>
  <c r="AA163" i="3"/>
  <c r="AA155" i="3"/>
  <c r="AA147" i="3"/>
  <c r="AA139" i="3"/>
  <c r="AA131" i="3"/>
  <c r="AA123" i="3"/>
  <c r="AA115" i="3"/>
  <c r="AA107" i="3"/>
  <c r="AA99" i="3"/>
  <c r="AA626" i="3"/>
  <c r="AA618" i="3"/>
  <c r="AA610" i="3"/>
  <c r="AA602" i="3"/>
  <c r="AA594" i="3"/>
  <c r="AA586" i="3"/>
  <c r="AA578" i="3"/>
  <c r="AA570" i="3"/>
  <c r="AA562" i="3"/>
  <c r="AA554" i="3"/>
  <c r="AA546" i="3"/>
  <c r="AA538" i="3"/>
  <c r="AA530" i="3"/>
  <c r="AA522" i="3"/>
  <c r="AA514" i="3"/>
  <c r="AA506" i="3"/>
  <c r="AA498" i="3"/>
  <c r="AA490" i="3"/>
  <c r="AA482" i="3"/>
  <c r="AA474" i="3"/>
  <c r="AA466" i="3"/>
  <c r="AA458" i="3"/>
  <c r="AA450" i="3"/>
  <c r="AA442" i="3"/>
  <c r="AA434" i="3"/>
  <c r="AA426" i="3"/>
  <c r="AA418" i="3"/>
  <c r="AA410" i="3"/>
  <c r="AA402" i="3"/>
  <c r="AA394" i="3"/>
  <c r="AA386" i="3"/>
  <c r="AA378" i="3"/>
  <c r="AA370" i="3"/>
  <c r="AA362" i="3"/>
  <c r="AA354" i="3"/>
  <c r="AA346" i="3"/>
  <c r="AA338" i="3"/>
  <c r="AA330" i="3"/>
  <c r="AA322" i="3"/>
  <c r="AA314" i="3"/>
  <c r="AA306" i="3"/>
  <c r="AA298" i="3"/>
  <c r="AA290" i="3"/>
  <c r="AA282" i="3"/>
  <c r="AA274" i="3"/>
  <c r="AA266" i="3"/>
  <c r="AA258" i="3"/>
  <c r="AA250" i="3"/>
  <c r="AA242" i="3"/>
  <c r="AA234" i="3"/>
  <c r="AA226" i="3"/>
  <c r="AA218" i="3"/>
  <c r="AA210" i="3"/>
  <c r="AA202" i="3"/>
  <c r="AA194" i="3"/>
  <c r="AA186" i="3"/>
  <c r="AA178" i="3"/>
  <c r="AA170" i="3"/>
  <c r="AA162" i="3"/>
  <c r="AA154" i="3"/>
  <c r="AA146" i="3"/>
  <c r="AA138" i="3"/>
  <c r="AA130" i="3"/>
  <c r="AA122" i="3"/>
  <c r="AA114" i="3"/>
  <c r="AA106" i="3"/>
  <c r="AA98" i="3"/>
  <c r="AA90" i="3"/>
  <c r="AA82" i="3"/>
  <c r="AA74" i="3"/>
  <c r="AA66" i="3"/>
  <c r="AA58" i="3"/>
  <c r="AA50" i="3"/>
  <c r="AA42" i="3"/>
  <c r="AA34" i="3"/>
  <c r="AA26" i="3"/>
  <c r="AA18" i="3"/>
  <c r="AA633" i="3"/>
  <c r="AA625" i="3"/>
  <c r="AA617" i="3"/>
  <c r="AA609" i="3"/>
  <c r="AA593" i="3"/>
  <c r="AA585" i="3"/>
  <c r="AA577" i="3"/>
  <c r="AA569" i="3"/>
  <c r="AA561" i="3"/>
  <c r="AA553" i="3"/>
  <c r="AA545" i="3"/>
  <c r="AA537" i="3"/>
  <c r="AA529" i="3"/>
  <c r="AA521" i="3"/>
  <c r="AA513" i="3"/>
  <c r="AA505" i="3"/>
  <c r="AA497" i="3"/>
  <c r="AA489" i="3"/>
  <c r="AA481" i="3"/>
  <c r="AA473" i="3"/>
  <c r="AA465" i="3"/>
  <c r="AA457" i="3"/>
  <c r="AA449" i="3"/>
  <c r="AA441" i="3"/>
  <c r="AA433" i="3"/>
  <c r="AA425" i="3"/>
  <c r="AA417" i="3"/>
  <c r="AA409" i="3"/>
  <c r="AA401" i="3"/>
  <c r="AA393" i="3"/>
  <c r="AA385" i="3"/>
  <c r="AA377" i="3"/>
  <c r="AA369" i="3"/>
  <c r="AA361" i="3"/>
  <c r="AA353" i="3"/>
  <c r="AA345" i="3"/>
  <c r="AA337" i="3"/>
  <c r="AA329" i="3"/>
  <c r="AA321" i="3"/>
  <c r="AA313" i="3"/>
  <c r="AA305" i="3"/>
  <c r="AA297" i="3"/>
  <c r="AA289" i="3"/>
  <c r="AA281" i="3"/>
  <c r="AA273" i="3"/>
  <c r="AA265" i="3"/>
  <c r="AA257" i="3"/>
  <c r="AA249" i="3"/>
  <c r="AA241" i="3"/>
  <c r="AA233" i="3"/>
  <c r="AA225" i="3"/>
  <c r="AA209" i="3"/>
  <c r="AA201" i="3"/>
  <c r="AA193" i="3"/>
  <c r="AA185" i="3"/>
  <c r="AA177" i="3"/>
  <c r="AA169" i="3"/>
  <c r="AA161" i="3"/>
  <c r="AA153" i="3"/>
  <c r="AA145" i="3"/>
  <c r="AA137" i="3"/>
  <c r="AA129" i="3"/>
  <c r="AA121" i="3"/>
  <c r="AA113" i="3"/>
  <c r="AA105" i="3"/>
  <c r="AA89" i="3"/>
  <c r="AA632" i="3"/>
  <c r="AA624" i="3"/>
  <c r="AA616" i="3"/>
  <c r="AA608" i="3"/>
  <c r="AA600" i="3"/>
  <c r="AA592" i="3"/>
  <c r="AA584" i="3"/>
  <c r="AA576" i="3"/>
  <c r="AA568" i="3"/>
  <c r="AA560" i="3"/>
  <c r="AA552" i="3"/>
  <c r="AA544" i="3"/>
  <c r="AA536" i="3"/>
  <c r="AA528" i="3"/>
  <c r="AA520" i="3"/>
  <c r="AA512" i="3"/>
  <c r="AA504" i="3"/>
  <c r="AA496" i="3"/>
  <c r="AA488" i="3"/>
  <c r="AA480" i="3"/>
  <c r="AA472" i="3"/>
  <c r="AA464" i="3"/>
  <c r="AA456" i="3"/>
  <c r="AA448" i="3"/>
  <c r="AA440" i="3"/>
  <c r="AA432" i="3"/>
  <c r="AA424" i="3"/>
  <c r="AA416" i="3"/>
  <c r="AA408" i="3"/>
  <c r="AA400" i="3"/>
  <c r="AA392" i="3"/>
  <c r="AA384" i="3"/>
  <c r="AA376" i="3"/>
  <c r="AA368" i="3"/>
  <c r="AA360" i="3"/>
  <c r="AA352" i="3"/>
  <c r="AA344" i="3"/>
  <c r="AA336" i="3"/>
  <c r="AA328" i="3"/>
  <c r="AA320" i="3"/>
  <c r="AA312" i="3"/>
  <c r="AA304" i="3"/>
  <c r="AA296" i="3"/>
  <c r="AA288" i="3"/>
  <c r="AA280" i="3"/>
  <c r="AA272" i="3"/>
  <c r="AA264" i="3"/>
  <c r="AA256" i="3"/>
  <c r="AA248" i="3"/>
  <c r="AA240" i="3"/>
  <c r="AA232" i="3"/>
  <c r="AA224" i="3"/>
  <c r="AA216" i="3"/>
  <c r="AA208" i="3"/>
  <c r="AA200" i="3"/>
  <c r="AA192" i="3"/>
  <c r="AA184" i="3"/>
  <c r="AA176" i="3"/>
  <c r="AA168" i="3"/>
  <c r="AA160" i="3"/>
  <c r="AA152" i="3"/>
  <c r="AA144" i="3"/>
  <c r="AA136" i="3"/>
  <c r="AA128" i="3"/>
  <c r="AA120" i="3"/>
  <c r="AA112" i="3"/>
  <c r="AA104" i="3"/>
  <c r="AA96" i="3"/>
  <c r="AA88" i="3"/>
  <c r="AA80" i="3"/>
  <c r="AA72" i="3"/>
  <c r="AA64" i="3"/>
  <c r="AA56" i="3"/>
  <c r="AA48" i="3"/>
  <c r="AA575" i="3"/>
  <c r="AA567" i="3"/>
  <c r="AA559" i="3"/>
  <c r="AA551" i="3"/>
  <c r="AA543" i="3"/>
  <c r="AA535" i="3"/>
  <c r="AA527" i="3"/>
  <c r="AA519" i="3"/>
  <c r="AA511" i="3"/>
  <c r="AA503" i="3"/>
  <c r="AA495" i="3"/>
  <c r="AA487" i="3"/>
  <c r="AA479" i="3"/>
  <c r="AA471" i="3"/>
  <c r="AA463" i="3"/>
  <c r="AA455" i="3"/>
  <c r="AA447" i="3"/>
  <c r="AA439" i="3"/>
  <c r="AA431" i="3"/>
  <c r="AA423" i="3"/>
  <c r="AA415" i="3"/>
  <c r="AA407" i="3"/>
  <c r="AA399" i="3"/>
  <c r="AA391" i="3"/>
  <c r="AA383" i="3"/>
  <c r="AA375" i="3"/>
  <c r="AA367" i="3"/>
  <c r="AA359" i="3"/>
  <c r="AA351" i="3"/>
  <c r="AA343" i="3"/>
  <c r="AA335" i="3"/>
  <c r="AA327" i="3"/>
  <c r="AA319" i="3"/>
  <c r="AA311" i="3"/>
  <c r="AA303" i="3"/>
  <c r="AA295" i="3"/>
  <c r="AA287" i="3"/>
  <c r="AA279" i="3"/>
  <c r="AA271" i="3"/>
  <c r="AA263" i="3"/>
  <c r="AA255" i="3"/>
  <c r="AA247" i="3"/>
  <c r="AA239" i="3"/>
  <c r="AA231" i="3"/>
  <c r="AA223" i="3"/>
  <c r="AA215" i="3"/>
  <c r="AA207" i="3"/>
  <c r="AA199" i="3"/>
  <c r="AA191" i="3"/>
  <c r="AA183" i="3"/>
  <c r="AA175" i="3"/>
  <c r="AA167" i="3"/>
  <c r="AA159" i="3"/>
  <c r="AA151" i="3"/>
  <c r="AA143" i="3"/>
  <c r="AA135" i="3"/>
  <c r="AA127" i="3"/>
  <c r="AA119" i="3"/>
  <c r="AA111" i="3"/>
  <c r="AA103" i="3"/>
  <c r="AA95" i="3"/>
  <c r="AA87" i="3"/>
  <c r="AA79" i="3"/>
  <c r="AA71" i="3"/>
  <c r="AA63" i="3"/>
  <c r="AA55" i="3"/>
  <c r="AA47" i="3"/>
  <c r="AA39" i="3"/>
  <c r="AA31" i="3"/>
  <c r="AA23" i="3"/>
  <c r="AA15" i="3"/>
  <c r="AA486" i="3"/>
  <c r="AA478" i="3"/>
  <c r="AA470" i="3"/>
  <c r="AA462" i="3"/>
  <c r="AA454" i="3"/>
  <c r="AA446" i="3"/>
  <c r="AA438" i="3"/>
  <c r="AA430" i="3"/>
  <c r="AA422" i="3"/>
  <c r="AA414" i="3"/>
  <c r="AA406" i="3"/>
  <c r="AA398" i="3"/>
  <c r="AA390" i="3"/>
  <c r="AA382" i="3"/>
  <c r="AA374" i="3"/>
  <c r="AA366" i="3"/>
  <c r="AA358" i="3"/>
  <c r="AA350" i="3"/>
  <c r="AA342" i="3"/>
  <c r="AA334" i="3"/>
  <c r="AA326" i="3"/>
  <c r="AA318" i="3"/>
  <c r="AA310" i="3"/>
  <c r="AA302" i="3"/>
  <c r="AA294" i="3"/>
  <c r="AA286" i="3"/>
  <c r="AA278" i="3"/>
  <c r="AA270" i="3"/>
  <c r="AA262" i="3"/>
  <c r="AA254" i="3"/>
  <c r="AA246" i="3"/>
  <c r="AA238" i="3"/>
  <c r="AA230" i="3"/>
  <c r="AA222" i="3"/>
  <c r="AA214" i="3"/>
  <c r="AA206" i="3"/>
  <c r="AA198" i="3"/>
  <c r="AA190" i="3"/>
  <c r="AA182" i="3"/>
  <c r="AA174" i="3"/>
  <c r="AA166" i="3"/>
  <c r="AA158" i="3"/>
  <c r="AA150" i="3"/>
  <c r="AA142" i="3"/>
  <c r="AA134" i="3"/>
  <c r="AA126" i="3"/>
  <c r="AA118" i="3"/>
  <c r="AA110" i="3"/>
  <c r="AA102" i="3"/>
  <c r="AA94" i="3"/>
  <c r="AA86" i="3"/>
  <c r="AA78" i="3"/>
  <c r="AA70" i="3"/>
  <c r="AA62" i="3"/>
  <c r="AA54" i="3"/>
  <c r="AA46" i="3"/>
  <c r="AA38" i="3"/>
  <c r="AA30" i="3"/>
  <c r="AA22" i="3"/>
  <c r="AA453" i="3"/>
  <c r="AA445" i="3"/>
  <c r="AA437" i="3"/>
  <c r="AA429" i="3"/>
  <c r="AA421" i="3"/>
  <c r="AA413" i="3"/>
  <c r="AA405" i="3"/>
  <c r="AA397" i="3"/>
  <c r="AA389" i="3"/>
  <c r="AA381" i="3"/>
  <c r="AA373" i="3"/>
  <c r="AA365" i="3"/>
  <c r="AA357" i="3"/>
  <c r="AA349" i="3"/>
  <c r="AA341" i="3"/>
  <c r="AA333" i="3"/>
  <c r="AA325" i="3"/>
  <c r="AA317" i="3"/>
  <c r="AA309" i="3"/>
  <c r="AA301" i="3"/>
  <c r="AA293" i="3"/>
  <c r="AA285" i="3"/>
  <c r="AA277" i="3"/>
  <c r="AA269" i="3"/>
  <c r="AA261" i="3"/>
  <c r="AA253" i="3"/>
  <c r="AA245" i="3"/>
  <c r="AA237" i="3"/>
  <c r="AA229" i="3"/>
  <c r="AA221" i="3"/>
  <c r="AA213" i="3"/>
  <c r="AA205" i="3"/>
  <c r="AA197" i="3"/>
  <c r="AA189" i="3"/>
  <c r="AA181" i="3"/>
  <c r="AA173" i="3"/>
  <c r="AA165" i="3"/>
  <c r="AA157" i="3"/>
  <c r="AA149" i="3"/>
  <c r="AA141" i="3"/>
  <c r="AA133" i="3"/>
  <c r="AA125" i="3"/>
  <c r="AA117" i="3"/>
  <c r="AA109" i="3"/>
  <c r="AA101" i="3"/>
  <c r="AA93" i="3"/>
  <c r="AA85" i="3"/>
  <c r="AA77" i="3"/>
  <c r="AA69" i="3"/>
  <c r="AA61" i="3"/>
  <c r="AA53" i="3"/>
  <c r="AA45" i="3"/>
  <c r="AA37" i="3"/>
  <c r="AA29" i="3"/>
  <c r="AA21" i="3"/>
  <c r="AA13" i="3"/>
  <c r="AA5" i="3"/>
  <c r="AA572" i="3"/>
  <c r="AA564" i="3"/>
  <c r="AA556" i="3"/>
  <c r="AA548" i="3"/>
  <c r="AA540" i="3"/>
  <c r="AA532" i="3"/>
  <c r="AA524" i="3"/>
  <c r="AA516" i="3"/>
  <c r="AA508" i="3"/>
  <c r="AA500" i="3"/>
  <c r="AA492" i="3"/>
  <c r="AA484" i="3"/>
  <c r="AA476" i="3"/>
  <c r="AA468" i="3"/>
  <c r="AA460" i="3"/>
  <c r="AA452" i="3"/>
  <c r="AA444" i="3"/>
  <c r="AA436" i="3"/>
  <c r="AA428" i="3"/>
  <c r="AA420" i="3"/>
  <c r="AA412" i="3"/>
  <c r="AA404" i="3"/>
  <c r="AA396" i="3"/>
  <c r="AA388" i="3"/>
  <c r="AA380" i="3"/>
  <c r="AA372" i="3"/>
  <c r="AA364" i="3"/>
  <c r="AA356" i="3"/>
  <c r="AA348" i="3"/>
  <c r="AA340" i="3"/>
  <c r="AA332" i="3"/>
  <c r="AA324" i="3"/>
  <c r="AA316" i="3"/>
  <c r="AA308" i="3"/>
  <c r="AA300" i="3"/>
  <c r="AA292" i="3"/>
  <c r="AA284" i="3"/>
  <c r="AA276" i="3"/>
  <c r="AA268" i="3"/>
  <c r="AA260" i="3"/>
  <c r="AA252" i="3"/>
  <c r="AA244" i="3"/>
  <c r="AA236" i="3"/>
  <c r="AA228" i="3"/>
  <c r="AA220" i="3"/>
  <c r="AA212" i="3"/>
  <c r="AA204" i="3"/>
  <c r="AA196" i="3"/>
  <c r="AA188" i="3"/>
  <c r="AA180" i="3"/>
  <c r="AA172" i="3"/>
  <c r="AA164" i="3"/>
  <c r="AA156" i="3"/>
  <c r="AA148" i="3"/>
  <c r="AA140" i="3"/>
  <c r="AA132" i="3"/>
  <c r="AA124" i="3"/>
  <c r="AA116" i="3"/>
  <c r="AA108" i="3"/>
  <c r="AA100" i="3"/>
  <c r="AA92" i="3"/>
  <c r="AA84" i="3"/>
  <c r="AA76" i="3"/>
  <c r="AA68" i="3"/>
  <c r="AA60" i="3"/>
  <c r="AA52" i="3"/>
  <c r="AA44" i="3"/>
  <c r="AA36" i="3"/>
  <c r="AA28" i="3"/>
  <c r="AA20" i="3"/>
  <c r="AA12" i="3"/>
  <c r="AA4" i="3"/>
  <c r="AA91" i="3"/>
  <c r="AA83" i="3"/>
  <c r="AA75" i="3"/>
  <c r="AA67" i="3"/>
  <c r="AA59" i="3"/>
  <c r="AA51" i="3"/>
  <c r="AA43" i="3"/>
  <c r="AA35" i="3"/>
  <c r="AA27" i="3"/>
  <c r="AA19" i="3"/>
  <c r="AA11" i="3"/>
  <c r="AA3" i="3"/>
  <c r="AA40" i="3"/>
  <c r="AA32" i="3"/>
  <c r="AA24" i="3"/>
  <c r="AA16" i="3"/>
  <c r="AA8" i="3"/>
  <c r="AA7" i="3"/>
  <c r="AA14" i="3"/>
  <c r="AA6" i="3"/>
  <c r="AA10" i="3"/>
  <c r="AA2" i="3"/>
  <c r="AA97" i="3"/>
  <c r="AA81" i="3"/>
  <c r="AA73" i="3"/>
  <c r="AA65" i="3"/>
  <c r="AA57" i="3"/>
  <c r="AA49" i="3"/>
  <c r="AA41" i="3"/>
  <c r="AA33" i="3"/>
  <c r="AA25" i="3"/>
  <c r="AA17" i="3"/>
  <c r="AA9" i="3"/>
  <c r="AB627" i="3"/>
  <c r="AB619" i="3"/>
  <c r="AB611" i="3"/>
  <c r="AB603" i="3"/>
  <c r="AB595" i="3"/>
  <c r="AB587" i="3"/>
  <c r="AB579" i="3"/>
  <c r="AB571" i="3"/>
  <c r="AB563" i="3"/>
  <c r="AB555" i="3"/>
  <c r="AB547" i="3"/>
  <c r="AB539" i="3"/>
  <c r="AB531" i="3"/>
  <c r="AB523" i="3"/>
  <c r="AB515" i="3"/>
  <c r="AB507" i="3"/>
  <c r="AB499" i="3"/>
  <c r="AB491" i="3"/>
  <c r="AB483" i="3"/>
  <c r="AB475" i="3"/>
  <c r="AB467" i="3"/>
  <c r="AB459" i="3"/>
  <c r="AB451" i="3"/>
  <c r="AB443" i="3"/>
  <c r="AB435" i="3"/>
  <c r="AB427" i="3"/>
  <c r="AB419" i="3"/>
  <c r="AB411" i="3"/>
  <c r="AB403" i="3"/>
  <c r="AG551" i="3"/>
  <c r="J2" i="3"/>
  <c r="J3" i="3"/>
  <c r="R3" i="3"/>
  <c r="J629" i="3"/>
  <c r="J621" i="3"/>
  <c r="J613" i="3"/>
  <c r="J605" i="3"/>
  <c r="J597" i="3"/>
  <c r="J589" i="3"/>
  <c r="J581" i="3"/>
  <c r="J573" i="3"/>
  <c r="J565" i="3"/>
  <c r="J557" i="3"/>
  <c r="J549" i="3"/>
  <c r="J541" i="3"/>
  <c r="J533" i="3"/>
  <c r="J525" i="3"/>
  <c r="J517" i="3"/>
  <c r="J509" i="3"/>
  <c r="J501" i="3"/>
  <c r="J493" i="3"/>
  <c r="J485" i="3"/>
  <c r="J477" i="3"/>
  <c r="J469" i="3"/>
  <c r="J461" i="3"/>
  <c r="J453" i="3"/>
  <c r="J445" i="3"/>
  <c r="J437" i="3"/>
  <c r="J429" i="3"/>
  <c r="J421" i="3"/>
  <c r="J413" i="3"/>
  <c r="J405" i="3"/>
  <c r="J397" i="3"/>
  <c r="J389" i="3"/>
  <c r="J381" i="3"/>
  <c r="J373" i="3"/>
  <c r="J365" i="3"/>
  <c r="J357" i="3"/>
  <c r="J349" i="3"/>
  <c r="J341" i="3"/>
  <c r="J333" i="3"/>
  <c r="J325" i="3"/>
  <c r="J317" i="3"/>
  <c r="J309" i="3"/>
  <c r="J301" i="3"/>
  <c r="J293" i="3"/>
  <c r="J285" i="3"/>
  <c r="J277" i="3"/>
  <c r="J269" i="3"/>
  <c r="J261" i="3"/>
  <c r="J253" i="3"/>
  <c r="J245" i="3"/>
  <c r="J237" i="3"/>
  <c r="J229" i="3"/>
  <c r="J221" i="3"/>
  <c r="J213" i="3"/>
  <c r="J205" i="3"/>
  <c r="J197" i="3"/>
  <c r="J189" i="3"/>
  <c r="J181" i="3"/>
  <c r="J173" i="3"/>
  <c r="J165" i="3"/>
  <c r="J157" i="3"/>
  <c r="J149" i="3"/>
  <c r="J141" i="3"/>
  <c r="J133" i="3"/>
  <c r="J125" i="3"/>
  <c r="J117" i="3"/>
  <c r="J109" i="3"/>
  <c r="J101" i="3"/>
  <c r="J93" i="3"/>
  <c r="J85" i="3"/>
  <c r="J77" i="3"/>
  <c r="J69" i="3"/>
  <c r="J61" i="3"/>
  <c r="J53" i="3"/>
  <c r="J17" i="3"/>
  <c r="R587" i="3"/>
  <c r="R523" i="3"/>
  <c r="R459" i="3"/>
  <c r="R395" i="3"/>
  <c r="R331" i="3"/>
  <c r="R267" i="3"/>
  <c r="R203" i="3"/>
  <c r="R139" i="3"/>
  <c r="R75" i="3"/>
  <c r="R11" i="3"/>
  <c r="AG495" i="3"/>
  <c r="AG151" i="3"/>
  <c r="J42" i="3"/>
  <c r="R42" i="3"/>
  <c r="J34" i="3"/>
  <c r="R34" i="3"/>
  <c r="J26" i="3"/>
  <c r="R26" i="3"/>
  <c r="J18" i="3"/>
  <c r="R18" i="3"/>
  <c r="J10" i="3"/>
  <c r="R10" i="3"/>
  <c r="J628" i="3"/>
  <c r="J620" i="3"/>
  <c r="J612" i="3"/>
  <c r="J604" i="3"/>
  <c r="J596" i="3"/>
  <c r="J588" i="3"/>
  <c r="J580" i="3"/>
  <c r="J572" i="3"/>
  <c r="J564" i="3"/>
  <c r="J556" i="3"/>
  <c r="J548" i="3"/>
  <c r="J540" i="3"/>
  <c r="J532" i="3"/>
  <c r="J524" i="3"/>
  <c r="J516" i="3"/>
  <c r="J508" i="3"/>
  <c r="J500" i="3"/>
  <c r="J492" i="3"/>
  <c r="J484" i="3"/>
  <c r="J476" i="3"/>
  <c r="J468" i="3"/>
  <c r="J460" i="3"/>
  <c r="J452" i="3"/>
  <c r="J444" i="3"/>
  <c r="J436" i="3"/>
  <c r="J428" i="3"/>
  <c r="J420" i="3"/>
  <c r="J412" i="3"/>
  <c r="J404" i="3"/>
  <c r="J396" i="3"/>
  <c r="J388" i="3"/>
  <c r="J380" i="3"/>
  <c r="J372" i="3"/>
  <c r="J364" i="3"/>
  <c r="J356" i="3"/>
  <c r="J348" i="3"/>
  <c r="J340" i="3"/>
  <c r="J332" i="3"/>
  <c r="J324" i="3"/>
  <c r="J316" i="3"/>
  <c r="J308" i="3"/>
  <c r="J300" i="3"/>
  <c r="J292" i="3"/>
  <c r="J284" i="3"/>
  <c r="J276" i="3"/>
  <c r="J268" i="3"/>
  <c r="J260" i="3"/>
  <c r="J252" i="3"/>
  <c r="J244" i="3"/>
  <c r="J236" i="3"/>
  <c r="J228" i="3"/>
  <c r="J220" i="3"/>
  <c r="J212" i="3"/>
  <c r="J204" i="3"/>
  <c r="J196" i="3"/>
  <c r="J188" i="3"/>
  <c r="J180" i="3"/>
  <c r="J172" i="3"/>
  <c r="J164" i="3"/>
  <c r="J156" i="3"/>
  <c r="J148" i="3"/>
  <c r="J140" i="3"/>
  <c r="J132" i="3"/>
  <c r="J124" i="3"/>
  <c r="J116" i="3"/>
  <c r="J108" i="3"/>
  <c r="J100" i="3"/>
  <c r="J92" i="3"/>
  <c r="J84" i="3"/>
  <c r="J76" i="3"/>
  <c r="J68" i="3"/>
  <c r="J60" i="3"/>
  <c r="J52" i="3"/>
  <c r="J9" i="3"/>
  <c r="R579" i="3"/>
  <c r="R515" i="3"/>
  <c r="R451" i="3"/>
  <c r="R387" i="3"/>
  <c r="R323" i="3"/>
  <c r="R259" i="3"/>
  <c r="R195" i="3"/>
  <c r="R131" i="3"/>
  <c r="R67" i="3"/>
  <c r="AG599" i="3"/>
  <c r="J627" i="3"/>
  <c r="J619" i="3"/>
  <c r="J611" i="3"/>
  <c r="J603" i="3"/>
  <c r="J595" i="3"/>
  <c r="J571" i="3"/>
  <c r="J563" i="3"/>
  <c r="J555" i="3"/>
  <c r="J547" i="3"/>
  <c r="J539" i="3"/>
  <c r="J531" i="3"/>
  <c r="J507" i="3"/>
  <c r="J499" i="3"/>
  <c r="J491" i="3"/>
  <c r="J483" i="3"/>
  <c r="J475" i="3"/>
  <c r="J467" i="3"/>
  <c r="J443" i="3"/>
  <c r="J435" i="3"/>
  <c r="J427" i="3"/>
  <c r="J419" i="3"/>
  <c r="J411" i="3"/>
  <c r="J403" i="3"/>
  <c r="J379" i="3"/>
  <c r="J371" i="3"/>
  <c r="J363" i="3"/>
  <c r="J355" i="3"/>
  <c r="J347" i="3"/>
  <c r="J339" i="3"/>
  <c r="J315" i="3"/>
  <c r="J307" i="3"/>
  <c r="J299" i="3"/>
  <c r="J291" i="3"/>
  <c r="J283" i="3"/>
  <c r="J275" i="3"/>
  <c r="J251" i="3"/>
  <c r="J243" i="3"/>
  <c r="J235" i="3"/>
  <c r="J227" i="3"/>
  <c r="J219" i="3"/>
  <c r="J211" i="3"/>
  <c r="J187" i="3"/>
  <c r="J179" i="3"/>
  <c r="J171" i="3"/>
  <c r="J163" i="3"/>
  <c r="J155" i="3"/>
  <c r="J147" i="3"/>
  <c r="J123" i="3"/>
  <c r="J115" i="3"/>
  <c r="J107" i="3"/>
  <c r="J99" i="3"/>
  <c r="J91" i="3"/>
  <c r="J83" i="3"/>
  <c r="J59" i="3"/>
  <c r="J51" i="3"/>
  <c r="R48" i="3"/>
  <c r="J48" i="3"/>
  <c r="R40" i="3"/>
  <c r="J40" i="3"/>
  <c r="R32" i="3"/>
  <c r="J32" i="3"/>
  <c r="R24" i="3"/>
  <c r="J24" i="3"/>
  <c r="R16" i="3"/>
  <c r="J16" i="3"/>
  <c r="R8" i="3"/>
  <c r="J8" i="3"/>
  <c r="J626" i="3"/>
  <c r="J618" i="3"/>
  <c r="J610" i="3"/>
  <c r="J602" i="3"/>
  <c r="J594" i="3"/>
  <c r="J586" i="3"/>
  <c r="J578" i="3"/>
  <c r="J570" i="3"/>
  <c r="J562" i="3"/>
  <c r="J554" i="3"/>
  <c r="J546" i="3"/>
  <c r="J538" i="3"/>
  <c r="J530" i="3"/>
  <c r="J522" i="3"/>
  <c r="J514" i="3"/>
  <c r="J506" i="3"/>
  <c r="J498" i="3"/>
  <c r="J490" i="3"/>
  <c r="J482" i="3"/>
  <c r="J474" i="3"/>
  <c r="J466" i="3"/>
  <c r="J458" i="3"/>
  <c r="J450" i="3"/>
  <c r="J442" i="3"/>
  <c r="J434" i="3"/>
  <c r="J426" i="3"/>
  <c r="J418" i="3"/>
  <c r="J410" i="3"/>
  <c r="J402" i="3"/>
  <c r="J394" i="3"/>
  <c r="J386" i="3"/>
  <c r="J378" i="3"/>
  <c r="J370" i="3"/>
  <c r="J362" i="3"/>
  <c r="J354" i="3"/>
  <c r="J346" i="3"/>
  <c r="J338" i="3"/>
  <c r="J330" i="3"/>
  <c r="J322" i="3"/>
  <c r="J314" i="3"/>
  <c r="J306" i="3"/>
  <c r="J298" i="3"/>
  <c r="J290" i="3"/>
  <c r="J282" i="3"/>
  <c r="J274" i="3"/>
  <c r="J266" i="3"/>
  <c r="J258" i="3"/>
  <c r="J250" i="3"/>
  <c r="J242" i="3"/>
  <c r="J234" i="3"/>
  <c r="J226" i="3"/>
  <c r="J218" i="3"/>
  <c r="J210" i="3"/>
  <c r="J202" i="3"/>
  <c r="J194" i="3"/>
  <c r="J186" i="3"/>
  <c r="J178" i="3"/>
  <c r="J170" i="3"/>
  <c r="J162" i="3"/>
  <c r="J154" i="3"/>
  <c r="J146" i="3"/>
  <c r="J138" i="3"/>
  <c r="J130" i="3"/>
  <c r="J122" i="3"/>
  <c r="J114" i="3"/>
  <c r="J106" i="3"/>
  <c r="J98" i="3"/>
  <c r="J90" i="3"/>
  <c r="J82" i="3"/>
  <c r="J74" i="3"/>
  <c r="J66" i="3"/>
  <c r="J58" i="3"/>
  <c r="J50" i="3"/>
  <c r="R47" i="3"/>
  <c r="J47" i="3"/>
  <c r="R39" i="3"/>
  <c r="J39" i="3"/>
  <c r="R31" i="3"/>
  <c r="J31" i="3"/>
  <c r="R23" i="3"/>
  <c r="J23" i="3"/>
  <c r="R15" i="3"/>
  <c r="J15" i="3"/>
  <c r="R7" i="3"/>
  <c r="J7" i="3"/>
  <c r="J633" i="3"/>
  <c r="J625" i="3"/>
  <c r="J617" i="3"/>
  <c r="J609" i="3"/>
  <c r="J601" i="3"/>
  <c r="J593" i="3"/>
  <c r="J585" i="3"/>
  <c r="J577" i="3"/>
  <c r="J569" i="3"/>
  <c r="J561" i="3"/>
  <c r="J553" i="3"/>
  <c r="J545" i="3"/>
  <c r="J537" i="3"/>
  <c r="J529" i="3"/>
  <c r="J521" i="3"/>
  <c r="J513" i="3"/>
  <c r="J505" i="3"/>
  <c r="J497" i="3"/>
  <c r="J489" i="3"/>
  <c r="J481" i="3"/>
  <c r="J473" i="3"/>
  <c r="J465" i="3"/>
  <c r="J457" i="3"/>
  <c r="J449" i="3"/>
  <c r="J441" i="3"/>
  <c r="J433" i="3"/>
  <c r="J425" i="3"/>
  <c r="J417" i="3"/>
  <c r="J409" i="3"/>
  <c r="J401" i="3"/>
  <c r="J393" i="3"/>
  <c r="J385" i="3"/>
  <c r="J377" i="3"/>
  <c r="J369" i="3"/>
  <c r="J361" i="3"/>
  <c r="J353" i="3"/>
  <c r="J345" i="3"/>
  <c r="J337" i="3"/>
  <c r="J329" i="3"/>
  <c r="J321" i="3"/>
  <c r="J313" i="3"/>
  <c r="J305" i="3"/>
  <c r="J297" i="3"/>
  <c r="J289" i="3"/>
  <c r="J281" i="3"/>
  <c r="J273" i="3"/>
  <c r="J265" i="3"/>
  <c r="J257" i="3"/>
  <c r="J249" i="3"/>
  <c r="J241" i="3"/>
  <c r="J233" i="3"/>
  <c r="J225" i="3"/>
  <c r="J217" i="3"/>
  <c r="J209" i="3"/>
  <c r="J201" i="3"/>
  <c r="J193" i="3"/>
  <c r="J185" i="3"/>
  <c r="J177" i="3"/>
  <c r="J169" i="3"/>
  <c r="J161" i="3"/>
  <c r="J153" i="3"/>
  <c r="J145" i="3"/>
  <c r="J137" i="3"/>
  <c r="J129" i="3"/>
  <c r="J121" i="3"/>
  <c r="J113" i="3"/>
  <c r="J105" i="3"/>
  <c r="J97" i="3"/>
  <c r="J89" i="3"/>
  <c r="J81" i="3"/>
  <c r="J73" i="3"/>
  <c r="J65" i="3"/>
  <c r="J57" i="3"/>
  <c r="J49" i="3"/>
  <c r="R43" i="3"/>
  <c r="AG623" i="3"/>
  <c r="R46" i="3"/>
  <c r="J46" i="3"/>
  <c r="R38" i="3"/>
  <c r="J38" i="3"/>
  <c r="R30" i="3"/>
  <c r="J30" i="3"/>
  <c r="R22" i="3"/>
  <c r="J22" i="3"/>
  <c r="R14" i="3"/>
  <c r="J14" i="3"/>
  <c r="R6" i="3"/>
  <c r="J6" i="3"/>
  <c r="J632" i="3"/>
  <c r="J624" i="3"/>
  <c r="J616" i="3"/>
  <c r="J608" i="3"/>
  <c r="J600" i="3"/>
  <c r="J592" i="3"/>
  <c r="J584" i="3"/>
  <c r="J576" i="3"/>
  <c r="J568" i="3"/>
  <c r="J560" i="3"/>
  <c r="J552" i="3"/>
  <c r="J544" i="3"/>
  <c r="J536" i="3"/>
  <c r="J528" i="3"/>
  <c r="J520" i="3"/>
  <c r="J512" i="3"/>
  <c r="J504" i="3"/>
  <c r="J496" i="3"/>
  <c r="J488" i="3"/>
  <c r="J480" i="3"/>
  <c r="J472" i="3"/>
  <c r="J464" i="3"/>
  <c r="J456" i="3"/>
  <c r="J448" i="3"/>
  <c r="J440" i="3"/>
  <c r="J432" i="3"/>
  <c r="J424" i="3"/>
  <c r="J416" i="3"/>
  <c r="J408" i="3"/>
  <c r="J400" i="3"/>
  <c r="J392" i="3"/>
  <c r="J384" i="3"/>
  <c r="J376" i="3"/>
  <c r="J368" i="3"/>
  <c r="J360" i="3"/>
  <c r="J352" i="3"/>
  <c r="J344" i="3"/>
  <c r="J336" i="3"/>
  <c r="J328" i="3"/>
  <c r="J320" i="3"/>
  <c r="J312" i="3"/>
  <c r="J304" i="3"/>
  <c r="J296" i="3"/>
  <c r="J288" i="3"/>
  <c r="J280" i="3"/>
  <c r="J272" i="3"/>
  <c r="J264" i="3"/>
  <c r="J256" i="3"/>
  <c r="J248" i="3"/>
  <c r="J240" i="3"/>
  <c r="J232" i="3"/>
  <c r="J224" i="3"/>
  <c r="J216" i="3"/>
  <c r="J208" i="3"/>
  <c r="J200" i="3"/>
  <c r="J192" i="3"/>
  <c r="J184" i="3"/>
  <c r="J176" i="3"/>
  <c r="J168" i="3"/>
  <c r="J160" i="3"/>
  <c r="J152" i="3"/>
  <c r="J144" i="3"/>
  <c r="J136" i="3"/>
  <c r="J128" i="3"/>
  <c r="J120" i="3"/>
  <c r="J112" i="3"/>
  <c r="J104" i="3"/>
  <c r="J96" i="3"/>
  <c r="J88" i="3"/>
  <c r="J80" i="3"/>
  <c r="J72" i="3"/>
  <c r="J64" i="3"/>
  <c r="J56" i="3"/>
  <c r="J41" i="3"/>
  <c r="R35" i="3"/>
  <c r="R45" i="3"/>
  <c r="J45" i="3"/>
  <c r="R37" i="3"/>
  <c r="J37" i="3"/>
  <c r="R29" i="3"/>
  <c r="J29" i="3"/>
  <c r="R21" i="3"/>
  <c r="J21" i="3"/>
  <c r="R13" i="3"/>
  <c r="J13" i="3"/>
  <c r="R5" i="3"/>
  <c r="J5" i="3"/>
  <c r="J631" i="3"/>
  <c r="J623" i="3"/>
  <c r="J615" i="3"/>
  <c r="J607" i="3"/>
  <c r="J599" i="3"/>
  <c r="J591" i="3"/>
  <c r="J583" i="3"/>
  <c r="J575" i="3"/>
  <c r="J567" i="3"/>
  <c r="J559" i="3"/>
  <c r="J551" i="3"/>
  <c r="J543" i="3"/>
  <c r="J535" i="3"/>
  <c r="J527" i="3"/>
  <c r="J519" i="3"/>
  <c r="J511" i="3"/>
  <c r="J503" i="3"/>
  <c r="J495" i="3"/>
  <c r="J487" i="3"/>
  <c r="J479" i="3"/>
  <c r="J471" i="3"/>
  <c r="J463" i="3"/>
  <c r="J455" i="3"/>
  <c r="J447" i="3"/>
  <c r="J439" i="3"/>
  <c r="J431" i="3"/>
  <c r="J423" i="3"/>
  <c r="J415" i="3"/>
  <c r="J407" i="3"/>
  <c r="J399" i="3"/>
  <c r="J391" i="3"/>
  <c r="J383" i="3"/>
  <c r="J375" i="3"/>
  <c r="J367" i="3"/>
  <c r="J359" i="3"/>
  <c r="J351" i="3"/>
  <c r="J343" i="3"/>
  <c r="J335" i="3"/>
  <c r="J327" i="3"/>
  <c r="J319" i="3"/>
  <c r="J311" i="3"/>
  <c r="J303" i="3"/>
  <c r="J295" i="3"/>
  <c r="J287" i="3"/>
  <c r="J279" i="3"/>
  <c r="J271" i="3"/>
  <c r="J263" i="3"/>
  <c r="J255" i="3"/>
  <c r="J247" i="3"/>
  <c r="J239" i="3"/>
  <c r="J231" i="3"/>
  <c r="J223" i="3"/>
  <c r="J215" i="3"/>
  <c r="J207" i="3"/>
  <c r="J199" i="3"/>
  <c r="J191" i="3"/>
  <c r="J183" i="3"/>
  <c r="J175" i="3"/>
  <c r="J167" i="3"/>
  <c r="J159" i="3"/>
  <c r="J151" i="3"/>
  <c r="J143" i="3"/>
  <c r="J135" i="3"/>
  <c r="J127" i="3"/>
  <c r="J119" i="3"/>
  <c r="J111" i="3"/>
  <c r="J103" i="3"/>
  <c r="J95" i="3"/>
  <c r="J87" i="3"/>
  <c r="J79" i="3"/>
  <c r="J71" i="3"/>
  <c r="J63" i="3"/>
  <c r="J55" i="3"/>
  <c r="J33" i="3"/>
  <c r="R27" i="3"/>
  <c r="R44" i="3"/>
  <c r="J44" i="3"/>
  <c r="R36" i="3"/>
  <c r="J36" i="3"/>
  <c r="R28" i="3"/>
  <c r="J28" i="3"/>
  <c r="R20" i="3"/>
  <c r="J20" i="3"/>
  <c r="R12" i="3"/>
  <c r="J12" i="3"/>
  <c r="R4" i="3"/>
  <c r="J4" i="3"/>
  <c r="J630" i="3"/>
  <c r="J622" i="3"/>
  <c r="J614" i="3"/>
  <c r="J606" i="3"/>
  <c r="J598" i="3"/>
  <c r="J590" i="3"/>
  <c r="J582" i="3"/>
  <c r="J574" i="3"/>
  <c r="J566" i="3"/>
  <c r="J558" i="3"/>
  <c r="J550" i="3"/>
  <c r="J542" i="3"/>
  <c r="J534" i="3"/>
  <c r="J526" i="3"/>
  <c r="J518" i="3"/>
  <c r="J510" i="3"/>
  <c r="J502" i="3"/>
  <c r="J494" i="3"/>
  <c r="J486" i="3"/>
  <c r="J478" i="3"/>
  <c r="J470" i="3"/>
  <c r="J462" i="3"/>
  <c r="J454" i="3"/>
  <c r="J446" i="3"/>
  <c r="J438" i="3"/>
  <c r="J430" i="3"/>
  <c r="J422" i="3"/>
  <c r="J414" i="3"/>
  <c r="J406" i="3"/>
  <c r="J398" i="3"/>
  <c r="J390" i="3"/>
  <c r="J382" i="3"/>
  <c r="J374" i="3"/>
  <c r="J366" i="3"/>
  <c r="J358" i="3"/>
  <c r="J350" i="3"/>
  <c r="J342" i="3"/>
  <c r="J334" i="3"/>
  <c r="J326" i="3"/>
  <c r="J318" i="3"/>
  <c r="J310" i="3"/>
  <c r="J302" i="3"/>
  <c r="J294" i="3"/>
  <c r="J286" i="3"/>
  <c r="J278" i="3"/>
  <c r="J270" i="3"/>
  <c r="J262" i="3"/>
  <c r="J254" i="3"/>
  <c r="J246" i="3"/>
  <c r="J238" i="3"/>
  <c r="J230" i="3"/>
  <c r="J222" i="3"/>
  <c r="J214" i="3"/>
  <c r="J206" i="3"/>
  <c r="J198" i="3"/>
  <c r="J190" i="3"/>
  <c r="J182" i="3"/>
  <c r="J174" i="3"/>
  <c r="J166" i="3"/>
  <c r="J158" i="3"/>
  <c r="J150" i="3"/>
  <c r="J142" i="3"/>
  <c r="J134" i="3"/>
  <c r="J126" i="3"/>
  <c r="J118" i="3"/>
  <c r="J110" i="3"/>
  <c r="J102" i="3"/>
  <c r="J94" i="3"/>
  <c r="J86" i="3"/>
  <c r="J78" i="3"/>
  <c r="J70" i="3"/>
  <c r="J62" i="3"/>
  <c r="J54" i="3"/>
  <c r="J25" i="3"/>
  <c r="R19" i="3"/>
  <c r="F82" i="9"/>
  <c r="G82" i="9" s="1"/>
  <c r="AG607" i="3"/>
  <c r="AG447" i="3"/>
  <c r="AB2" i="3"/>
  <c r="AB628" i="3"/>
  <c r="AB620" i="3"/>
  <c r="AB612" i="3"/>
  <c r="AB604" i="3"/>
  <c r="AB596" i="3"/>
  <c r="AB588" i="3"/>
  <c r="AB580" i="3"/>
  <c r="AB572" i="3"/>
  <c r="AB564" i="3"/>
  <c r="AB556" i="3"/>
  <c r="AB548" i="3"/>
  <c r="AB540" i="3"/>
  <c r="AB532" i="3"/>
  <c r="AB524" i="3"/>
  <c r="AB516" i="3"/>
  <c r="AB508" i="3"/>
  <c r="AB500" i="3"/>
  <c r="AB492" i="3"/>
  <c r="AB484" i="3"/>
  <c r="AB476" i="3"/>
  <c r="AB468" i="3"/>
  <c r="AB460" i="3"/>
  <c r="AB452" i="3"/>
  <c r="AB444" i="3"/>
  <c r="AB436" i="3"/>
  <c r="AB428" i="3"/>
  <c r="AB420" i="3"/>
  <c r="AB412" i="3"/>
  <c r="AB404" i="3"/>
  <c r="AB396" i="3"/>
  <c r="AG582" i="3"/>
  <c r="AB626" i="3"/>
  <c r="AB618" i="3"/>
  <c r="AH618" i="3" s="1"/>
  <c r="AB602" i="3"/>
  <c r="AB586" i="3"/>
  <c r="AB578" i="3"/>
  <c r="AH578" i="3" s="1"/>
  <c r="AB570" i="3"/>
  <c r="AB554" i="3"/>
  <c r="AH554" i="3" s="1"/>
  <c r="AB538" i="3"/>
  <c r="AB522" i="3"/>
  <c r="AB514" i="3"/>
  <c r="AH514" i="3" s="1"/>
  <c r="AB506" i="3"/>
  <c r="AB490" i="3"/>
  <c r="AB474" i="3"/>
  <c r="AB458" i="3"/>
  <c r="AB450" i="3"/>
  <c r="AH450" i="3" s="1"/>
  <c r="AB442" i="3"/>
  <c r="AB410" i="3"/>
  <c r="AB386" i="3"/>
  <c r="AH386" i="3" s="1"/>
  <c r="AB378" i="3"/>
  <c r="AH378" i="3" s="1"/>
  <c r="AB370" i="3"/>
  <c r="AB362" i="3"/>
  <c r="AB354" i="3"/>
  <c r="AB330" i="3"/>
  <c r="AB322" i="3"/>
  <c r="AH322" i="3" s="1"/>
  <c r="AB314" i="3"/>
  <c r="AH314" i="3" s="1"/>
  <c r="AB306" i="3"/>
  <c r="AB298" i="3"/>
  <c r="AB290" i="3"/>
  <c r="AB282" i="3"/>
  <c r="AB274" i="3"/>
  <c r="AB266" i="3"/>
  <c r="AB250" i="3"/>
  <c r="AH250" i="3" s="1"/>
  <c r="AB234" i="3"/>
  <c r="AB226" i="3"/>
  <c r="AB202" i="3"/>
  <c r="AB194" i="3"/>
  <c r="AH194" i="3" s="1"/>
  <c r="AB186" i="3"/>
  <c r="AH186" i="3" s="1"/>
  <c r="AB178" i="3"/>
  <c r="AB170" i="3"/>
  <c r="AB162" i="3"/>
  <c r="AB146" i="3"/>
  <c r="AB138" i="3"/>
  <c r="AB130" i="3"/>
  <c r="AH130" i="3" s="1"/>
  <c r="AB122" i="3"/>
  <c r="AH122" i="3" s="1"/>
  <c r="AB114" i="3"/>
  <c r="AB106" i="3"/>
  <c r="AB98" i="3"/>
  <c r="AG383" i="3"/>
  <c r="AG534" i="3"/>
  <c r="AG510" i="3"/>
  <c r="AG487" i="3"/>
  <c r="AG359" i="3"/>
  <c r="AG335" i="3"/>
  <c r="AG143" i="3"/>
  <c r="AG127" i="3"/>
  <c r="AG631" i="3"/>
  <c r="AG606" i="3"/>
  <c r="AG463" i="3"/>
  <c r="AG439" i="3"/>
  <c r="AG311" i="3"/>
  <c r="AG215" i="3"/>
  <c r="AG630" i="3"/>
  <c r="AG615" i="3"/>
  <c r="AG591" i="3"/>
  <c r="AG543" i="3"/>
  <c r="AG527" i="3"/>
  <c r="AG119" i="3"/>
  <c r="AG590" i="3"/>
  <c r="AG559" i="3"/>
  <c r="AG503" i="3"/>
  <c r="AG431" i="3"/>
  <c r="AG375" i="3"/>
  <c r="AG351" i="3"/>
  <c r="AG558" i="3"/>
  <c r="AG519" i="3"/>
  <c r="AG502" i="3"/>
  <c r="AG479" i="3"/>
  <c r="AG455" i="3"/>
  <c r="AG303" i="3"/>
  <c r="AG207" i="3"/>
  <c r="AG135" i="3"/>
  <c r="AG583" i="3"/>
  <c r="AG471" i="3"/>
  <c r="AG367" i="3"/>
  <c r="AG319" i="3"/>
  <c r="AG263" i="3"/>
  <c r="AG247" i="3"/>
  <c r="AG598" i="3"/>
  <c r="AG550" i="3"/>
  <c r="AG535" i="3"/>
  <c r="AG511" i="3"/>
  <c r="AG423" i="3"/>
  <c r="AG343" i="3"/>
  <c r="AG271" i="3"/>
  <c r="AG586" i="3"/>
  <c r="AG578" i="3"/>
  <c r="AG562" i="3"/>
  <c r="AG554" i="3"/>
  <c r="AG546" i="3"/>
  <c r="AG522" i="3"/>
  <c r="AG506" i="3"/>
  <c r="AG498" i="3"/>
  <c r="AG490" i="3"/>
  <c r="AG474" i="3"/>
  <c r="AG466" i="3"/>
  <c r="AG450" i="3"/>
  <c r="AG442" i="3"/>
  <c r="AG434" i="3"/>
  <c r="AG418" i="3"/>
  <c r="AG402" i="3"/>
  <c r="AG394" i="3"/>
  <c r="AG370" i="3"/>
  <c r="AG346" i="3"/>
  <c r="AG338" i="3"/>
  <c r="AG330" i="3"/>
  <c r="AG322" i="3"/>
  <c r="AG298" i="3"/>
  <c r="AG290" i="3"/>
  <c r="AG282" i="3"/>
  <c r="AG274" i="3"/>
  <c r="AG258" i="3"/>
  <c r="AG234" i="3"/>
  <c r="AG226" i="3"/>
  <c r="AG210" i="3"/>
  <c r="AG202" i="3"/>
  <c r="AG186" i="3"/>
  <c r="AG178" i="3"/>
  <c r="AG154" i="3"/>
  <c r="AG146" i="3"/>
  <c r="AG138" i="3"/>
  <c r="AG122" i="3"/>
  <c r="AG98" i="3"/>
  <c r="AG82" i="3"/>
  <c r="AG74" i="3"/>
  <c r="AG58" i="3"/>
  <c r="AG50" i="3"/>
  <c r="AG42" i="3"/>
  <c r="AG34" i="3"/>
  <c r="AG18" i="3"/>
  <c r="AG10" i="3"/>
  <c r="AG633" i="3"/>
  <c r="AG593" i="3"/>
  <c r="AG569" i="3"/>
  <c r="AG537" i="3"/>
  <c r="AG529" i="3"/>
  <c r="AG521" i="3"/>
  <c r="AG513" i="3"/>
  <c r="AG497" i="3"/>
  <c r="AG489" i="3"/>
  <c r="AG481" i="3"/>
  <c r="AG473" i="3"/>
  <c r="AG465" i="3"/>
  <c r="AG457" i="3"/>
  <c r="AG449" i="3"/>
  <c r="AG441" i="3"/>
  <c r="AG425" i="3"/>
  <c r="AG409" i="3"/>
  <c r="AG401" i="3"/>
  <c r="AG393" i="3"/>
  <c r="AG377" i="3"/>
  <c r="AG361" i="3"/>
  <c r="AG353" i="3"/>
  <c r="AG337" i="3"/>
  <c r="AG329" i="3"/>
  <c r="AG313" i="3"/>
  <c r="AG305" i="3"/>
  <c r="AG297" i="3"/>
  <c r="AG289" i="3"/>
  <c r="AG273" i="3"/>
  <c r="AG257" i="3"/>
  <c r="AG241" i="3"/>
  <c r="AG209" i="3"/>
  <c r="AG201" i="3"/>
  <c r="AG193" i="3"/>
  <c r="AG185" i="3"/>
  <c r="AG177" i="3"/>
  <c r="AG161" i="3"/>
  <c r="AG153" i="3"/>
  <c r="AG145" i="3"/>
  <c r="AG129" i="3"/>
  <c r="AG121" i="3"/>
  <c r="AG97" i="3"/>
  <c r="AG89" i="3"/>
  <c r="AG81" i="3"/>
  <c r="AG73" i="3"/>
  <c r="AG65" i="3"/>
  <c r="AG57" i="3"/>
  <c r="AG49" i="3"/>
  <c r="AG41" i="3"/>
  <c r="AG17" i="3"/>
  <c r="AG618" i="3"/>
  <c r="AG624" i="3"/>
  <c r="AG616" i="3"/>
  <c r="AG608" i="3"/>
  <c r="AG600" i="3"/>
  <c r="AG592" i="3"/>
  <c r="AG584" i="3"/>
  <c r="AG576" i="3"/>
  <c r="AG552" i="3"/>
  <c r="AG544" i="3"/>
  <c r="AG536" i="3"/>
  <c r="AG528" i="3"/>
  <c r="AG520" i="3"/>
  <c r="AG512" i="3"/>
  <c r="AG496" i="3"/>
  <c r="AG488" i="3"/>
  <c r="AG480" i="3"/>
  <c r="AG472" i="3"/>
  <c r="AG464" i="3"/>
  <c r="AG456" i="3"/>
  <c r="AG440" i="3"/>
  <c r="AG432" i="3"/>
  <c r="AG416" i="3"/>
  <c r="AG408" i="3"/>
  <c r="AG400" i="3"/>
  <c r="AG392" i="3"/>
  <c r="AG384" i="3"/>
  <c r="AG368" i="3"/>
  <c r="AG360" i="3"/>
  <c r="AG352" i="3"/>
  <c r="AG344" i="3"/>
  <c r="AG336" i="3"/>
  <c r="AG328" i="3"/>
  <c r="AG320" i="3"/>
  <c r="AG296" i="3"/>
  <c r="AG288" i="3"/>
  <c r="AG280" i="3"/>
  <c r="AG272" i="3"/>
  <c r="AG264" i="3"/>
  <c r="AG248" i="3"/>
  <c r="AG232" i="3"/>
  <c r="AG216" i="3"/>
  <c r="AG200" i="3"/>
  <c r="AG184" i="3"/>
  <c r="AG152" i="3"/>
  <c r="AG144" i="3"/>
  <c r="AG136" i="3"/>
  <c r="AG128" i="3"/>
  <c r="AG112" i="3"/>
  <c r="AG96" i="3"/>
  <c r="AG88" i="3"/>
  <c r="AG72" i="3"/>
  <c r="AG64" i="3"/>
  <c r="AG56" i="3"/>
  <c r="AG40" i="3"/>
  <c r="AG32" i="3"/>
  <c r="AG16" i="3"/>
  <c r="AG8" i="3"/>
  <c r="AG95" i="3"/>
  <c r="AG79" i="3"/>
  <c r="AG63" i="3"/>
  <c r="AG55" i="3"/>
  <c r="AG47" i="3"/>
  <c r="AG31" i="3"/>
  <c r="AG23" i="3"/>
  <c r="AG15" i="3"/>
  <c r="AG7" i="3"/>
  <c r="AG494" i="3"/>
  <c r="AG478" i="3"/>
  <c r="AG470" i="3"/>
  <c r="AG454" i="3"/>
  <c r="AG446" i="3"/>
  <c r="AG438" i="3"/>
  <c r="AG430" i="3"/>
  <c r="AG422" i="3"/>
  <c r="AG414" i="3"/>
  <c r="AG406" i="3"/>
  <c r="AG398" i="3"/>
  <c r="AG390" i="3"/>
  <c r="AG382" i="3"/>
  <c r="AG374" i="3"/>
  <c r="AG366" i="3"/>
  <c r="AG358" i="3"/>
  <c r="AG342" i="3"/>
  <c r="AG334" i="3"/>
  <c r="AG318" i="3"/>
  <c r="AG310" i="3"/>
  <c r="AG302" i="3"/>
  <c r="AG294" i="3"/>
  <c r="AG286" i="3"/>
  <c r="AG278" i="3"/>
  <c r="AG270" i="3"/>
  <c r="AG262" i="3"/>
  <c r="AG254" i="3"/>
  <c r="AG238" i="3"/>
  <c r="AG222" i="3"/>
  <c r="AG214" i="3"/>
  <c r="AG182" i="3"/>
  <c r="AG174" i="3"/>
  <c r="AG166" i="3"/>
  <c r="AG158" i="3"/>
  <c r="AG150" i="3"/>
  <c r="AG142" i="3"/>
  <c r="AG134" i="3"/>
  <c r="AG126" i="3"/>
  <c r="AG118" i="3"/>
  <c r="AG110" i="3"/>
  <c r="AG102" i="3"/>
  <c r="AG94" i="3"/>
  <c r="AG86" i="3"/>
  <c r="AG78" i="3"/>
  <c r="AG70" i="3"/>
  <c r="AG62" i="3"/>
  <c r="AG54" i="3"/>
  <c r="AG22" i="3"/>
  <c r="AG14" i="3"/>
  <c r="AG6" i="3"/>
  <c r="AG629" i="3"/>
  <c r="AG613" i="3"/>
  <c r="AG605" i="3"/>
  <c r="AG597" i="3"/>
  <c r="AG589" i="3"/>
  <c r="AG573" i="3"/>
  <c r="AG565" i="3"/>
  <c r="AG557" i="3"/>
  <c r="AG533" i="3"/>
  <c r="AG525" i="3"/>
  <c r="AG517" i="3"/>
  <c r="AG509" i="3"/>
  <c r="AG501" i="3"/>
  <c r="AG493" i="3"/>
  <c r="AG485" i="3"/>
  <c r="AG477" i="3"/>
  <c r="AG461" i="3"/>
  <c r="AG453" i="3"/>
  <c r="AG445" i="3"/>
  <c r="AG437" i="3"/>
  <c r="AG421" i="3"/>
  <c r="AG397" i="3"/>
  <c r="AG381" i="3"/>
  <c r="AG373" i="3"/>
  <c r="AG341" i="3"/>
  <c r="AG333" i="3"/>
  <c r="AG325" i="3"/>
  <c r="AG317" i="3"/>
  <c r="AG309" i="3"/>
  <c r="AG301" i="3"/>
  <c r="AG261" i="3"/>
  <c r="AG253" i="3"/>
  <c r="AG245" i="3"/>
  <c r="AG221" i="3"/>
  <c r="AG213" i="3"/>
  <c r="AG189" i="3"/>
  <c r="AG181" i="3"/>
  <c r="AG149" i="3"/>
  <c r="AG125" i="3"/>
  <c r="AG109" i="3"/>
  <c r="AG101" i="3"/>
  <c r="AG93" i="3"/>
  <c r="AG85" i="3"/>
  <c r="AG77" i="3"/>
  <c r="AG69" i="3"/>
  <c r="AG45" i="3"/>
  <c r="AG13" i="3"/>
  <c r="AG5" i="3"/>
  <c r="AG2" i="3"/>
  <c r="AG628" i="3"/>
  <c r="AG620" i="3"/>
  <c r="AG596" i="3"/>
  <c r="AG588" i="3"/>
  <c r="AG580" i="3"/>
  <c r="AG564" i="3"/>
  <c r="AG556" i="3"/>
  <c r="AG548" i="3"/>
  <c r="AG540" i="3"/>
  <c r="AG532" i="3"/>
  <c r="AG524" i="3"/>
  <c r="AG516" i="3"/>
  <c r="AG508" i="3"/>
  <c r="AG484" i="3"/>
  <c r="AG476" i="3"/>
  <c r="AG460" i="3"/>
  <c r="AG452" i="3"/>
  <c r="AG436" i="3"/>
  <c r="AG428" i="3"/>
  <c r="AG404" i="3"/>
  <c r="AG388" i="3"/>
  <c r="AG372" i="3"/>
  <c r="AG364" i="3"/>
  <c r="AG356" i="3"/>
  <c r="AG348" i="3"/>
  <c r="AG340" i="3"/>
  <c r="AG332" i="3"/>
  <c r="AG324" i="3"/>
  <c r="AG308" i="3"/>
  <c r="AG300" i="3"/>
  <c r="AG292" i="3"/>
  <c r="AG284" i="3"/>
  <c r="AG276" i="3"/>
  <c r="AG244" i="3"/>
  <c r="AG236" i="3"/>
  <c r="AG212" i="3"/>
  <c r="AG204" i="3"/>
  <c r="AG196" i="3"/>
  <c r="AG188" i="3"/>
  <c r="AG180" i="3"/>
  <c r="AG172" i="3"/>
  <c r="AG164" i="3"/>
  <c r="AG140" i="3"/>
  <c r="AG124" i="3"/>
  <c r="AG116" i="3"/>
  <c r="AG108" i="3"/>
  <c r="AG100" i="3"/>
  <c r="AG84" i="3"/>
  <c r="AG76" i="3"/>
  <c r="AG68" i="3"/>
  <c r="AG52" i="3"/>
  <c r="AG44" i="3"/>
  <c r="AG28" i="3"/>
  <c r="AG20" i="3"/>
  <c r="AG12" i="3"/>
  <c r="AG619" i="3"/>
  <c r="AG587" i="3"/>
  <c r="AG579" i="3"/>
  <c r="AG571" i="3"/>
  <c r="AG555" i="3"/>
  <c r="AG547" i="3"/>
  <c r="AG531" i="3"/>
  <c r="AG523" i="3"/>
  <c r="AG515" i="3"/>
  <c r="AG507" i="3"/>
  <c r="AG499" i="3"/>
  <c r="AG491" i="3"/>
  <c r="AG475" i="3"/>
  <c r="AG459" i="3"/>
  <c r="AG451" i="3"/>
  <c r="AG435" i="3"/>
  <c r="AG427" i="3"/>
  <c r="AG419" i="3"/>
  <c r="AG411" i="3"/>
  <c r="AG403" i="3"/>
  <c r="AG395" i="3"/>
  <c r="AG387" i="3"/>
  <c r="AG371" i="3"/>
  <c r="AG363" i="3"/>
  <c r="AG355" i="3"/>
  <c r="AG347" i="3"/>
  <c r="AG339" i="3"/>
  <c r="AG323" i="3"/>
  <c r="AG315" i="3"/>
  <c r="AG307" i="3"/>
  <c r="AG291" i="3"/>
  <c r="AG259" i="3"/>
  <c r="AG243" i="3"/>
  <c r="AG203" i="3"/>
  <c r="AG195" i="3"/>
  <c r="AG179" i="3"/>
  <c r="AG171" i="3"/>
  <c r="AG163" i="3"/>
  <c r="AG147" i="3"/>
  <c r="AG131" i="3"/>
  <c r="AG123" i="3"/>
  <c r="AG115" i="3"/>
  <c r="AG99" i="3"/>
  <c r="AG91" i="3"/>
  <c r="AG83" i="3"/>
  <c r="AG67" i="3"/>
  <c r="AG59" i="3"/>
  <c r="AG43" i="3"/>
  <c r="AG35" i="3"/>
  <c r="AG19" i="3"/>
  <c r="AG11" i="3"/>
  <c r="AB591" i="3"/>
  <c r="AH591" i="3" s="1"/>
  <c r="AB527" i="3"/>
  <c r="AH527" i="3" s="1"/>
  <c r="AB463" i="3"/>
  <c r="AH463" i="3" s="1"/>
  <c r="AB630" i="3"/>
  <c r="AH630" i="3" s="1"/>
  <c r="AB566" i="3"/>
  <c r="AH566" i="3" s="1"/>
  <c r="AB502" i="3"/>
  <c r="AH502" i="3" s="1"/>
  <c r="AB438" i="3"/>
  <c r="AH438" i="3" s="1"/>
  <c r="AH490" i="3"/>
  <c r="AB74" i="3"/>
  <c r="AH74" i="3" s="1"/>
  <c r="AB66" i="3"/>
  <c r="AH66" i="3" s="1"/>
  <c r="AB58" i="3"/>
  <c r="AH58" i="3" s="1"/>
  <c r="AB42" i="3"/>
  <c r="AH42" i="3" s="1"/>
  <c r="AB34" i="3"/>
  <c r="AH34" i="3" s="1"/>
  <c r="AB10" i="3"/>
  <c r="AH10" i="3" s="1"/>
  <c r="AH146" i="3"/>
  <c r="AB434" i="3"/>
  <c r="AH434" i="3" s="1"/>
  <c r="AH564" i="3"/>
  <c r="AH451" i="3"/>
  <c r="AB426" i="3"/>
  <c r="AH426" i="3" s="1"/>
  <c r="AB50" i="3"/>
  <c r="AH50" i="3" s="1"/>
  <c r="AH540" i="3"/>
  <c r="AH436" i="3"/>
  <c r="AH539" i="3"/>
  <c r="AH475" i="3"/>
  <c r="AB346" i="3"/>
  <c r="AH346" i="3" s="1"/>
  <c r="AH628" i="3"/>
  <c r="AH515" i="3"/>
  <c r="AH410" i="3"/>
  <c r="AB416" i="3"/>
  <c r="AH416" i="3" s="1"/>
  <c r="AB408" i="3"/>
  <c r="AH408" i="3" s="1"/>
  <c r="AB400" i="3"/>
  <c r="AH400" i="3" s="1"/>
  <c r="AB392" i="3"/>
  <c r="AH392" i="3" s="1"/>
  <c r="AB384" i="3"/>
  <c r="AH384" i="3" s="1"/>
  <c r="AB376" i="3"/>
  <c r="AH376" i="3" s="1"/>
  <c r="AB368" i="3"/>
  <c r="AH368" i="3" s="1"/>
  <c r="AB360" i="3"/>
  <c r="AH360" i="3" s="1"/>
  <c r="AB352" i="3"/>
  <c r="AH352" i="3" s="1"/>
  <c r="AB344" i="3"/>
  <c r="AH344" i="3" s="1"/>
  <c r="AB336" i="3"/>
  <c r="AH336" i="3" s="1"/>
  <c r="AB328" i="3"/>
  <c r="AH328" i="3" s="1"/>
  <c r="AB320" i="3"/>
  <c r="AH320" i="3" s="1"/>
  <c r="AB312" i="3"/>
  <c r="AH312" i="3" s="1"/>
  <c r="AB304" i="3"/>
  <c r="AH304" i="3" s="1"/>
  <c r="AB296" i="3"/>
  <c r="AH296" i="3" s="1"/>
  <c r="AB288" i="3"/>
  <c r="AH288" i="3" s="1"/>
  <c r="AB280" i="3"/>
  <c r="AH280" i="3" s="1"/>
  <c r="AB272" i="3"/>
  <c r="AH272" i="3" s="1"/>
  <c r="AB264" i="3"/>
  <c r="AH264" i="3" s="1"/>
  <c r="AB256" i="3"/>
  <c r="AH256" i="3" s="1"/>
  <c r="AB248" i="3"/>
  <c r="AH248" i="3" s="1"/>
  <c r="AB240" i="3"/>
  <c r="AH240" i="3" s="1"/>
  <c r="AB232" i="3"/>
  <c r="AH232" i="3" s="1"/>
  <c r="AB224" i="3"/>
  <c r="AH224" i="3" s="1"/>
  <c r="AB216" i="3"/>
  <c r="AH216" i="3" s="1"/>
  <c r="AB208" i="3"/>
  <c r="AH208" i="3" s="1"/>
  <c r="AB200" i="3"/>
  <c r="AH200" i="3" s="1"/>
  <c r="AB192" i="3"/>
  <c r="AH192" i="3" s="1"/>
  <c r="AB184" i="3"/>
  <c r="AH184" i="3" s="1"/>
  <c r="AB176" i="3"/>
  <c r="AH176" i="3" s="1"/>
  <c r="AB168" i="3"/>
  <c r="AH168" i="3" s="1"/>
  <c r="AB160" i="3"/>
  <c r="AH160" i="3" s="1"/>
  <c r="AB152" i="3"/>
  <c r="AH152" i="3" s="1"/>
  <c r="AB144" i="3"/>
  <c r="AH144" i="3" s="1"/>
  <c r="AB136" i="3"/>
  <c r="AH136" i="3" s="1"/>
  <c r="AB128" i="3"/>
  <c r="AH128" i="3" s="1"/>
  <c r="AB120" i="3"/>
  <c r="AH120" i="3" s="1"/>
  <c r="AB112" i="3"/>
  <c r="AH112" i="3" s="1"/>
  <c r="AB104" i="3"/>
  <c r="AH104" i="3" s="1"/>
  <c r="AB96" i="3"/>
  <c r="AH96" i="3" s="1"/>
  <c r="AB88" i="3"/>
  <c r="AH88" i="3" s="1"/>
  <c r="AB80" i="3"/>
  <c r="AH80" i="3" s="1"/>
  <c r="AB72" i="3"/>
  <c r="AH72" i="3" s="1"/>
  <c r="AB64" i="3"/>
  <c r="AH64" i="3" s="1"/>
  <c r="AB56" i="3"/>
  <c r="AH56" i="3" s="1"/>
  <c r="AB48" i="3"/>
  <c r="AH48" i="3" s="1"/>
  <c r="AB40" i="3"/>
  <c r="AH40" i="3" s="1"/>
  <c r="AB32" i="3"/>
  <c r="AH32" i="3" s="1"/>
  <c r="AB24" i="3"/>
  <c r="AH24" i="3" s="1"/>
  <c r="AB16" i="3"/>
  <c r="AH16" i="3" s="1"/>
  <c r="AB8" i="3"/>
  <c r="AH8" i="3" s="1"/>
  <c r="AB562" i="3"/>
  <c r="AH562" i="3" s="1"/>
  <c r="AB258" i="3"/>
  <c r="AH258" i="3" s="1"/>
  <c r="AH604" i="3"/>
  <c r="AH500" i="3"/>
  <c r="AH603" i="3"/>
  <c r="AB498" i="3"/>
  <c r="AH498" i="3" s="1"/>
  <c r="AB154" i="3"/>
  <c r="AH154" i="3" s="1"/>
  <c r="AH579" i="3"/>
  <c r="AH476" i="3"/>
  <c r="AB633" i="3"/>
  <c r="AH633" i="3" s="1"/>
  <c r="AB631" i="3"/>
  <c r="AH631" i="3" s="1"/>
  <c r="AB623" i="3"/>
  <c r="AH623" i="3" s="1"/>
  <c r="AB615" i="3"/>
  <c r="AH615" i="3" s="1"/>
  <c r="AB607" i="3"/>
  <c r="AH607" i="3" s="1"/>
  <c r="AB599" i="3"/>
  <c r="AH599" i="3" s="1"/>
  <c r="AB583" i="3"/>
  <c r="AH583" i="3" s="1"/>
  <c r="AB575" i="3"/>
  <c r="AH575" i="3" s="1"/>
  <c r="AB567" i="3"/>
  <c r="AH567" i="3" s="1"/>
  <c r="AB559" i="3"/>
  <c r="AH559" i="3" s="1"/>
  <c r="AB551" i="3"/>
  <c r="AH551" i="3" s="1"/>
  <c r="AB543" i="3"/>
  <c r="AH543" i="3" s="1"/>
  <c r="AB535" i="3"/>
  <c r="AH535" i="3" s="1"/>
  <c r="AB519" i="3"/>
  <c r="AH519" i="3" s="1"/>
  <c r="AB511" i="3"/>
  <c r="AH511" i="3" s="1"/>
  <c r="AB503" i="3"/>
  <c r="AH503" i="3" s="1"/>
  <c r="AB495" i="3"/>
  <c r="AH495" i="3" s="1"/>
  <c r="AB487" i="3"/>
  <c r="AH487" i="3" s="1"/>
  <c r="AB479" i="3"/>
  <c r="AH479" i="3" s="1"/>
  <c r="AB471" i="3"/>
  <c r="AH471" i="3" s="1"/>
  <c r="AB455" i="3"/>
  <c r="AH455" i="3" s="1"/>
  <c r="AB447" i="3"/>
  <c r="AH447" i="3" s="1"/>
  <c r="AB439" i="3"/>
  <c r="AH439" i="3" s="1"/>
  <c r="AB431" i="3"/>
  <c r="AH431" i="3" s="1"/>
  <c r="AB423" i="3"/>
  <c r="AH423" i="3" s="1"/>
  <c r="AB415" i="3"/>
  <c r="AH415" i="3" s="1"/>
  <c r="AB407" i="3"/>
  <c r="AH407" i="3" s="1"/>
  <c r="AB399" i="3"/>
  <c r="AH399" i="3" s="1"/>
  <c r="AB391" i="3"/>
  <c r="AH391" i="3" s="1"/>
  <c r="AB383" i="3"/>
  <c r="AH383" i="3" s="1"/>
  <c r="AB375" i="3"/>
  <c r="AH375" i="3" s="1"/>
  <c r="AB367" i="3"/>
  <c r="AH367" i="3" s="1"/>
  <c r="AB359" i="3"/>
  <c r="AH359" i="3" s="1"/>
  <c r="AB351" i="3"/>
  <c r="AH351" i="3" s="1"/>
  <c r="AB343" i="3"/>
  <c r="AH343" i="3" s="1"/>
  <c r="AB335" i="3"/>
  <c r="AH335" i="3" s="1"/>
  <c r="AB327" i="3"/>
  <c r="AH327" i="3" s="1"/>
  <c r="AB319" i="3"/>
  <c r="AH319" i="3" s="1"/>
  <c r="AB311" i="3"/>
  <c r="AH311" i="3" s="1"/>
  <c r="AB303" i="3"/>
  <c r="AH303" i="3" s="1"/>
  <c r="AB295" i="3"/>
  <c r="AH295" i="3" s="1"/>
  <c r="AB287" i="3"/>
  <c r="AH287" i="3" s="1"/>
  <c r="AB279" i="3"/>
  <c r="AH279" i="3" s="1"/>
  <c r="AB271" i="3"/>
  <c r="AH271" i="3" s="1"/>
  <c r="AB263" i="3"/>
  <c r="AH263" i="3" s="1"/>
  <c r="AB255" i="3"/>
  <c r="AH255" i="3" s="1"/>
  <c r="AB247" i="3"/>
  <c r="AH247" i="3" s="1"/>
  <c r="AB239" i="3"/>
  <c r="AH239" i="3" s="1"/>
  <c r="AB231" i="3"/>
  <c r="AH231" i="3" s="1"/>
  <c r="AB223" i="3"/>
  <c r="AH223" i="3" s="1"/>
  <c r="AB215" i="3"/>
  <c r="AH215" i="3" s="1"/>
  <c r="AB207" i="3"/>
  <c r="AH207" i="3" s="1"/>
  <c r="AB199" i="3"/>
  <c r="AH199" i="3" s="1"/>
  <c r="AB191" i="3"/>
  <c r="AH191" i="3" s="1"/>
  <c r="AB183" i="3"/>
  <c r="AH183" i="3" s="1"/>
  <c r="AB175" i="3"/>
  <c r="AH175" i="3" s="1"/>
  <c r="AB167" i="3"/>
  <c r="AH167" i="3" s="1"/>
  <c r="AB159" i="3"/>
  <c r="AH159" i="3" s="1"/>
  <c r="AB151" i="3"/>
  <c r="AH151" i="3" s="1"/>
  <c r="AB143" i="3"/>
  <c r="AH143" i="3" s="1"/>
  <c r="AB135" i="3"/>
  <c r="AH135" i="3" s="1"/>
  <c r="AB127" i="3"/>
  <c r="AH127" i="3" s="1"/>
  <c r="AB119" i="3"/>
  <c r="AH119" i="3" s="1"/>
  <c r="AB111" i="3"/>
  <c r="AH111" i="3" s="1"/>
  <c r="AB103" i="3"/>
  <c r="AH103" i="3" s="1"/>
  <c r="AB95" i="3"/>
  <c r="AH95" i="3" s="1"/>
  <c r="AB87" i="3"/>
  <c r="AH87" i="3" s="1"/>
  <c r="AB79" i="3"/>
  <c r="AH79" i="3" s="1"/>
  <c r="AB71" i="3"/>
  <c r="AH71" i="3" s="1"/>
  <c r="AB63" i="3"/>
  <c r="AH63" i="3" s="1"/>
  <c r="AB55" i="3"/>
  <c r="AH55" i="3" s="1"/>
  <c r="AB47" i="3"/>
  <c r="AH47" i="3" s="1"/>
  <c r="AB39" i="3"/>
  <c r="AH39" i="3" s="1"/>
  <c r="AB31" i="3"/>
  <c r="AH31" i="3" s="1"/>
  <c r="AB23" i="3"/>
  <c r="AH23" i="3" s="1"/>
  <c r="AB15" i="3"/>
  <c r="AH15" i="3" s="1"/>
  <c r="AB7" i="3"/>
  <c r="AH7" i="3" s="1"/>
  <c r="AB622" i="3"/>
  <c r="AH622" i="3" s="1"/>
  <c r="AB614" i="3"/>
  <c r="AH614" i="3" s="1"/>
  <c r="AB606" i="3"/>
  <c r="AH606" i="3" s="1"/>
  <c r="AB598" i="3"/>
  <c r="AH598" i="3" s="1"/>
  <c r="AB590" i="3"/>
  <c r="AH590" i="3" s="1"/>
  <c r="AB582" i="3"/>
  <c r="AH582" i="3" s="1"/>
  <c r="AB574" i="3"/>
  <c r="AH574" i="3" s="1"/>
  <c r="AB558" i="3"/>
  <c r="AH558" i="3" s="1"/>
  <c r="AB550" i="3"/>
  <c r="AH550" i="3" s="1"/>
  <c r="AB542" i="3"/>
  <c r="AH542" i="3" s="1"/>
  <c r="AB534" i="3"/>
  <c r="AH534" i="3" s="1"/>
  <c r="AB526" i="3"/>
  <c r="AH526" i="3" s="1"/>
  <c r="AB518" i="3"/>
  <c r="AH518" i="3" s="1"/>
  <c r="AB510" i="3"/>
  <c r="AH510" i="3" s="1"/>
  <c r="AB494" i="3"/>
  <c r="AH494" i="3" s="1"/>
  <c r="AB486" i="3"/>
  <c r="AH486" i="3" s="1"/>
  <c r="AB478" i="3"/>
  <c r="AH478" i="3" s="1"/>
  <c r="AB470" i="3"/>
  <c r="AH470" i="3" s="1"/>
  <c r="AB462" i="3"/>
  <c r="AH462" i="3" s="1"/>
  <c r="AB454" i="3"/>
  <c r="AH454" i="3" s="1"/>
  <c r="AB446" i="3"/>
  <c r="AH446" i="3" s="1"/>
  <c r="AB430" i="3"/>
  <c r="AH430" i="3" s="1"/>
  <c r="AB422" i="3"/>
  <c r="AH422" i="3" s="1"/>
  <c r="AB414" i="3"/>
  <c r="AH414" i="3" s="1"/>
  <c r="AB406" i="3"/>
  <c r="AH406" i="3" s="1"/>
  <c r="AB398" i="3"/>
  <c r="AH398" i="3" s="1"/>
  <c r="AB390" i="3"/>
  <c r="AH390" i="3" s="1"/>
  <c r="AB382" i="3"/>
  <c r="AH382" i="3" s="1"/>
  <c r="AB374" i="3"/>
  <c r="AH374" i="3" s="1"/>
  <c r="AB366" i="3"/>
  <c r="AH366" i="3" s="1"/>
  <c r="AB358" i="3"/>
  <c r="AH358" i="3" s="1"/>
  <c r="AB350" i="3"/>
  <c r="AH350" i="3" s="1"/>
  <c r="AB342" i="3"/>
  <c r="AH342" i="3" s="1"/>
  <c r="AB334" i="3"/>
  <c r="AH334" i="3" s="1"/>
  <c r="AB326" i="3"/>
  <c r="AH326" i="3" s="1"/>
  <c r="AB318" i="3"/>
  <c r="AH318" i="3" s="1"/>
  <c r="AB310" i="3"/>
  <c r="AH310" i="3" s="1"/>
  <c r="AB302" i="3"/>
  <c r="AH302" i="3" s="1"/>
  <c r="AB294" i="3"/>
  <c r="AH294" i="3" s="1"/>
  <c r="AB286" i="3"/>
  <c r="AH286" i="3" s="1"/>
  <c r="AB278" i="3"/>
  <c r="AH278" i="3" s="1"/>
  <c r="AB270" i="3"/>
  <c r="AH270" i="3" s="1"/>
  <c r="AB262" i="3"/>
  <c r="AH262" i="3" s="1"/>
  <c r="AB254" i="3"/>
  <c r="AH254" i="3" s="1"/>
  <c r="AB246" i="3"/>
  <c r="AH246" i="3" s="1"/>
  <c r="AB238" i="3"/>
  <c r="AH238" i="3" s="1"/>
  <c r="AB230" i="3"/>
  <c r="AH230" i="3" s="1"/>
  <c r="AB222" i="3"/>
  <c r="AH222" i="3" s="1"/>
  <c r="AB214" i="3"/>
  <c r="AH214" i="3" s="1"/>
  <c r="AB206" i="3"/>
  <c r="AH206" i="3" s="1"/>
  <c r="AB198" i="3"/>
  <c r="AH198" i="3" s="1"/>
  <c r="AB190" i="3"/>
  <c r="AH190" i="3" s="1"/>
  <c r="AB182" i="3"/>
  <c r="AH182" i="3" s="1"/>
  <c r="AB174" i="3"/>
  <c r="AH174" i="3" s="1"/>
  <c r="AB166" i="3"/>
  <c r="AH166" i="3" s="1"/>
  <c r="AB158" i="3"/>
  <c r="AH158" i="3" s="1"/>
  <c r="AB150" i="3"/>
  <c r="AH150" i="3" s="1"/>
  <c r="AB142" i="3"/>
  <c r="AH142" i="3" s="1"/>
  <c r="AB134" i="3"/>
  <c r="AH134" i="3" s="1"/>
  <c r="AB126" i="3"/>
  <c r="AH126" i="3" s="1"/>
  <c r="AB118" i="3"/>
  <c r="AH118" i="3" s="1"/>
  <c r="AB110" i="3"/>
  <c r="AH110" i="3" s="1"/>
  <c r="AB102" i="3"/>
  <c r="AH102" i="3" s="1"/>
  <c r="AB94" i="3"/>
  <c r="AH94" i="3" s="1"/>
  <c r="AB86" i="3"/>
  <c r="AH86" i="3" s="1"/>
  <c r="AB78" i="3"/>
  <c r="AH78" i="3" s="1"/>
  <c r="AB70" i="3"/>
  <c r="AH70" i="3" s="1"/>
  <c r="AB62" i="3"/>
  <c r="AH62" i="3" s="1"/>
  <c r="AB54" i="3"/>
  <c r="AH54" i="3" s="1"/>
  <c r="AB46" i="3"/>
  <c r="AH46" i="3" s="1"/>
  <c r="AB38" i="3"/>
  <c r="AH38" i="3" s="1"/>
  <c r="AB30" i="3"/>
  <c r="AH30" i="3" s="1"/>
  <c r="AB22" i="3"/>
  <c r="AH22" i="3" s="1"/>
  <c r="AB14" i="3"/>
  <c r="AH14" i="3" s="1"/>
  <c r="AB6" i="3"/>
  <c r="AH6" i="3" s="1"/>
  <c r="AB632" i="3"/>
  <c r="AH632" i="3" s="1"/>
  <c r="AB624" i="3"/>
  <c r="AH624" i="3" s="1"/>
  <c r="AB616" i="3"/>
  <c r="AH616" i="3" s="1"/>
  <c r="AB608" i="3"/>
  <c r="AH608" i="3" s="1"/>
  <c r="AB600" i="3"/>
  <c r="AH600" i="3" s="1"/>
  <c r="AB592" i="3"/>
  <c r="AH592" i="3" s="1"/>
  <c r="AB584" i="3"/>
  <c r="AH584" i="3" s="1"/>
  <c r="AB576" i="3"/>
  <c r="AH576" i="3" s="1"/>
  <c r="AB568" i="3"/>
  <c r="AH568" i="3" s="1"/>
  <c r="AB560" i="3"/>
  <c r="AH560" i="3" s="1"/>
  <c r="AB552" i="3"/>
  <c r="AH552" i="3" s="1"/>
  <c r="AB544" i="3"/>
  <c r="AH544" i="3" s="1"/>
  <c r="AB536" i="3"/>
  <c r="AH536" i="3" s="1"/>
  <c r="AB528" i="3"/>
  <c r="AH528" i="3" s="1"/>
  <c r="AB520" i="3"/>
  <c r="AH520" i="3" s="1"/>
  <c r="AB512" i="3"/>
  <c r="AH512" i="3" s="1"/>
  <c r="AB504" i="3"/>
  <c r="AH504" i="3" s="1"/>
  <c r="AB496" i="3"/>
  <c r="AH496" i="3" s="1"/>
  <c r="AB488" i="3"/>
  <c r="AH488" i="3" s="1"/>
  <c r="AB480" i="3"/>
  <c r="AH480" i="3" s="1"/>
  <c r="AB472" i="3"/>
  <c r="AH472" i="3" s="1"/>
  <c r="AB464" i="3"/>
  <c r="AH464" i="3" s="1"/>
  <c r="AB456" i="3"/>
  <c r="AH456" i="3" s="1"/>
  <c r="AB448" i="3"/>
  <c r="AH448" i="3" s="1"/>
  <c r="AB440" i="3"/>
  <c r="AH440" i="3" s="1"/>
  <c r="AB432" i="3"/>
  <c r="AH432" i="3" s="1"/>
  <c r="AB424" i="3"/>
  <c r="AH424" i="3" s="1"/>
  <c r="AH626" i="3"/>
  <c r="AH370" i="3"/>
  <c r="AB629" i="3"/>
  <c r="AH629" i="3" s="1"/>
  <c r="AB621" i="3"/>
  <c r="AH621" i="3" s="1"/>
  <c r="AB613" i="3"/>
  <c r="AH613" i="3" s="1"/>
  <c r="AB605" i="3"/>
  <c r="AH605" i="3" s="1"/>
  <c r="AB597" i="3"/>
  <c r="AH597" i="3" s="1"/>
  <c r="AB589" i="3"/>
  <c r="AH589" i="3" s="1"/>
  <c r="AB581" i="3"/>
  <c r="AH581" i="3" s="1"/>
  <c r="AB573" i="3"/>
  <c r="AH573" i="3" s="1"/>
  <c r="AB565" i="3"/>
  <c r="AH565" i="3" s="1"/>
  <c r="AB557" i="3"/>
  <c r="AH557" i="3" s="1"/>
  <c r="AB549" i="3"/>
  <c r="AH549" i="3" s="1"/>
  <c r="AB541" i="3"/>
  <c r="AH541" i="3" s="1"/>
  <c r="AB533" i="3"/>
  <c r="AH533" i="3" s="1"/>
  <c r="AB525" i="3"/>
  <c r="AH525" i="3" s="1"/>
  <c r="AB517" i="3"/>
  <c r="AH517" i="3" s="1"/>
  <c r="AB509" i="3"/>
  <c r="AH509" i="3" s="1"/>
  <c r="AB501" i="3"/>
  <c r="AH501" i="3" s="1"/>
  <c r="AB493" i="3"/>
  <c r="AH493" i="3" s="1"/>
  <c r="AB485" i="3"/>
  <c r="AH485" i="3" s="1"/>
  <c r="AB477" i="3"/>
  <c r="AH477" i="3" s="1"/>
  <c r="AB469" i="3"/>
  <c r="AH469" i="3" s="1"/>
  <c r="AB461" i="3"/>
  <c r="AH461" i="3" s="1"/>
  <c r="AB453" i="3"/>
  <c r="AH453" i="3" s="1"/>
  <c r="AB445" i="3"/>
  <c r="AH445" i="3" s="1"/>
  <c r="AB437" i="3"/>
  <c r="AH437" i="3" s="1"/>
  <c r="AB429" i="3"/>
  <c r="AH429" i="3" s="1"/>
  <c r="AB421" i="3"/>
  <c r="AH421" i="3" s="1"/>
  <c r="AB413" i="3"/>
  <c r="AH413" i="3" s="1"/>
  <c r="AB405" i="3"/>
  <c r="AH405" i="3" s="1"/>
  <c r="AB397" i="3"/>
  <c r="AH397" i="3" s="1"/>
  <c r="AB389" i="3"/>
  <c r="AH389" i="3" s="1"/>
  <c r="AB381" i="3"/>
  <c r="AH381" i="3" s="1"/>
  <c r="AB373" i="3"/>
  <c r="AH373" i="3" s="1"/>
  <c r="AB365" i="3"/>
  <c r="AH365" i="3" s="1"/>
  <c r="AB357" i="3"/>
  <c r="AH357" i="3" s="1"/>
  <c r="AB349" i="3"/>
  <c r="AH349" i="3" s="1"/>
  <c r="AB341" i="3"/>
  <c r="AH341" i="3" s="1"/>
  <c r="AB333" i="3"/>
  <c r="AH333" i="3" s="1"/>
  <c r="AB325" i="3"/>
  <c r="AH325" i="3" s="1"/>
  <c r="AB317" i="3"/>
  <c r="AH317" i="3" s="1"/>
  <c r="AB309" i="3"/>
  <c r="AH309" i="3" s="1"/>
  <c r="AB301" i="3"/>
  <c r="AH301" i="3" s="1"/>
  <c r="AB293" i="3"/>
  <c r="AH293" i="3" s="1"/>
  <c r="AB285" i="3"/>
  <c r="AH285" i="3" s="1"/>
  <c r="AB277" i="3"/>
  <c r="AH277" i="3" s="1"/>
  <c r="AB269" i="3"/>
  <c r="AH269" i="3" s="1"/>
  <c r="AB261" i="3"/>
  <c r="AH261" i="3" s="1"/>
  <c r="AB253" i="3"/>
  <c r="AH253" i="3" s="1"/>
  <c r="AB245" i="3"/>
  <c r="AH245" i="3" s="1"/>
  <c r="AB237" i="3"/>
  <c r="AH237" i="3" s="1"/>
  <c r="AB229" i="3"/>
  <c r="AH229" i="3" s="1"/>
  <c r="AB221" i="3"/>
  <c r="AH221" i="3" s="1"/>
  <c r="AB213" i="3"/>
  <c r="AH213" i="3" s="1"/>
  <c r="AB205" i="3"/>
  <c r="AH205" i="3" s="1"/>
  <c r="AB197" i="3"/>
  <c r="AH197" i="3" s="1"/>
  <c r="AB189" i="3"/>
  <c r="AH189" i="3" s="1"/>
  <c r="AB181" i="3"/>
  <c r="AH181" i="3" s="1"/>
  <c r="AB173" i="3"/>
  <c r="AH173" i="3" s="1"/>
  <c r="AB165" i="3"/>
  <c r="AH165" i="3" s="1"/>
  <c r="AB157" i="3"/>
  <c r="AH157" i="3" s="1"/>
  <c r="AB149" i="3"/>
  <c r="AH149" i="3" s="1"/>
  <c r="AB141" i="3"/>
  <c r="AH141" i="3" s="1"/>
  <c r="AB133" i="3"/>
  <c r="AH133" i="3" s="1"/>
  <c r="AB125" i="3"/>
  <c r="AH125" i="3" s="1"/>
  <c r="AB117" i="3"/>
  <c r="AH117" i="3" s="1"/>
  <c r="AB109" i="3"/>
  <c r="AH109" i="3" s="1"/>
  <c r="AB101" i="3"/>
  <c r="AH101" i="3" s="1"/>
  <c r="AB93" i="3"/>
  <c r="AH93" i="3" s="1"/>
  <c r="AB85" i="3"/>
  <c r="AH85" i="3" s="1"/>
  <c r="AB77" i="3"/>
  <c r="AH77" i="3" s="1"/>
  <c r="AB69" i="3"/>
  <c r="AH69" i="3" s="1"/>
  <c r="AB61" i="3"/>
  <c r="AH61" i="3" s="1"/>
  <c r="AB53" i="3"/>
  <c r="AH53" i="3" s="1"/>
  <c r="AB45" i="3"/>
  <c r="AH45" i="3" s="1"/>
  <c r="AB37" i="3"/>
  <c r="AH37" i="3" s="1"/>
  <c r="AB29" i="3"/>
  <c r="AH29" i="3" s="1"/>
  <c r="AB21" i="3"/>
  <c r="AH21" i="3" s="1"/>
  <c r="AB13" i="3"/>
  <c r="AH13" i="3" s="1"/>
  <c r="AB5" i="3"/>
  <c r="AH5" i="3" s="1"/>
  <c r="AB610" i="3"/>
  <c r="AH610" i="3" s="1"/>
  <c r="AB546" i="3"/>
  <c r="AH546" i="3" s="1"/>
  <c r="AB482" i="3"/>
  <c r="AH482" i="3" s="1"/>
  <c r="AB418" i="3"/>
  <c r="AH418" i="3" s="1"/>
  <c r="AB338" i="3"/>
  <c r="AH338" i="3" s="1"/>
  <c r="AB242" i="3"/>
  <c r="AH242" i="3" s="1"/>
  <c r="AB26" i="3"/>
  <c r="AH26" i="3" s="1"/>
  <c r="AH627" i="3"/>
  <c r="AH602" i="3"/>
  <c r="AH588" i="3"/>
  <c r="AH563" i="3"/>
  <c r="AH538" i="3"/>
  <c r="AH524" i="3"/>
  <c r="AH499" i="3"/>
  <c r="AH474" i="3"/>
  <c r="AH460" i="3"/>
  <c r="AH435" i="3"/>
  <c r="AH420" i="3"/>
  <c r="AH404" i="3"/>
  <c r="AH306" i="3"/>
  <c r="AH178" i="3"/>
  <c r="AH114" i="3"/>
  <c r="AB388" i="3"/>
  <c r="AH388" i="3" s="1"/>
  <c r="AB380" i="3"/>
  <c r="AH380" i="3" s="1"/>
  <c r="AB372" i="3"/>
  <c r="AH372" i="3" s="1"/>
  <c r="AB364" i="3"/>
  <c r="AH364" i="3" s="1"/>
  <c r="AB356" i="3"/>
  <c r="AH356" i="3" s="1"/>
  <c r="AB348" i="3"/>
  <c r="AH348" i="3" s="1"/>
  <c r="AB340" i="3"/>
  <c r="AH340" i="3" s="1"/>
  <c r="AB332" i="3"/>
  <c r="AH332" i="3" s="1"/>
  <c r="AB324" i="3"/>
  <c r="AH324" i="3" s="1"/>
  <c r="AB316" i="3"/>
  <c r="AH316" i="3" s="1"/>
  <c r="AB308" i="3"/>
  <c r="AH308" i="3" s="1"/>
  <c r="AB300" i="3"/>
  <c r="AH300" i="3" s="1"/>
  <c r="AB292" i="3"/>
  <c r="AH292" i="3" s="1"/>
  <c r="AB284" i="3"/>
  <c r="AH284" i="3" s="1"/>
  <c r="AB276" i="3"/>
  <c r="AH276" i="3" s="1"/>
  <c r="AB268" i="3"/>
  <c r="AH268" i="3" s="1"/>
  <c r="AB260" i="3"/>
  <c r="AH260" i="3" s="1"/>
  <c r="AB252" i="3"/>
  <c r="AH252" i="3" s="1"/>
  <c r="AB244" i="3"/>
  <c r="AH244" i="3" s="1"/>
  <c r="AB236" i="3"/>
  <c r="AH236" i="3" s="1"/>
  <c r="AB228" i="3"/>
  <c r="AH228" i="3" s="1"/>
  <c r="AB220" i="3"/>
  <c r="AH220" i="3" s="1"/>
  <c r="AB212" i="3"/>
  <c r="AH212" i="3" s="1"/>
  <c r="AB204" i="3"/>
  <c r="AH204" i="3" s="1"/>
  <c r="AB196" i="3"/>
  <c r="AH196" i="3" s="1"/>
  <c r="AB188" i="3"/>
  <c r="AH188" i="3" s="1"/>
  <c r="AB180" i="3"/>
  <c r="AH180" i="3" s="1"/>
  <c r="AB172" i="3"/>
  <c r="AH172" i="3" s="1"/>
  <c r="AB164" i="3"/>
  <c r="AH164" i="3" s="1"/>
  <c r="AB156" i="3"/>
  <c r="AH156" i="3" s="1"/>
  <c r="AB148" i="3"/>
  <c r="AH148" i="3" s="1"/>
  <c r="AB140" i="3"/>
  <c r="AH140" i="3" s="1"/>
  <c r="AB132" i="3"/>
  <c r="AH132" i="3" s="1"/>
  <c r="AB124" i="3"/>
  <c r="AH124" i="3" s="1"/>
  <c r="AB116" i="3"/>
  <c r="AH116" i="3" s="1"/>
  <c r="AB108" i="3"/>
  <c r="AH108" i="3" s="1"/>
  <c r="AB100" i="3"/>
  <c r="AH100" i="3" s="1"/>
  <c r="AB92" i="3"/>
  <c r="AH92" i="3" s="1"/>
  <c r="AB84" i="3"/>
  <c r="AH84" i="3" s="1"/>
  <c r="AB76" i="3"/>
  <c r="AH76" i="3" s="1"/>
  <c r="AB68" i="3"/>
  <c r="AH68" i="3" s="1"/>
  <c r="AB60" i="3"/>
  <c r="AH60" i="3" s="1"/>
  <c r="AB52" i="3"/>
  <c r="AH52" i="3" s="1"/>
  <c r="AB44" i="3"/>
  <c r="AH44" i="3" s="1"/>
  <c r="AB36" i="3"/>
  <c r="AH36" i="3" s="1"/>
  <c r="AB28" i="3"/>
  <c r="AH28" i="3" s="1"/>
  <c r="AB20" i="3"/>
  <c r="AH20" i="3" s="1"/>
  <c r="AB12" i="3"/>
  <c r="AH12" i="3" s="1"/>
  <c r="AB4" i="3"/>
  <c r="AH4" i="3" s="1"/>
  <c r="AB218" i="3"/>
  <c r="AH218" i="3" s="1"/>
  <c r="AB18" i="3"/>
  <c r="AH18" i="3" s="1"/>
  <c r="AH612" i="3"/>
  <c r="AH587" i="3"/>
  <c r="AH548" i="3"/>
  <c r="AH523" i="3"/>
  <c r="AH484" i="3"/>
  <c r="AH459" i="3"/>
  <c r="AH419" i="3"/>
  <c r="AH403" i="3"/>
  <c r="AH362" i="3"/>
  <c r="AH298" i="3"/>
  <c r="AH234" i="3"/>
  <c r="AH170" i="3"/>
  <c r="AH106" i="3"/>
  <c r="AB395" i="3"/>
  <c r="AH395" i="3" s="1"/>
  <c r="AB387" i="3"/>
  <c r="AH387" i="3" s="1"/>
  <c r="AB379" i="3"/>
  <c r="AH379" i="3" s="1"/>
  <c r="AB371" i="3"/>
  <c r="AH371" i="3" s="1"/>
  <c r="AB363" i="3"/>
  <c r="AH363" i="3" s="1"/>
  <c r="AB355" i="3"/>
  <c r="AH355" i="3" s="1"/>
  <c r="AB347" i="3"/>
  <c r="AH347" i="3" s="1"/>
  <c r="AB339" i="3"/>
  <c r="AH339" i="3" s="1"/>
  <c r="AB331" i="3"/>
  <c r="AH331" i="3" s="1"/>
  <c r="AB323" i="3"/>
  <c r="AH323" i="3" s="1"/>
  <c r="AB315" i="3"/>
  <c r="AH315" i="3" s="1"/>
  <c r="AB307" i="3"/>
  <c r="AH307" i="3" s="1"/>
  <c r="AB299" i="3"/>
  <c r="AH299" i="3" s="1"/>
  <c r="AB291" i="3"/>
  <c r="AH291" i="3" s="1"/>
  <c r="AB283" i="3"/>
  <c r="AH283" i="3" s="1"/>
  <c r="AB275" i="3"/>
  <c r="AH275" i="3" s="1"/>
  <c r="AB267" i="3"/>
  <c r="AH267" i="3" s="1"/>
  <c r="AB259" i="3"/>
  <c r="AH259" i="3" s="1"/>
  <c r="AB251" i="3"/>
  <c r="AH251" i="3" s="1"/>
  <c r="AB243" i="3"/>
  <c r="AH243" i="3" s="1"/>
  <c r="AB235" i="3"/>
  <c r="AH235" i="3" s="1"/>
  <c r="AB227" i="3"/>
  <c r="AH227" i="3" s="1"/>
  <c r="AB219" i="3"/>
  <c r="AH219" i="3" s="1"/>
  <c r="AB211" i="3"/>
  <c r="AH211" i="3" s="1"/>
  <c r="AB203" i="3"/>
  <c r="AH203" i="3" s="1"/>
  <c r="AB195" i="3"/>
  <c r="AH195" i="3" s="1"/>
  <c r="AB187" i="3"/>
  <c r="AH187" i="3" s="1"/>
  <c r="AB179" i="3"/>
  <c r="AH179" i="3" s="1"/>
  <c r="AB171" i="3"/>
  <c r="AH171" i="3" s="1"/>
  <c r="AB163" i="3"/>
  <c r="AH163" i="3" s="1"/>
  <c r="AB155" i="3"/>
  <c r="AH155" i="3" s="1"/>
  <c r="AB147" i="3"/>
  <c r="AH147" i="3" s="1"/>
  <c r="AB139" i="3"/>
  <c r="AH139" i="3" s="1"/>
  <c r="AB131" i="3"/>
  <c r="AH131" i="3" s="1"/>
  <c r="AB123" i="3"/>
  <c r="AH123" i="3" s="1"/>
  <c r="AB115" i="3"/>
  <c r="AH115" i="3" s="1"/>
  <c r="AB107" i="3"/>
  <c r="AH107" i="3" s="1"/>
  <c r="AB99" i="3"/>
  <c r="AH99" i="3" s="1"/>
  <c r="AB91" i="3"/>
  <c r="AH91" i="3" s="1"/>
  <c r="AB83" i="3"/>
  <c r="AH83" i="3" s="1"/>
  <c r="AB75" i="3"/>
  <c r="AH75" i="3" s="1"/>
  <c r="AB67" i="3"/>
  <c r="AH67" i="3" s="1"/>
  <c r="AB59" i="3"/>
  <c r="AH59" i="3" s="1"/>
  <c r="AB51" i="3"/>
  <c r="AH51" i="3" s="1"/>
  <c r="AB43" i="3"/>
  <c r="AH43" i="3" s="1"/>
  <c r="AB35" i="3"/>
  <c r="AH35" i="3" s="1"/>
  <c r="AB27" i="3"/>
  <c r="AH27" i="3" s="1"/>
  <c r="AB19" i="3"/>
  <c r="AH19" i="3" s="1"/>
  <c r="AB11" i="3"/>
  <c r="AH11" i="3" s="1"/>
  <c r="AB3" i="3"/>
  <c r="AH3" i="3" s="1"/>
  <c r="AB594" i="3"/>
  <c r="AH594" i="3" s="1"/>
  <c r="AB530" i="3"/>
  <c r="AH530" i="3" s="1"/>
  <c r="AB466" i="3"/>
  <c r="AH466" i="3" s="1"/>
  <c r="AB402" i="3"/>
  <c r="AH402" i="3" s="1"/>
  <c r="AB210" i="3"/>
  <c r="AH210" i="3" s="1"/>
  <c r="AH2" i="3"/>
  <c r="AH611" i="3"/>
  <c r="AH586" i="3"/>
  <c r="AH572" i="3"/>
  <c r="AH547" i="3"/>
  <c r="AH522" i="3"/>
  <c r="AH508" i="3"/>
  <c r="AH483" i="3"/>
  <c r="AH458" i="3"/>
  <c r="AH444" i="3"/>
  <c r="AH354" i="3"/>
  <c r="AH290" i="3"/>
  <c r="AH226" i="3"/>
  <c r="AH162" i="3"/>
  <c r="AH98" i="3"/>
  <c r="AB394" i="3"/>
  <c r="AH394" i="3" s="1"/>
  <c r="AB90" i="3"/>
  <c r="AH90" i="3" s="1"/>
  <c r="AH596" i="3"/>
  <c r="AH571" i="3"/>
  <c r="AH532" i="3"/>
  <c r="AH507" i="3"/>
  <c r="AH468" i="3"/>
  <c r="AH443" i="3"/>
  <c r="AH282" i="3"/>
  <c r="AB625" i="3"/>
  <c r="AH625" i="3" s="1"/>
  <c r="AB617" i="3"/>
  <c r="AH617" i="3" s="1"/>
  <c r="AB609" i="3"/>
  <c r="AH609" i="3" s="1"/>
  <c r="AB601" i="3"/>
  <c r="AH601" i="3" s="1"/>
  <c r="AB593" i="3"/>
  <c r="AH593" i="3" s="1"/>
  <c r="AB585" i="3"/>
  <c r="AH585" i="3" s="1"/>
  <c r="AB577" i="3"/>
  <c r="AH577" i="3" s="1"/>
  <c r="AB569" i="3"/>
  <c r="AH569" i="3" s="1"/>
  <c r="AB561" i="3"/>
  <c r="AH561" i="3" s="1"/>
  <c r="AB553" i="3"/>
  <c r="AH553" i="3" s="1"/>
  <c r="AB545" i="3"/>
  <c r="AH545" i="3" s="1"/>
  <c r="AB537" i="3"/>
  <c r="AH537" i="3" s="1"/>
  <c r="AB529" i="3"/>
  <c r="AH529" i="3" s="1"/>
  <c r="AB521" i="3"/>
  <c r="AH521" i="3" s="1"/>
  <c r="AB513" i="3"/>
  <c r="AH513" i="3" s="1"/>
  <c r="AB505" i="3"/>
  <c r="AH505" i="3" s="1"/>
  <c r="AB497" i="3"/>
  <c r="AH497" i="3" s="1"/>
  <c r="AB489" i="3"/>
  <c r="AH489" i="3" s="1"/>
  <c r="AB481" i="3"/>
  <c r="AH481" i="3" s="1"/>
  <c r="AB473" i="3"/>
  <c r="AH473" i="3" s="1"/>
  <c r="AB465" i="3"/>
  <c r="AH465" i="3" s="1"/>
  <c r="AB457" i="3"/>
  <c r="AH457" i="3" s="1"/>
  <c r="AB449" i="3"/>
  <c r="AH449" i="3" s="1"/>
  <c r="AB441" i="3"/>
  <c r="AH441" i="3" s="1"/>
  <c r="AB433" i="3"/>
  <c r="AH433" i="3" s="1"/>
  <c r="AB425" i="3"/>
  <c r="AH425" i="3" s="1"/>
  <c r="AB417" i="3"/>
  <c r="AH417" i="3" s="1"/>
  <c r="AB409" i="3"/>
  <c r="AH409" i="3" s="1"/>
  <c r="AB401" i="3"/>
  <c r="AH401" i="3" s="1"/>
  <c r="AB393" i="3"/>
  <c r="AH393" i="3" s="1"/>
  <c r="AB385" i="3"/>
  <c r="AH385" i="3" s="1"/>
  <c r="AB377" i="3"/>
  <c r="AH377" i="3" s="1"/>
  <c r="AB369" i="3"/>
  <c r="AH369" i="3" s="1"/>
  <c r="AB361" i="3"/>
  <c r="AH361" i="3" s="1"/>
  <c r="AB353" i="3"/>
  <c r="AH353" i="3" s="1"/>
  <c r="AB345" i="3"/>
  <c r="AH345" i="3" s="1"/>
  <c r="AB337" i="3"/>
  <c r="AH337" i="3" s="1"/>
  <c r="AB329" i="3"/>
  <c r="AH329" i="3" s="1"/>
  <c r="AB321" i="3"/>
  <c r="AH321" i="3" s="1"/>
  <c r="AB313" i="3"/>
  <c r="AH313" i="3" s="1"/>
  <c r="AB305" i="3"/>
  <c r="AH305" i="3" s="1"/>
  <c r="AB297" i="3"/>
  <c r="AH297" i="3" s="1"/>
  <c r="AB289" i="3"/>
  <c r="AH289" i="3" s="1"/>
  <c r="AB281" i="3"/>
  <c r="AH281" i="3" s="1"/>
  <c r="AB273" i="3"/>
  <c r="AH273" i="3" s="1"/>
  <c r="AB265" i="3"/>
  <c r="AH265" i="3" s="1"/>
  <c r="AB257" i="3"/>
  <c r="AH257" i="3" s="1"/>
  <c r="AB249" i="3"/>
  <c r="AH249" i="3" s="1"/>
  <c r="AB241" i="3"/>
  <c r="AH241" i="3" s="1"/>
  <c r="AB233" i="3"/>
  <c r="AH233" i="3" s="1"/>
  <c r="AB225" i="3"/>
  <c r="AH225" i="3" s="1"/>
  <c r="AB217" i="3"/>
  <c r="AH217" i="3" s="1"/>
  <c r="AB209" i="3"/>
  <c r="AH209" i="3" s="1"/>
  <c r="AB201" i="3"/>
  <c r="AH201" i="3" s="1"/>
  <c r="AB193" i="3"/>
  <c r="AH193" i="3" s="1"/>
  <c r="AB185" i="3"/>
  <c r="AH185" i="3" s="1"/>
  <c r="AB177" i="3"/>
  <c r="AH177" i="3" s="1"/>
  <c r="AB169" i="3"/>
  <c r="AH169" i="3" s="1"/>
  <c r="AB161" i="3"/>
  <c r="AH161" i="3" s="1"/>
  <c r="AB153" i="3"/>
  <c r="AH153" i="3" s="1"/>
  <c r="AB145" i="3"/>
  <c r="AH145" i="3" s="1"/>
  <c r="AB137" i="3"/>
  <c r="AH137" i="3" s="1"/>
  <c r="AB129" i="3"/>
  <c r="AH129" i="3" s="1"/>
  <c r="AB121" i="3"/>
  <c r="AH121" i="3" s="1"/>
  <c r="AB113" i="3"/>
  <c r="AH113" i="3" s="1"/>
  <c r="AB105" i="3"/>
  <c r="AH105" i="3" s="1"/>
  <c r="AB97" i="3"/>
  <c r="AH97" i="3" s="1"/>
  <c r="AB89" i="3"/>
  <c r="AH89" i="3" s="1"/>
  <c r="AB81" i="3"/>
  <c r="AH81" i="3" s="1"/>
  <c r="AB73" i="3"/>
  <c r="AH73" i="3" s="1"/>
  <c r="AB65" i="3"/>
  <c r="AH65" i="3" s="1"/>
  <c r="AB57" i="3"/>
  <c r="AH57" i="3" s="1"/>
  <c r="AB49" i="3"/>
  <c r="AH49" i="3" s="1"/>
  <c r="AB41" i="3"/>
  <c r="AH41" i="3" s="1"/>
  <c r="AB33" i="3"/>
  <c r="AH33" i="3" s="1"/>
  <c r="AB25" i="3"/>
  <c r="AH25" i="3" s="1"/>
  <c r="AB17" i="3"/>
  <c r="AH17" i="3" s="1"/>
  <c r="AB9" i="3"/>
  <c r="AH9" i="3" s="1"/>
  <c r="AB82" i="3"/>
  <c r="AH82" i="3" s="1"/>
  <c r="AH620" i="3"/>
  <c r="AH595" i="3"/>
  <c r="AH570" i="3"/>
  <c r="AH556" i="3"/>
  <c r="AH531" i="3"/>
  <c r="AH506" i="3"/>
  <c r="AH492" i="3"/>
  <c r="AH467" i="3"/>
  <c r="AH442" i="3"/>
  <c r="AH428" i="3"/>
  <c r="AH412" i="3"/>
  <c r="AH396" i="3"/>
  <c r="AH274" i="3"/>
  <c r="AH619" i="3"/>
  <c r="AH580" i="3"/>
  <c r="AH555" i="3"/>
  <c r="AH516" i="3"/>
  <c r="AH491" i="3"/>
  <c r="AH452" i="3"/>
  <c r="AH427" i="3"/>
  <c r="AH411" i="3"/>
  <c r="AH330" i="3"/>
  <c r="AH266" i="3"/>
  <c r="AH202" i="3"/>
  <c r="AH138" i="3"/>
  <c r="E1048576" i="3"/>
  <c r="E261" i="9"/>
  <c r="E262" i="9" s="1"/>
  <c r="E263" i="9" s="1"/>
  <c r="E264" i="9" s="1"/>
  <c r="F264" i="9" s="1"/>
  <c r="G264" i="9" s="1"/>
  <c r="E90" i="9"/>
  <c r="E529" i="9"/>
  <c r="F529" i="9" s="1"/>
  <c r="G529" i="9" s="1"/>
  <c r="E355" i="9"/>
  <c r="F355" i="9" s="1"/>
  <c r="G355" i="9" s="1"/>
  <c r="E180" i="9"/>
  <c r="E441" i="9"/>
  <c r="E442" i="9" s="1"/>
  <c r="E530" i="9"/>
  <c r="F530" i="9" s="1"/>
  <c r="G530" i="9" s="1"/>
  <c r="E2" i="9"/>
  <c r="F2" i="9" s="1"/>
  <c r="G2" i="9" s="1"/>
  <c r="F90" i="9"/>
  <c r="G90" i="9" s="1"/>
  <c r="E83" i="9"/>
  <c r="E84" i="9" s="1"/>
  <c r="E85" i="9" s="1"/>
  <c r="F85" i="9" s="1"/>
  <c r="G85" i="9" s="1"/>
  <c r="F83" i="9"/>
  <c r="G83" i="9" s="1"/>
  <c r="X73" i="3" l="1"/>
  <c r="AC73" i="3"/>
  <c r="X124" i="3"/>
  <c r="AC124" i="3"/>
  <c r="X125" i="3"/>
  <c r="AC125" i="3"/>
  <c r="X70" i="3"/>
  <c r="AC70" i="3"/>
  <c r="X454" i="3"/>
  <c r="AC454" i="3"/>
  <c r="X295" i="3"/>
  <c r="AC295" i="3"/>
  <c r="X144" i="3"/>
  <c r="AC144" i="3"/>
  <c r="X464" i="3"/>
  <c r="AC464" i="3"/>
  <c r="X249" i="3"/>
  <c r="AC249" i="3"/>
  <c r="X18" i="3"/>
  <c r="AC18" i="3"/>
  <c r="X402" i="3"/>
  <c r="AC402" i="3"/>
  <c r="X251" i="3"/>
  <c r="AC251" i="3"/>
  <c r="X598" i="3"/>
  <c r="AC598" i="3"/>
  <c r="X17" i="3"/>
  <c r="AC17" i="3"/>
  <c r="X81" i="3"/>
  <c r="AC81" i="3"/>
  <c r="X16" i="3"/>
  <c r="AC16" i="3"/>
  <c r="X35" i="3"/>
  <c r="AC35" i="3"/>
  <c r="X4" i="3"/>
  <c r="AC4" i="3"/>
  <c r="X68" i="3"/>
  <c r="AC68" i="3"/>
  <c r="X132" i="3"/>
  <c r="AC132" i="3"/>
  <c r="X196" i="3"/>
  <c r="AC196" i="3"/>
  <c r="X260" i="3"/>
  <c r="AC260" i="3"/>
  <c r="X324" i="3"/>
  <c r="AC324" i="3"/>
  <c r="X388" i="3"/>
  <c r="AC388" i="3"/>
  <c r="X452" i="3"/>
  <c r="AC452" i="3"/>
  <c r="X516" i="3"/>
  <c r="AC516" i="3"/>
  <c r="X5" i="3"/>
  <c r="AC5" i="3"/>
  <c r="X69" i="3"/>
  <c r="AC69" i="3"/>
  <c r="X133" i="3"/>
  <c r="AC133" i="3"/>
  <c r="X197" i="3"/>
  <c r="AC197" i="3"/>
  <c r="X261" i="3"/>
  <c r="AC261" i="3"/>
  <c r="X325" i="3"/>
  <c r="AC325" i="3"/>
  <c r="X389" i="3"/>
  <c r="AC389" i="3"/>
  <c r="X453" i="3"/>
  <c r="AC453" i="3"/>
  <c r="X78" i="3"/>
  <c r="AC78" i="3" s="1"/>
  <c r="X142" i="3"/>
  <c r="AC142" i="3"/>
  <c r="X206" i="3"/>
  <c r="AC206" i="3"/>
  <c r="X270" i="3"/>
  <c r="AC270" i="3"/>
  <c r="X334" i="3"/>
  <c r="AC334" i="3"/>
  <c r="X398" i="3"/>
  <c r="AC398" i="3"/>
  <c r="X462" i="3"/>
  <c r="AC462" i="3"/>
  <c r="X47" i="3"/>
  <c r="AC47" i="3"/>
  <c r="X111" i="3"/>
  <c r="AC111" i="3"/>
  <c r="X175" i="3"/>
  <c r="AC175" i="3"/>
  <c r="X239" i="3"/>
  <c r="AC239" i="3"/>
  <c r="X303" i="3"/>
  <c r="AC303" i="3"/>
  <c r="X367" i="3"/>
  <c r="AC367" i="3"/>
  <c r="X431" i="3"/>
  <c r="AC431" i="3"/>
  <c r="X495" i="3"/>
  <c r="AC495" i="3"/>
  <c r="X559" i="3"/>
  <c r="AC559" i="3"/>
  <c r="X88" i="3"/>
  <c r="AC88" i="3"/>
  <c r="X152" i="3"/>
  <c r="AC152" i="3"/>
  <c r="X216" i="3"/>
  <c r="AC216" i="3"/>
  <c r="X280" i="3"/>
  <c r="AC280" i="3"/>
  <c r="X344" i="3"/>
  <c r="AC344" i="3"/>
  <c r="X408" i="3"/>
  <c r="AC408" i="3"/>
  <c r="X472" i="3"/>
  <c r="AC472" i="3"/>
  <c r="X536" i="3"/>
  <c r="AC536" i="3"/>
  <c r="X600" i="3"/>
  <c r="AC600" i="3"/>
  <c r="X121" i="3"/>
  <c r="AC121" i="3"/>
  <c r="X185" i="3"/>
  <c r="AC185" i="3"/>
  <c r="X257" i="3"/>
  <c r="AC257" i="3"/>
  <c r="X321" i="3"/>
  <c r="AC321" i="3"/>
  <c r="X385" i="3"/>
  <c r="AC385" i="3"/>
  <c r="X449" i="3"/>
  <c r="AC449" i="3"/>
  <c r="X513" i="3"/>
  <c r="AC513" i="3"/>
  <c r="X577" i="3"/>
  <c r="AC577" i="3"/>
  <c r="X26" i="3"/>
  <c r="AC26" i="3"/>
  <c r="X90" i="3"/>
  <c r="AC90" i="3"/>
  <c r="X154" i="3"/>
  <c r="AC154" i="3"/>
  <c r="X218" i="3"/>
  <c r="AC218" i="3"/>
  <c r="X282" i="3"/>
  <c r="AC282" i="3"/>
  <c r="X346" i="3"/>
  <c r="AC346" i="3"/>
  <c r="X410" i="3"/>
  <c r="AC410" i="3"/>
  <c r="X474" i="3"/>
  <c r="AC474" i="3"/>
  <c r="X538" i="3"/>
  <c r="AC538" i="3"/>
  <c r="X602" i="3"/>
  <c r="AC602" i="3"/>
  <c r="X131" i="3"/>
  <c r="AC131" i="3"/>
  <c r="X195" i="3"/>
  <c r="AC195" i="3"/>
  <c r="X259" i="3"/>
  <c r="AC259" i="3"/>
  <c r="X323" i="3"/>
  <c r="AC323" i="3"/>
  <c r="X387" i="3"/>
  <c r="AC387" i="3"/>
  <c r="X451" i="3"/>
  <c r="AC451" i="3"/>
  <c r="X515" i="3"/>
  <c r="AC515" i="3"/>
  <c r="X579" i="3"/>
  <c r="AC579" i="3"/>
  <c r="X607" i="3"/>
  <c r="AC607" i="3"/>
  <c r="X628" i="3"/>
  <c r="AC628" i="3"/>
  <c r="X509" i="3"/>
  <c r="AC509" i="3"/>
  <c r="X573" i="3"/>
  <c r="AC573" i="3"/>
  <c r="X599" i="3"/>
  <c r="AC599" i="3"/>
  <c r="X542" i="3"/>
  <c r="AC542" i="3"/>
  <c r="X606" i="3"/>
  <c r="AC606" i="3"/>
  <c r="X60" i="3"/>
  <c r="AC60" i="3"/>
  <c r="X444" i="3"/>
  <c r="AC444" i="3"/>
  <c r="X253" i="3"/>
  <c r="AC253" i="3"/>
  <c r="X198" i="3"/>
  <c r="AC198" i="3"/>
  <c r="X39" i="3"/>
  <c r="AC39" i="3"/>
  <c r="X359" i="3"/>
  <c r="AC359" i="3"/>
  <c r="X208" i="3"/>
  <c r="AC208" i="3"/>
  <c r="X528" i="3"/>
  <c r="AC528" i="3"/>
  <c r="X377" i="3"/>
  <c r="AC377" i="3"/>
  <c r="X146" i="3"/>
  <c r="AC146" i="3"/>
  <c r="X530" i="3"/>
  <c r="AC530" i="3"/>
  <c r="X315" i="3"/>
  <c r="AC315" i="3"/>
  <c r="X534" i="3"/>
  <c r="AC534" i="3"/>
  <c r="X25" i="3"/>
  <c r="AC25" i="3"/>
  <c r="X97" i="3"/>
  <c r="AC97" i="3"/>
  <c r="X24" i="3"/>
  <c r="AC24" i="3"/>
  <c r="X43" i="3"/>
  <c r="AC43" i="3"/>
  <c r="X12" i="3"/>
  <c r="AC12" i="3"/>
  <c r="X76" i="3"/>
  <c r="AC76" i="3"/>
  <c r="X140" i="3"/>
  <c r="AC140" i="3"/>
  <c r="X204" i="3"/>
  <c r="AC204" i="3"/>
  <c r="X268" i="3"/>
  <c r="AC268" i="3"/>
  <c r="X332" i="3"/>
  <c r="AC332" i="3"/>
  <c r="X396" i="3"/>
  <c r="AC396" i="3"/>
  <c r="X460" i="3"/>
  <c r="AC460" i="3"/>
  <c r="X524" i="3"/>
  <c r="AC524" i="3"/>
  <c r="X13" i="3"/>
  <c r="AC13" i="3" s="1"/>
  <c r="X77" i="3"/>
  <c r="AC77" i="3"/>
  <c r="X141" i="3"/>
  <c r="AC141" i="3"/>
  <c r="X205" i="3"/>
  <c r="AC205" i="3"/>
  <c r="X269" i="3"/>
  <c r="AC269" i="3"/>
  <c r="X333" i="3"/>
  <c r="AC333" i="3"/>
  <c r="X397" i="3"/>
  <c r="AC397" i="3"/>
  <c r="X22" i="3"/>
  <c r="AC22" i="3"/>
  <c r="X86" i="3"/>
  <c r="AC86" i="3"/>
  <c r="X150" i="3"/>
  <c r="AC150" i="3"/>
  <c r="X214" i="3"/>
  <c r="AC214" i="3"/>
  <c r="X278" i="3"/>
  <c r="AC278" i="3"/>
  <c r="X342" i="3"/>
  <c r="AC342" i="3"/>
  <c r="X406" i="3"/>
  <c r="AC406" i="3"/>
  <c r="X470" i="3"/>
  <c r="AC470" i="3"/>
  <c r="X55" i="3"/>
  <c r="AC55" i="3" s="1"/>
  <c r="X119" i="3"/>
  <c r="AC119" i="3"/>
  <c r="X183" i="3"/>
  <c r="AC183" i="3"/>
  <c r="X247" i="3"/>
  <c r="AC247" i="3"/>
  <c r="X311" i="3"/>
  <c r="AC311" i="3"/>
  <c r="X375" i="3"/>
  <c r="AC375" i="3" s="1"/>
  <c r="X439" i="3"/>
  <c r="AC439" i="3"/>
  <c r="X503" i="3"/>
  <c r="AC503" i="3"/>
  <c r="X567" i="3"/>
  <c r="AC567" i="3"/>
  <c r="X96" i="3"/>
  <c r="AC96" i="3"/>
  <c r="X160" i="3"/>
  <c r="AC160" i="3"/>
  <c r="X224" i="3"/>
  <c r="AC224" i="3" s="1"/>
  <c r="X288" i="3"/>
  <c r="AC288" i="3" s="1"/>
  <c r="X352" i="3"/>
  <c r="AC352" i="3" s="1"/>
  <c r="X416" i="3"/>
  <c r="AC416" i="3"/>
  <c r="X480" i="3"/>
  <c r="AC480" i="3"/>
  <c r="X544" i="3"/>
  <c r="AC544" i="3" s="1"/>
  <c r="X608" i="3"/>
  <c r="AC608" i="3" s="1"/>
  <c r="X129" i="3"/>
  <c r="AC129" i="3"/>
  <c r="X193" i="3"/>
  <c r="AC193" i="3"/>
  <c r="X265" i="3"/>
  <c r="AC265" i="3" s="1"/>
  <c r="X329" i="3"/>
  <c r="AC329" i="3" s="1"/>
  <c r="X393" i="3"/>
  <c r="AC393" i="3"/>
  <c r="X457" i="3"/>
  <c r="AC457" i="3"/>
  <c r="X521" i="3"/>
  <c r="AC521" i="3" s="1"/>
  <c r="X585" i="3"/>
  <c r="AC585" i="3" s="1"/>
  <c r="X34" i="3"/>
  <c r="AC34" i="3"/>
  <c r="X98" i="3"/>
  <c r="AC98" i="3" s="1"/>
  <c r="X162" i="3"/>
  <c r="AC162" i="3" s="1"/>
  <c r="X226" i="3"/>
  <c r="AC226" i="3"/>
  <c r="X290" i="3"/>
  <c r="AC290" i="3"/>
  <c r="X354" i="3"/>
  <c r="AC354" i="3" s="1"/>
  <c r="X418" i="3"/>
  <c r="AC418" i="3" s="1"/>
  <c r="X482" i="3"/>
  <c r="AC482" i="3"/>
  <c r="X546" i="3"/>
  <c r="AC546" i="3"/>
  <c r="X610" i="3"/>
  <c r="AC610" i="3" s="1"/>
  <c r="X139" i="3"/>
  <c r="AC139" i="3" s="1"/>
  <c r="X203" i="3"/>
  <c r="AC203" i="3"/>
  <c r="X267" i="3"/>
  <c r="AC267" i="3"/>
  <c r="X331" i="3"/>
  <c r="AC331" i="3" s="1"/>
  <c r="X395" i="3"/>
  <c r="AC395" i="3" s="1"/>
  <c r="X459" i="3"/>
  <c r="AC459" i="3" s="1"/>
  <c r="X523" i="3"/>
  <c r="AC523" i="3"/>
  <c r="X587" i="3"/>
  <c r="AC587" i="3" s="1"/>
  <c r="X623" i="3"/>
  <c r="AC623" i="3" s="1"/>
  <c r="X591" i="3"/>
  <c r="AC591" i="3" s="1"/>
  <c r="X517" i="3"/>
  <c r="AC517" i="3"/>
  <c r="X581" i="3"/>
  <c r="AC581" i="3" s="1"/>
  <c r="X631" i="3"/>
  <c r="AC631" i="3" s="1"/>
  <c r="X550" i="3"/>
  <c r="AC550" i="3" s="1"/>
  <c r="X614" i="3"/>
  <c r="AC614" i="3"/>
  <c r="X569" i="3"/>
  <c r="AC569" i="3" s="1"/>
  <c r="X274" i="3"/>
  <c r="AC274" i="3" s="1"/>
  <c r="X123" i="3"/>
  <c r="AC123" i="3" s="1"/>
  <c r="X507" i="3"/>
  <c r="AC507" i="3"/>
  <c r="X565" i="3"/>
  <c r="AC565" i="3" s="1"/>
  <c r="X33" i="3"/>
  <c r="AC33" i="3" s="1"/>
  <c r="X2" i="3"/>
  <c r="AC2" i="3"/>
  <c r="X32" i="3"/>
  <c r="AC32" i="3" s="1"/>
  <c r="X51" i="3"/>
  <c r="AC51" i="3" s="1"/>
  <c r="X20" i="3"/>
  <c r="AC20" i="3" s="1"/>
  <c r="X84" i="3"/>
  <c r="AC84" i="3"/>
  <c r="X148" i="3"/>
  <c r="AC148" i="3" s="1"/>
  <c r="X212" i="3"/>
  <c r="AC212" i="3"/>
  <c r="X276" i="3"/>
  <c r="AC276" i="3" s="1"/>
  <c r="X340" i="3"/>
  <c r="AC340" i="3"/>
  <c r="X404" i="3"/>
  <c r="AC404" i="3" s="1"/>
  <c r="X468" i="3"/>
  <c r="AC468" i="3" s="1"/>
  <c r="X532" i="3"/>
  <c r="AC532" i="3" s="1"/>
  <c r="X21" i="3"/>
  <c r="AC21" i="3" s="1"/>
  <c r="X85" i="3"/>
  <c r="AC85" i="3" s="1"/>
  <c r="X149" i="3"/>
  <c r="AC149" i="3" s="1"/>
  <c r="X213" i="3"/>
  <c r="AC213" i="3" s="1"/>
  <c r="X277" i="3"/>
  <c r="AC277" i="3" s="1"/>
  <c r="X341" i="3"/>
  <c r="AC341" i="3" s="1"/>
  <c r="X405" i="3"/>
  <c r="AC405" i="3" s="1"/>
  <c r="X30" i="3"/>
  <c r="AC30" i="3" s="1"/>
  <c r="X94" i="3"/>
  <c r="AC94" i="3" s="1"/>
  <c r="X158" i="3"/>
  <c r="AC158" i="3" s="1"/>
  <c r="X222" i="3"/>
  <c r="AC222" i="3" s="1"/>
  <c r="X286" i="3"/>
  <c r="AC286" i="3" s="1"/>
  <c r="X350" i="3"/>
  <c r="AC350" i="3" s="1"/>
  <c r="X414" i="3"/>
  <c r="AC414" i="3" s="1"/>
  <c r="X478" i="3"/>
  <c r="AC478" i="3"/>
  <c r="X63" i="3"/>
  <c r="AC63" i="3" s="1"/>
  <c r="X127" i="3"/>
  <c r="AC127" i="3" s="1"/>
  <c r="X191" i="3"/>
  <c r="AC191" i="3" s="1"/>
  <c r="X255" i="3"/>
  <c r="AC255" i="3"/>
  <c r="X319" i="3"/>
  <c r="AC319" i="3" s="1"/>
  <c r="X383" i="3"/>
  <c r="AC383" i="3" s="1"/>
  <c r="X447" i="3"/>
  <c r="AC447" i="3" s="1"/>
  <c r="X511" i="3"/>
  <c r="AC511" i="3" s="1"/>
  <c r="X575" i="3"/>
  <c r="AC575" i="3" s="1"/>
  <c r="X104" i="3"/>
  <c r="AC104" i="3" s="1"/>
  <c r="X168" i="3"/>
  <c r="AC168" i="3" s="1"/>
  <c r="X232" i="3"/>
  <c r="AC232" i="3" s="1"/>
  <c r="X296" i="3"/>
  <c r="AC296" i="3" s="1"/>
  <c r="X360" i="3"/>
  <c r="AC360" i="3" s="1"/>
  <c r="X424" i="3"/>
  <c r="AC424" i="3" s="1"/>
  <c r="X488" i="3"/>
  <c r="AC488" i="3" s="1"/>
  <c r="X552" i="3"/>
  <c r="AC552" i="3" s="1"/>
  <c r="X616" i="3"/>
  <c r="AC616" i="3" s="1"/>
  <c r="X137" i="3"/>
  <c r="AC137" i="3" s="1"/>
  <c r="X201" i="3"/>
  <c r="AC201" i="3" s="1"/>
  <c r="X273" i="3"/>
  <c r="AC273" i="3" s="1"/>
  <c r="X337" i="3"/>
  <c r="AC337" i="3" s="1"/>
  <c r="X401" i="3"/>
  <c r="AC401" i="3" s="1"/>
  <c r="X465" i="3"/>
  <c r="AC465" i="3" s="1"/>
  <c r="X529" i="3"/>
  <c r="AC529" i="3" s="1"/>
  <c r="X593" i="3"/>
  <c r="AC593" i="3" s="1"/>
  <c r="X42" i="3"/>
  <c r="AC42" i="3" s="1"/>
  <c r="X106" i="3"/>
  <c r="AC106" i="3" s="1"/>
  <c r="X170" i="3"/>
  <c r="AC170" i="3" s="1"/>
  <c r="X234" i="3"/>
  <c r="AC234" i="3" s="1"/>
  <c r="X298" i="3"/>
  <c r="AC298" i="3" s="1"/>
  <c r="X362" i="3"/>
  <c r="AC362" i="3" s="1"/>
  <c r="X426" i="3"/>
  <c r="AC426" i="3" s="1"/>
  <c r="X490" i="3"/>
  <c r="AC490" i="3" s="1"/>
  <c r="X554" i="3"/>
  <c r="AC554" i="3" s="1"/>
  <c r="X618" i="3"/>
  <c r="AC618" i="3" s="1"/>
  <c r="X147" i="3"/>
  <c r="AC147" i="3" s="1"/>
  <c r="X211" i="3"/>
  <c r="AC211" i="3" s="1"/>
  <c r="X275" i="3"/>
  <c r="AC275" i="3" s="1"/>
  <c r="X339" i="3"/>
  <c r="AC339" i="3" s="1"/>
  <c r="X403" i="3"/>
  <c r="AC403" i="3" s="1"/>
  <c r="X467" i="3"/>
  <c r="AC467" i="3" s="1"/>
  <c r="X531" i="3"/>
  <c r="AC531" i="3" s="1"/>
  <c r="X595" i="3"/>
  <c r="AC595" i="3" s="1"/>
  <c r="X580" i="3"/>
  <c r="AC580" i="3" s="1"/>
  <c r="X461" i="3"/>
  <c r="AC461" i="3" s="1"/>
  <c r="X525" i="3"/>
  <c r="AC525" i="3" s="1"/>
  <c r="X589" i="3"/>
  <c r="AC589" i="3" s="1"/>
  <c r="X494" i="3"/>
  <c r="AC494" i="3" s="1"/>
  <c r="X558" i="3"/>
  <c r="AC558" i="3" s="1"/>
  <c r="X622" i="3"/>
  <c r="AC622" i="3" s="1"/>
  <c r="X27" i="3"/>
  <c r="AC27" i="3" s="1"/>
  <c r="X380" i="3"/>
  <c r="AC380" i="3" s="1"/>
  <c r="X189" i="3"/>
  <c r="AC189" i="3" s="1"/>
  <c r="X326" i="3"/>
  <c r="AC326" i="3" s="1"/>
  <c r="X423" i="3"/>
  <c r="AC423" i="3" s="1"/>
  <c r="X592" i="3"/>
  <c r="AC592" i="3" s="1"/>
  <c r="X501" i="3"/>
  <c r="AC501" i="3" s="1"/>
  <c r="X41" i="3"/>
  <c r="AC41" i="3" s="1"/>
  <c r="X10" i="3"/>
  <c r="AC10" i="3" s="1"/>
  <c r="X40" i="3"/>
  <c r="AC40" i="3" s="1"/>
  <c r="X59" i="3"/>
  <c r="AC59" i="3" s="1"/>
  <c r="X28" i="3"/>
  <c r="AC28" i="3" s="1"/>
  <c r="X92" i="3"/>
  <c r="AC92" i="3" s="1"/>
  <c r="X156" i="3"/>
  <c r="AC156" i="3" s="1"/>
  <c r="X220" i="3"/>
  <c r="AC220" i="3" s="1"/>
  <c r="X284" i="3"/>
  <c r="AC284" i="3" s="1"/>
  <c r="X348" i="3"/>
  <c r="AC348" i="3" s="1"/>
  <c r="X412" i="3"/>
  <c r="AC412" i="3" s="1"/>
  <c r="X476" i="3"/>
  <c r="AC476" i="3" s="1"/>
  <c r="X540" i="3"/>
  <c r="AC540" i="3" s="1"/>
  <c r="X29" i="3"/>
  <c r="AC29" i="3" s="1"/>
  <c r="X93" i="3"/>
  <c r="AC93" i="3" s="1"/>
  <c r="X157" i="3"/>
  <c r="AC157" i="3" s="1"/>
  <c r="X221" i="3"/>
  <c r="AC221" i="3" s="1"/>
  <c r="X285" i="3"/>
  <c r="AC285" i="3" s="1"/>
  <c r="X349" i="3"/>
  <c r="AC349" i="3" s="1"/>
  <c r="X413" i="3"/>
  <c r="AC413" i="3" s="1"/>
  <c r="X38" i="3"/>
  <c r="AC38" i="3" s="1"/>
  <c r="X102" i="3"/>
  <c r="AC102" i="3" s="1"/>
  <c r="X166" i="3"/>
  <c r="AC166" i="3" s="1"/>
  <c r="X230" i="3"/>
  <c r="AC230" i="3" s="1"/>
  <c r="X294" i="3"/>
  <c r="AC294" i="3" s="1"/>
  <c r="X358" i="3"/>
  <c r="AC358" i="3" s="1"/>
  <c r="X422" i="3"/>
  <c r="AC422" i="3" s="1"/>
  <c r="X486" i="3"/>
  <c r="AC486" i="3" s="1"/>
  <c r="X71" i="3"/>
  <c r="AC71" i="3" s="1"/>
  <c r="X135" i="3"/>
  <c r="AC135" i="3" s="1"/>
  <c r="X199" i="3"/>
  <c r="AC199" i="3" s="1"/>
  <c r="X263" i="3"/>
  <c r="AC263" i="3" s="1"/>
  <c r="X327" i="3"/>
  <c r="AC327" i="3" s="1"/>
  <c r="X391" i="3"/>
  <c r="AC391" i="3" s="1"/>
  <c r="X455" i="3"/>
  <c r="AC455" i="3" s="1"/>
  <c r="X519" i="3"/>
  <c r="AC519" i="3" s="1"/>
  <c r="X48" i="3"/>
  <c r="AC48" i="3" s="1"/>
  <c r="X112" i="3"/>
  <c r="AC112" i="3" s="1"/>
  <c r="X176" i="3"/>
  <c r="AC176" i="3" s="1"/>
  <c r="X240" i="3"/>
  <c r="AC240" i="3" s="1"/>
  <c r="X304" i="3"/>
  <c r="AC304" i="3" s="1"/>
  <c r="X368" i="3"/>
  <c r="AC368" i="3" s="1"/>
  <c r="X432" i="3"/>
  <c r="AC432" i="3" s="1"/>
  <c r="X496" i="3"/>
  <c r="AC496" i="3" s="1"/>
  <c r="X560" i="3"/>
  <c r="AC560" i="3" s="1"/>
  <c r="X624" i="3"/>
  <c r="AC624" i="3" s="1"/>
  <c r="X145" i="3"/>
  <c r="AC145" i="3" s="1"/>
  <c r="X209" i="3"/>
  <c r="AC209" i="3" s="1"/>
  <c r="X281" i="3"/>
  <c r="AC281" i="3" s="1"/>
  <c r="X345" i="3"/>
  <c r="AC345" i="3" s="1"/>
  <c r="X409" i="3"/>
  <c r="AC409" i="3" s="1"/>
  <c r="X473" i="3"/>
  <c r="AC473" i="3" s="1"/>
  <c r="X537" i="3"/>
  <c r="AC537" i="3" s="1"/>
  <c r="X609" i="3"/>
  <c r="AC609" i="3" s="1"/>
  <c r="X50" i="3"/>
  <c r="AC50" i="3" s="1"/>
  <c r="X114" i="3"/>
  <c r="AC114" i="3" s="1"/>
  <c r="X178" i="3"/>
  <c r="AC178" i="3" s="1"/>
  <c r="X242" i="3"/>
  <c r="AC242" i="3" s="1"/>
  <c r="X306" i="3"/>
  <c r="AC306" i="3" s="1"/>
  <c r="X370" i="3"/>
  <c r="AC370" i="3" s="1"/>
  <c r="X434" i="3"/>
  <c r="AC434" i="3" s="1"/>
  <c r="X498" i="3"/>
  <c r="AC498" i="3" s="1"/>
  <c r="X562" i="3"/>
  <c r="AC562" i="3" s="1"/>
  <c r="X626" i="3"/>
  <c r="AC626" i="3" s="1"/>
  <c r="X155" i="3"/>
  <c r="AC155" i="3" s="1"/>
  <c r="X219" i="3"/>
  <c r="AC219" i="3" s="1"/>
  <c r="X283" i="3"/>
  <c r="AC283" i="3" s="1"/>
  <c r="X347" i="3"/>
  <c r="AC347" i="3" s="1"/>
  <c r="X411" i="3"/>
  <c r="AC411" i="3" s="1"/>
  <c r="X475" i="3"/>
  <c r="AC475" i="3" s="1"/>
  <c r="X539" i="3"/>
  <c r="AC539" i="3" s="1"/>
  <c r="X603" i="3"/>
  <c r="AC603" i="3" s="1"/>
  <c r="X588" i="3"/>
  <c r="AC588" i="3" s="1"/>
  <c r="X469" i="3"/>
  <c r="AC469" i="3" s="1"/>
  <c r="X533" i="3"/>
  <c r="AC533" i="3" s="1"/>
  <c r="X597" i="3"/>
  <c r="AC597" i="3" s="1"/>
  <c r="X502" i="3"/>
  <c r="AC502" i="3" s="1"/>
  <c r="X566" i="3"/>
  <c r="AC566" i="3" s="1"/>
  <c r="X630" i="3"/>
  <c r="AC630" i="3" s="1"/>
  <c r="X91" i="3"/>
  <c r="AC91" i="3" s="1"/>
  <c r="X316" i="3"/>
  <c r="AC316" i="3" s="1"/>
  <c r="X61" i="3"/>
  <c r="AC61" i="3" s="1"/>
  <c r="X445" i="3"/>
  <c r="AC445" i="3" s="1"/>
  <c r="X390" i="3"/>
  <c r="AC390" i="3" s="1"/>
  <c r="X231" i="3"/>
  <c r="AC231" i="3" s="1"/>
  <c r="X80" i="3"/>
  <c r="AC80" i="3" s="1"/>
  <c r="X400" i="3"/>
  <c r="AC400" i="3" s="1"/>
  <c r="X313" i="3"/>
  <c r="AC313" i="3" s="1"/>
  <c r="X82" i="3"/>
  <c r="AC82" i="3" s="1"/>
  <c r="X466" i="3"/>
  <c r="AC466" i="3" s="1"/>
  <c r="X379" i="3"/>
  <c r="AC379" i="3" s="1"/>
  <c r="X629" i="3"/>
  <c r="AC629" i="3" s="1"/>
  <c r="X49" i="3"/>
  <c r="AC49" i="3" s="1"/>
  <c r="X6" i="3"/>
  <c r="AC6" i="3" s="1"/>
  <c r="X3" i="3"/>
  <c r="AC3" i="3" s="1"/>
  <c r="X67" i="3"/>
  <c r="AC67" i="3" s="1"/>
  <c r="X36" i="3"/>
  <c r="AC36" i="3" s="1"/>
  <c r="X100" i="3"/>
  <c r="AC100" i="3" s="1"/>
  <c r="X164" i="3"/>
  <c r="AC164" i="3" s="1"/>
  <c r="X228" i="3"/>
  <c r="AC228" i="3" s="1"/>
  <c r="X292" i="3"/>
  <c r="AC292" i="3" s="1"/>
  <c r="X356" i="3"/>
  <c r="AC356" i="3" s="1"/>
  <c r="X420" i="3"/>
  <c r="AC420" i="3" s="1"/>
  <c r="X484" i="3"/>
  <c r="AC484" i="3" s="1"/>
  <c r="X548" i="3"/>
  <c r="AC548" i="3" s="1"/>
  <c r="X37" i="3"/>
  <c r="AC37" i="3" s="1"/>
  <c r="X101" i="3"/>
  <c r="AC101" i="3" s="1"/>
  <c r="X165" i="3"/>
  <c r="AC165" i="3" s="1"/>
  <c r="X229" i="3"/>
  <c r="AC229" i="3" s="1"/>
  <c r="X293" i="3"/>
  <c r="AC293" i="3" s="1"/>
  <c r="X357" i="3"/>
  <c r="AC357" i="3" s="1"/>
  <c r="X421" i="3"/>
  <c r="AC421" i="3" s="1"/>
  <c r="X46" i="3"/>
  <c r="AC46" i="3" s="1"/>
  <c r="X110" i="3"/>
  <c r="AC110" i="3" s="1"/>
  <c r="X174" i="3"/>
  <c r="AC174" i="3" s="1"/>
  <c r="X238" i="3"/>
  <c r="AC238" i="3" s="1"/>
  <c r="X302" i="3"/>
  <c r="AC302" i="3" s="1"/>
  <c r="X366" i="3"/>
  <c r="AC366" i="3" s="1"/>
  <c r="X430" i="3"/>
  <c r="AC430" i="3" s="1"/>
  <c r="X15" i="3"/>
  <c r="AC15" i="3" s="1"/>
  <c r="X79" i="3"/>
  <c r="AC79" i="3" s="1"/>
  <c r="X143" i="3"/>
  <c r="AC143" i="3" s="1"/>
  <c r="X207" i="3"/>
  <c r="AC207" i="3" s="1"/>
  <c r="X271" i="3"/>
  <c r="AC271" i="3" s="1"/>
  <c r="X335" i="3"/>
  <c r="AC335" i="3" s="1"/>
  <c r="X399" i="3"/>
  <c r="AC399" i="3" s="1"/>
  <c r="X463" i="3"/>
  <c r="AC463" i="3" s="1"/>
  <c r="X527" i="3"/>
  <c r="AC527" i="3" s="1"/>
  <c r="X56" i="3"/>
  <c r="AC56" i="3" s="1"/>
  <c r="X120" i="3"/>
  <c r="AC120" i="3" s="1"/>
  <c r="X184" i="3"/>
  <c r="AC184" i="3" s="1"/>
  <c r="X248" i="3"/>
  <c r="AC248" i="3" s="1"/>
  <c r="X312" i="3"/>
  <c r="AC312" i="3" s="1"/>
  <c r="X376" i="3"/>
  <c r="AC376" i="3" s="1"/>
  <c r="X440" i="3"/>
  <c r="AC440" i="3" s="1"/>
  <c r="X504" i="3"/>
  <c r="AC504" i="3" s="1"/>
  <c r="X568" i="3"/>
  <c r="AC568" i="3" s="1"/>
  <c r="X632" i="3"/>
  <c r="AC632" i="3" s="1"/>
  <c r="X153" i="3"/>
  <c r="AC153" i="3" s="1"/>
  <c r="X225" i="3"/>
  <c r="AC225" i="3" s="1"/>
  <c r="X289" i="3"/>
  <c r="AC289" i="3" s="1"/>
  <c r="X353" i="3"/>
  <c r="AC353" i="3" s="1"/>
  <c r="X417" i="3"/>
  <c r="AC417" i="3" s="1"/>
  <c r="X481" i="3"/>
  <c r="AC481" i="3" s="1"/>
  <c r="X545" i="3"/>
  <c r="AC545" i="3" s="1"/>
  <c r="X617" i="3"/>
  <c r="AC617" i="3" s="1"/>
  <c r="X58" i="3"/>
  <c r="AC58" i="3" s="1"/>
  <c r="X122" i="3"/>
  <c r="AC122" i="3" s="1"/>
  <c r="X186" i="3"/>
  <c r="AC186" i="3" s="1"/>
  <c r="X250" i="3"/>
  <c r="AC250" i="3" s="1"/>
  <c r="X314" i="3"/>
  <c r="AC314" i="3" s="1"/>
  <c r="X378" i="3"/>
  <c r="AC378" i="3" s="1"/>
  <c r="X442" i="3"/>
  <c r="AC442" i="3" s="1"/>
  <c r="X506" i="3"/>
  <c r="AC506" i="3" s="1"/>
  <c r="X570" i="3"/>
  <c r="AC570" i="3" s="1"/>
  <c r="X99" i="3"/>
  <c r="AC99" i="3" s="1"/>
  <c r="X163" i="3"/>
  <c r="AC163" i="3" s="1"/>
  <c r="X227" i="3"/>
  <c r="AC227" i="3" s="1"/>
  <c r="X291" i="3"/>
  <c r="AC291" i="3" s="1"/>
  <c r="X355" i="3"/>
  <c r="AC355" i="3" s="1"/>
  <c r="X419" i="3"/>
  <c r="AC419" i="3" s="1"/>
  <c r="X483" i="3"/>
  <c r="AC483" i="3" s="1"/>
  <c r="X547" i="3"/>
  <c r="AC547" i="3" s="1"/>
  <c r="X611" i="3"/>
  <c r="AC611" i="3" s="1"/>
  <c r="X596" i="3"/>
  <c r="AC596" i="3" s="1"/>
  <c r="X477" i="3"/>
  <c r="AC477" i="3" s="1"/>
  <c r="X541" i="3"/>
  <c r="AC541" i="3" s="1"/>
  <c r="X605" i="3"/>
  <c r="AC605" i="3" s="1"/>
  <c r="X510" i="3"/>
  <c r="AC510" i="3" s="1"/>
  <c r="X574" i="3"/>
  <c r="AC574" i="3" s="1"/>
  <c r="X615" i="3"/>
  <c r="AC615" i="3" s="1"/>
  <c r="X9" i="3"/>
  <c r="AC9" i="3" s="1"/>
  <c r="X188" i="3"/>
  <c r="AC188" i="3" s="1"/>
  <c r="X572" i="3"/>
  <c r="AC572" i="3" s="1"/>
  <c r="X317" i="3"/>
  <c r="AC317" i="3" s="1"/>
  <c r="X134" i="3"/>
  <c r="AC134" i="3" s="1"/>
  <c r="X103" i="3"/>
  <c r="AC103" i="3" s="1"/>
  <c r="X487" i="3"/>
  <c r="AC487" i="3" s="1"/>
  <c r="X272" i="3"/>
  <c r="AC272" i="3" s="1"/>
  <c r="X113" i="3"/>
  <c r="AC113" i="3" s="1"/>
  <c r="X441" i="3"/>
  <c r="AC441" i="3" s="1"/>
  <c r="X210" i="3"/>
  <c r="AC210" i="3" s="1"/>
  <c r="X594" i="3"/>
  <c r="AC594" i="3" s="1"/>
  <c r="X443" i="3"/>
  <c r="AC443" i="3" s="1"/>
  <c r="X620" i="3"/>
  <c r="AC620" i="3" s="1"/>
  <c r="X57" i="3"/>
  <c r="AC57" i="3" s="1"/>
  <c r="X14" i="3"/>
  <c r="AC14" i="3" s="1"/>
  <c r="X11" i="3"/>
  <c r="AC11" i="3"/>
  <c r="X75" i="3"/>
  <c r="AC75" i="3" s="1"/>
  <c r="X44" i="3"/>
  <c r="AC44" i="3" s="1"/>
  <c r="X108" i="3"/>
  <c r="AC108" i="3" s="1"/>
  <c r="X172" i="3"/>
  <c r="AC172" i="3"/>
  <c r="X236" i="3"/>
  <c r="AC236" i="3" s="1"/>
  <c r="X300" i="3"/>
  <c r="AC300" i="3" s="1"/>
  <c r="X364" i="3"/>
  <c r="AC364" i="3" s="1"/>
  <c r="X428" i="3"/>
  <c r="AC428" i="3"/>
  <c r="X492" i="3"/>
  <c r="AC492" i="3" s="1"/>
  <c r="X556" i="3"/>
  <c r="AC556" i="3" s="1"/>
  <c r="X45" i="3"/>
  <c r="AC45" i="3" s="1"/>
  <c r="X109" i="3"/>
  <c r="AC109" i="3"/>
  <c r="X173" i="3"/>
  <c r="AC173" i="3" s="1"/>
  <c r="X237" i="3"/>
  <c r="AC237" i="3" s="1"/>
  <c r="X301" i="3"/>
  <c r="AC301" i="3" s="1"/>
  <c r="X365" i="3"/>
  <c r="AC365" i="3"/>
  <c r="X429" i="3"/>
  <c r="AC429" i="3" s="1"/>
  <c r="X54" i="3"/>
  <c r="AC54" i="3" s="1"/>
  <c r="X118" i="3"/>
  <c r="AC118" i="3" s="1"/>
  <c r="X182" i="3"/>
  <c r="AC182" i="3" s="1"/>
  <c r="X246" i="3"/>
  <c r="AC246" i="3" s="1"/>
  <c r="X310" i="3"/>
  <c r="AC310" i="3" s="1"/>
  <c r="X374" i="3"/>
  <c r="AC374" i="3" s="1"/>
  <c r="X438" i="3"/>
  <c r="AC438" i="3"/>
  <c r="X23" i="3"/>
  <c r="AC23" i="3"/>
  <c r="X87" i="3"/>
  <c r="AC87" i="3"/>
  <c r="X151" i="3"/>
  <c r="AC151" i="3" s="1"/>
  <c r="X215" i="3"/>
  <c r="AC215" i="3" s="1"/>
  <c r="X279" i="3"/>
  <c r="AC279" i="3" s="1"/>
  <c r="X343" i="3"/>
  <c r="AC343" i="3" s="1"/>
  <c r="X407" i="3"/>
  <c r="AC407" i="3" s="1"/>
  <c r="X471" i="3"/>
  <c r="AC471" i="3"/>
  <c r="X535" i="3"/>
  <c r="AC535" i="3"/>
  <c r="X64" i="3"/>
  <c r="AC64" i="3"/>
  <c r="X128" i="3"/>
  <c r="AC128" i="3" s="1"/>
  <c r="X192" i="3"/>
  <c r="AC192" i="3" s="1"/>
  <c r="X256" i="3"/>
  <c r="AC256" i="3" s="1"/>
  <c r="X320" i="3"/>
  <c r="AC320" i="3" s="1"/>
  <c r="X384" i="3"/>
  <c r="AC384" i="3" s="1"/>
  <c r="X448" i="3"/>
  <c r="AC448" i="3"/>
  <c r="X512" i="3"/>
  <c r="AC512" i="3"/>
  <c r="X576" i="3"/>
  <c r="AC576" i="3"/>
  <c r="X89" i="3"/>
  <c r="AC89" i="3" s="1"/>
  <c r="X161" i="3"/>
  <c r="AC161" i="3" s="1"/>
  <c r="X233" i="3"/>
  <c r="AC233" i="3" s="1"/>
  <c r="X297" i="3"/>
  <c r="AC297" i="3" s="1"/>
  <c r="X361" i="3"/>
  <c r="AC361" i="3" s="1"/>
  <c r="X425" i="3"/>
  <c r="AC425" i="3"/>
  <c r="X489" i="3"/>
  <c r="AC489" i="3"/>
  <c r="X553" i="3"/>
  <c r="AC553" i="3"/>
  <c r="X625" i="3"/>
  <c r="AC625" i="3" s="1"/>
  <c r="X66" i="3"/>
  <c r="AC66" i="3" s="1"/>
  <c r="X130" i="3"/>
  <c r="AC130" i="3" s="1"/>
  <c r="X194" i="3"/>
  <c r="AC194" i="3" s="1"/>
  <c r="X258" i="3"/>
  <c r="AC258" i="3" s="1"/>
  <c r="X322" i="3"/>
  <c r="AC322" i="3"/>
  <c r="X386" i="3"/>
  <c r="AC386" i="3"/>
  <c r="X450" i="3"/>
  <c r="AC450" i="3"/>
  <c r="X514" i="3"/>
  <c r="AC514" i="3" s="1"/>
  <c r="X578" i="3"/>
  <c r="AC578" i="3" s="1"/>
  <c r="X107" i="3"/>
  <c r="AC107" i="3" s="1"/>
  <c r="X171" i="3"/>
  <c r="AC171" i="3" s="1"/>
  <c r="X235" i="3"/>
  <c r="AC235" i="3" s="1"/>
  <c r="X299" i="3"/>
  <c r="AC299" i="3"/>
  <c r="X363" i="3"/>
  <c r="AC363" i="3"/>
  <c r="X427" i="3"/>
  <c r="AC427" i="3"/>
  <c r="X491" i="3"/>
  <c r="AC491" i="3" s="1"/>
  <c r="X555" i="3"/>
  <c r="AC555" i="3" s="1"/>
  <c r="X619" i="3"/>
  <c r="AC619" i="3" s="1"/>
  <c r="X604" i="3"/>
  <c r="AC604" i="3" s="1"/>
  <c r="X485" i="3"/>
  <c r="AC485" i="3" s="1"/>
  <c r="X549" i="3"/>
  <c r="AC549" i="3" s="1"/>
  <c r="X613" i="3"/>
  <c r="AC613" i="3" s="1"/>
  <c r="X518" i="3"/>
  <c r="AC518" i="3" s="1"/>
  <c r="X582" i="3"/>
  <c r="AC582" i="3" s="1"/>
  <c r="X217" i="3"/>
  <c r="AC217" i="3" s="1"/>
  <c r="X8" i="3"/>
  <c r="AC8" i="3" s="1"/>
  <c r="X252" i="3"/>
  <c r="AC252" i="3" s="1"/>
  <c r="X508" i="3"/>
  <c r="AC508" i="3" s="1"/>
  <c r="X381" i="3"/>
  <c r="AC381" i="3" s="1"/>
  <c r="X262" i="3"/>
  <c r="AC262" i="3" s="1"/>
  <c r="X167" i="3"/>
  <c r="AC167" i="3" s="1"/>
  <c r="X551" i="3"/>
  <c r="AC551" i="3" s="1"/>
  <c r="X336" i="3"/>
  <c r="AC336" i="3" s="1"/>
  <c r="X177" i="3"/>
  <c r="AC177" i="3" s="1"/>
  <c r="X505" i="3"/>
  <c r="AC505" i="3" s="1"/>
  <c r="X338" i="3"/>
  <c r="AC338" i="3" s="1"/>
  <c r="X187" i="3"/>
  <c r="AC187" i="3" s="1"/>
  <c r="X571" i="3"/>
  <c r="AC571" i="3" s="1"/>
  <c r="X583" i="3"/>
  <c r="AC583" i="3" s="1"/>
  <c r="X65" i="3"/>
  <c r="AC65" i="3" s="1"/>
  <c r="X7" i="3"/>
  <c r="AC7" i="3" s="1"/>
  <c r="X19" i="3"/>
  <c r="AC19" i="3" s="1"/>
  <c r="X83" i="3"/>
  <c r="AC83" i="3" s="1"/>
  <c r="X52" i="3"/>
  <c r="AC52" i="3" s="1"/>
  <c r="X116" i="3"/>
  <c r="AC116" i="3" s="1"/>
  <c r="X180" i="3"/>
  <c r="AC180" i="3" s="1"/>
  <c r="X244" i="3"/>
  <c r="AC244" i="3" s="1"/>
  <c r="X308" i="3"/>
  <c r="AC308" i="3" s="1"/>
  <c r="X372" i="3"/>
  <c r="AC372" i="3" s="1"/>
  <c r="X436" i="3"/>
  <c r="AC436" i="3" s="1"/>
  <c r="X500" i="3"/>
  <c r="AC500" i="3" s="1"/>
  <c r="X564" i="3"/>
  <c r="AC564" i="3" s="1"/>
  <c r="X53" i="3"/>
  <c r="AC53" i="3" s="1"/>
  <c r="X117" i="3"/>
  <c r="AC117" i="3" s="1"/>
  <c r="X181" i="3"/>
  <c r="AC181" i="3" s="1"/>
  <c r="X245" i="3"/>
  <c r="AC245" i="3" s="1"/>
  <c r="X309" i="3"/>
  <c r="AC309" i="3" s="1"/>
  <c r="X373" i="3"/>
  <c r="AC373" i="3" s="1"/>
  <c r="X437" i="3"/>
  <c r="AC437" i="3" s="1"/>
  <c r="X62" i="3"/>
  <c r="AC62" i="3" s="1"/>
  <c r="X126" i="3"/>
  <c r="AC126" i="3" s="1"/>
  <c r="X190" i="3"/>
  <c r="AC190" i="3" s="1"/>
  <c r="X254" i="3"/>
  <c r="AC254" i="3" s="1"/>
  <c r="X318" i="3"/>
  <c r="AC318" i="3" s="1"/>
  <c r="X382" i="3"/>
  <c r="AC382" i="3" s="1"/>
  <c r="X446" i="3"/>
  <c r="AC446" i="3" s="1"/>
  <c r="X31" i="3"/>
  <c r="AC31" i="3" s="1"/>
  <c r="X95" i="3"/>
  <c r="AC95" i="3" s="1"/>
  <c r="X159" i="3"/>
  <c r="AC159" i="3" s="1"/>
  <c r="X223" i="3"/>
  <c r="AC223" i="3" s="1"/>
  <c r="X287" i="3"/>
  <c r="AC287" i="3" s="1"/>
  <c r="X351" i="3"/>
  <c r="AC351" i="3" s="1"/>
  <c r="X415" i="3"/>
  <c r="AC415" i="3" s="1"/>
  <c r="X479" i="3"/>
  <c r="AC479" i="3" s="1"/>
  <c r="X543" i="3"/>
  <c r="AC543" i="3" s="1"/>
  <c r="X72" i="3"/>
  <c r="AC72" i="3" s="1"/>
  <c r="X136" i="3"/>
  <c r="AC136" i="3" s="1"/>
  <c r="X200" i="3"/>
  <c r="AC200" i="3" s="1"/>
  <c r="X264" i="3"/>
  <c r="AC264" i="3" s="1"/>
  <c r="X328" i="3"/>
  <c r="AC328" i="3" s="1"/>
  <c r="X392" i="3"/>
  <c r="AC392" i="3" s="1"/>
  <c r="X456" i="3"/>
  <c r="AC456" i="3" s="1"/>
  <c r="X520" i="3"/>
  <c r="AC520" i="3" s="1"/>
  <c r="X584" i="3"/>
  <c r="AC584" i="3" s="1"/>
  <c r="X105" i="3"/>
  <c r="AC105" i="3" s="1"/>
  <c r="X169" i="3"/>
  <c r="AC169" i="3" s="1"/>
  <c r="X241" i="3"/>
  <c r="AC241" i="3" s="1"/>
  <c r="X305" i="3"/>
  <c r="AC305" i="3" s="1"/>
  <c r="X369" i="3"/>
  <c r="AC369" i="3" s="1"/>
  <c r="X433" i="3"/>
  <c r="AC433" i="3" s="1"/>
  <c r="X497" i="3"/>
  <c r="AC497" i="3" s="1"/>
  <c r="X561" i="3"/>
  <c r="AC561" i="3" s="1"/>
  <c r="X633" i="3"/>
  <c r="AC633" i="3" s="1"/>
  <c r="X74" i="3"/>
  <c r="AC74" i="3" s="1"/>
  <c r="X138" i="3"/>
  <c r="AC138" i="3" s="1"/>
  <c r="X202" i="3"/>
  <c r="AC202" i="3" s="1"/>
  <c r="X266" i="3"/>
  <c r="AC266" i="3" s="1"/>
  <c r="X330" i="3"/>
  <c r="AC330" i="3" s="1"/>
  <c r="X394" i="3"/>
  <c r="AC394" i="3" s="1"/>
  <c r="X458" i="3"/>
  <c r="AC458" i="3" s="1"/>
  <c r="X522" i="3"/>
  <c r="AC522" i="3" s="1"/>
  <c r="X586" i="3"/>
  <c r="AC586" i="3" s="1"/>
  <c r="X115" i="3"/>
  <c r="AC115" i="3" s="1"/>
  <c r="X179" i="3"/>
  <c r="AC179" i="3" s="1"/>
  <c r="X243" i="3"/>
  <c r="AC243" i="3" s="1"/>
  <c r="X307" i="3"/>
  <c r="AC307" i="3" s="1"/>
  <c r="X371" i="3"/>
  <c r="AC371" i="3" s="1"/>
  <c r="X435" i="3"/>
  <c r="AC435" i="3" s="1"/>
  <c r="X499" i="3"/>
  <c r="AC499" i="3" s="1"/>
  <c r="X563" i="3"/>
  <c r="AC563" i="3" s="1"/>
  <c r="X627" i="3"/>
  <c r="AC627" i="3" s="1"/>
  <c r="X612" i="3"/>
  <c r="AC612" i="3" s="1"/>
  <c r="X493" i="3"/>
  <c r="AC493" i="3" s="1"/>
  <c r="X557" i="3"/>
  <c r="AC557" i="3" s="1"/>
  <c r="X621" i="3"/>
  <c r="AC621" i="3" s="1"/>
  <c r="X526" i="3"/>
  <c r="AC526" i="3" s="1"/>
  <c r="X590" i="3"/>
  <c r="AC590" i="3" s="1"/>
  <c r="X601" i="3"/>
  <c r="AC601" i="3" s="1"/>
  <c r="E265" i="9"/>
  <c r="E3" i="9"/>
  <c r="E4" i="9" s="1"/>
  <c r="E531" i="9"/>
  <c r="F531" i="9" s="1"/>
  <c r="G531" i="9" s="1"/>
  <c r="E86" i="9"/>
  <c r="F262" i="9"/>
  <c r="G262" i="9" s="1"/>
  <c r="F263" i="9"/>
  <c r="G263" i="9" s="1"/>
  <c r="F261" i="9"/>
  <c r="G261" i="9" s="1"/>
  <c r="F84" i="9"/>
  <c r="G84" i="9" s="1"/>
  <c r="F86" i="9"/>
  <c r="G86" i="9" s="1"/>
  <c r="E87" i="9"/>
  <c r="E443" i="9"/>
  <c r="F442" i="9"/>
  <c r="G442" i="9" s="1"/>
  <c r="E266" i="9"/>
  <c r="F265" i="9"/>
  <c r="G265" i="9" s="1"/>
  <c r="E181" i="9"/>
  <c r="F180" i="9"/>
  <c r="G180" i="9" s="1"/>
  <c r="F441" i="9"/>
  <c r="G441" i="9" s="1"/>
  <c r="E356" i="9"/>
  <c r="F3" i="9" l="1"/>
  <c r="G3" i="9" s="1"/>
  <c r="E532" i="9"/>
  <c r="E444" i="9"/>
  <c r="F443" i="9"/>
  <c r="G443" i="9" s="1"/>
  <c r="F181" i="9"/>
  <c r="G181" i="9" s="1"/>
  <c r="E182" i="9"/>
  <c r="F532" i="9"/>
  <c r="G532" i="9" s="1"/>
  <c r="E533" i="9"/>
  <c r="E357" i="9"/>
  <c r="F357" i="9" s="1"/>
  <c r="G357" i="9" s="1"/>
  <c r="F356" i="9"/>
  <c r="G356" i="9" s="1"/>
  <c r="F4" i="9"/>
  <c r="G4" i="9" s="1"/>
  <c r="E5" i="9"/>
  <c r="F87" i="9"/>
  <c r="G87" i="9" s="1"/>
  <c r="E88" i="9"/>
  <c r="E267" i="9"/>
  <c r="F266" i="9"/>
  <c r="G266" i="9" s="1"/>
  <c r="E534" i="9" l="1"/>
  <c r="F533" i="9"/>
  <c r="G533" i="9" s="1"/>
  <c r="F267" i="9"/>
  <c r="G267" i="9" s="1"/>
  <c r="E268" i="9"/>
  <c r="E183" i="9"/>
  <c r="F182" i="9"/>
  <c r="G182" i="9" s="1"/>
  <c r="E89" i="9"/>
  <c r="F89" i="9" s="1"/>
  <c r="G89" i="9" s="1"/>
  <c r="F88" i="9"/>
  <c r="G88" i="9" s="1"/>
  <c r="F5" i="9"/>
  <c r="G5" i="9" s="1"/>
  <c r="E6" i="9"/>
  <c r="F444" i="9"/>
  <c r="G444" i="9" s="1"/>
  <c r="E445" i="9"/>
  <c r="E269" i="9" l="1"/>
  <c r="F268" i="9"/>
  <c r="G268" i="9" s="1"/>
  <c r="E446" i="9"/>
  <c r="F445" i="9"/>
  <c r="G445" i="9" s="1"/>
  <c r="E184" i="9"/>
  <c r="F183" i="9"/>
  <c r="G183" i="9" s="1"/>
  <c r="E7" i="9"/>
  <c r="F6" i="9"/>
  <c r="G6" i="9" s="1"/>
  <c r="E535" i="9"/>
  <c r="F534" i="9"/>
  <c r="G534" i="9" s="1"/>
  <c r="E536" i="9" l="1"/>
  <c r="F535" i="9"/>
  <c r="G535" i="9" s="1"/>
  <c r="F184" i="9"/>
  <c r="G184" i="9" s="1"/>
  <c r="E185" i="9"/>
  <c r="E270" i="9"/>
  <c r="F269" i="9"/>
  <c r="G269" i="9" s="1"/>
  <c r="F7" i="9"/>
  <c r="G7" i="9" s="1"/>
  <c r="E8" i="9"/>
  <c r="F446" i="9"/>
  <c r="G446" i="9" s="1"/>
  <c r="E447" i="9"/>
  <c r="F447" i="9" s="1"/>
  <c r="G447" i="9" s="1"/>
  <c r="E9" i="9" l="1"/>
  <c r="F8" i="9"/>
  <c r="G8" i="9" s="1"/>
  <c r="F270" i="9"/>
  <c r="G270" i="9" s="1"/>
  <c r="E271" i="9"/>
  <c r="F185" i="9"/>
  <c r="G185" i="9" s="1"/>
  <c r="E186" i="9"/>
  <c r="F536" i="9"/>
  <c r="G536" i="9" s="1"/>
  <c r="E537" i="9"/>
  <c r="E538" i="9" l="1"/>
  <c r="F537" i="9"/>
  <c r="G537" i="9" s="1"/>
  <c r="F186" i="9"/>
  <c r="G186" i="9" s="1"/>
  <c r="E187" i="9"/>
  <c r="F271" i="9"/>
  <c r="G271" i="9" s="1"/>
  <c r="E272" i="9"/>
  <c r="E10" i="9"/>
  <c r="F9" i="9"/>
  <c r="G9" i="9" s="1"/>
  <c r="F10" i="9" l="1"/>
  <c r="G10" i="9" s="1"/>
  <c r="E11" i="9"/>
  <c r="F272" i="9"/>
  <c r="G272" i="9" s="1"/>
  <c r="E273" i="9"/>
  <c r="E188" i="9"/>
  <c r="F187" i="9"/>
  <c r="G187" i="9" s="1"/>
  <c r="E539" i="9"/>
  <c r="F538" i="9"/>
  <c r="G538" i="9" s="1"/>
  <c r="F539" i="9" l="1"/>
  <c r="G539" i="9" s="1"/>
  <c r="E540" i="9"/>
  <c r="E189" i="9"/>
  <c r="F188" i="9"/>
  <c r="G188" i="9" s="1"/>
  <c r="E274" i="9"/>
  <c r="F273" i="9"/>
  <c r="G273" i="9" s="1"/>
  <c r="F11" i="9"/>
  <c r="G11" i="9" s="1"/>
  <c r="E12" i="9"/>
  <c r="E190" i="9" l="1"/>
  <c r="F189" i="9"/>
  <c r="G189" i="9" s="1"/>
  <c r="E13" i="9"/>
  <c r="F12" i="9"/>
  <c r="G12" i="9" s="1"/>
  <c r="E275" i="9"/>
  <c r="F274" i="9"/>
  <c r="G274" i="9" s="1"/>
  <c r="F540" i="9"/>
  <c r="G540" i="9" s="1"/>
  <c r="E541" i="9"/>
  <c r="E542" i="9" l="1"/>
  <c r="F541" i="9"/>
  <c r="G541" i="9" s="1"/>
  <c r="F275" i="9"/>
  <c r="G275" i="9" s="1"/>
  <c r="E276" i="9"/>
  <c r="E14" i="9"/>
  <c r="F13" i="9"/>
  <c r="G13" i="9" s="1"/>
  <c r="F190" i="9"/>
  <c r="G190" i="9" s="1"/>
  <c r="E191" i="9"/>
  <c r="E192" i="9" l="1"/>
  <c r="F191" i="9"/>
  <c r="G191" i="9" s="1"/>
  <c r="F14" i="9"/>
  <c r="G14" i="9" s="1"/>
  <c r="E15" i="9"/>
  <c r="E277" i="9"/>
  <c r="F276" i="9"/>
  <c r="G276" i="9" s="1"/>
  <c r="E543" i="9"/>
  <c r="F542" i="9"/>
  <c r="G542" i="9" s="1"/>
  <c r="E544" i="9" l="1"/>
  <c r="F543" i="9"/>
  <c r="G543" i="9" s="1"/>
  <c r="F277" i="9"/>
  <c r="G277" i="9" s="1"/>
  <c r="E278" i="9"/>
  <c r="E16" i="9"/>
  <c r="F15" i="9"/>
  <c r="G15" i="9" s="1"/>
  <c r="F192" i="9"/>
  <c r="G192" i="9" s="1"/>
  <c r="E193" i="9"/>
  <c r="F193" i="9" l="1"/>
  <c r="G193" i="9" s="1"/>
  <c r="E194" i="9"/>
  <c r="E17" i="9"/>
  <c r="F16" i="9"/>
  <c r="G16" i="9" s="1"/>
  <c r="E279" i="9"/>
  <c r="F278" i="9"/>
  <c r="G278" i="9" s="1"/>
  <c r="E545" i="9"/>
  <c r="F544" i="9"/>
  <c r="G544" i="9" s="1"/>
  <c r="F545" i="9" l="1"/>
  <c r="G545" i="9" s="1"/>
  <c r="E546" i="9"/>
  <c r="E280" i="9"/>
  <c r="F279" i="9"/>
  <c r="G279" i="9" s="1"/>
  <c r="E18" i="9"/>
  <c r="F17" i="9"/>
  <c r="G17" i="9" s="1"/>
  <c r="E195" i="9"/>
  <c r="F194" i="9"/>
  <c r="G194" i="9" s="1"/>
  <c r="E196" i="9" l="1"/>
  <c r="F195" i="9"/>
  <c r="G195" i="9" s="1"/>
  <c r="E19" i="9"/>
  <c r="F18" i="9"/>
  <c r="G18" i="9" s="1"/>
  <c r="E281" i="9"/>
  <c r="F280" i="9"/>
  <c r="G280" i="9" s="1"/>
  <c r="E547" i="9"/>
  <c r="F546" i="9"/>
  <c r="G546" i="9" s="1"/>
  <c r="E197" i="9" l="1"/>
  <c r="F196" i="9"/>
  <c r="G196" i="9" s="1"/>
  <c r="F281" i="9"/>
  <c r="G281" i="9" s="1"/>
  <c r="E282" i="9"/>
  <c r="E548" i="9"/>
  <c r="F547" i="9"/>
  <c r="G547" i="9" s="1"/>
  <c r="F19" i="9"/>
  <c r="G19" i="9" s="1"/>
  <c r="E20" i="9"/>
  <c r="F20" i="9" l="1"/>
  <c r="G20" i="9" s="1"/>
  <c r="E21" i="9"/>
  <c r="E283" i="9"/>
  <c r="F282" i="9"/>
  <c r="G282" i="9" s="1"/>
  <c r="F548" i="9"/>
  <c r="G548" i="9" s="1"/>
  <c r="E549" i="9"/>
  <c r="E198" i="9"/>
  <c r="F197" i="9"/>
  <c r="G197" i="9" s="1"/>
  <c r="E284" i="9" l="1"/>
  <c r="F283" i="9"/>
  <c r="G283" i="9" s="1"/>
  <c r="E199" i="9"/>
  <c r="F198" i="9"/>
  <c r="G198" i="9" s="1"/>
  <c r="F549" i="9"/>
  <c r="G549" i="9" s="1"/>
  <c r="E550" i="9"/>
  <c r="E22" i="9"/>
  <c r="F21" i="9"/>
  <c r="G21" i="9" s="1"/>
  <c r="F550" i="9" l="1"/>
  <c r="G550" i="9" s="1"/>
  <c r="E551" i="9"/>
  <c r="E200" i="9"/>
  <c r="F199" i="9"/>
  <c r="G199" i="9" s="1"/>
  <c r="E23" i="9"/>
  <c r="F22" i="9"/>
  <c r="G22" i="9" s="1"/>
  <c r="F284" i="9"/>
  <c r="G284" i="9" s="1"/>
  <c r="E285" i="9"/>
  <c r="E24" i="9" l="1"/>
  <c r="F23" i="9"/>
  <c r="G23" i="9" s="1"/>
  <c r="E552" i="9"/>
  <c r="F551" i="9"/>
  <c r="G551" i="9" s="1"/>
  <c r="E286" i="9"/>
  <c r="F285" i="9"/>
  <c r="G285" i="9" s="1"/>
  <c r="F200" i="9"/>
  <c r="G200" i="9" s="1"/>
  <c r="E201" i="9"/>
  <c r="F201" i="9" l="1"/>
  <c r="G201" i="9" s="1"/>
  <c r="E202" i="9"/>
  <c r="E287" i="9"/>
  <c r="F286" i="9"/>
  <c r="G286" i="9" s="1"/>
  <c r="E553" i="9"/>
  <c r="F552" i="9"/>
  <c r="G552" i="9" s="1"/>
  <c r="F24" i="9"/>
  <c r="G24" i="9" s="1"/>
  <c r="E25" i="9"/>
  <c r="F25" i="9" l="1"/>
  <c r="G25" i="9" s="1"/>
  <c r="E26" i="9"/>
  <c r="E554" i="9"/>
  <c r="F553" i="9"/>
  <c r="G553" i="9" s="1"/>
  <c r="E288" i="9"/>
  <c r="F287" i="9"/>
  <c r="G287" i="9" s="1"/>
  <c r="E203" i="9"/>
  <c r="F202" i="9"/>
  <c r="G202" i="9" s="1"/>
  <c r="E204" i="9" l="1"/>
  <c r="F203" i="9"/>
  <c r="G203" i="9" s="1"/>
  <c r="F288" i="9"/>
  <c r="G288" i="9" s="1"/>
  <c r="E289" i="9"/>
  <c r="F554" i="9"/>
  <c r="G554" i="9" s="1"/>
  <c r="E555" i="9"/>
  <c r="E27" i="9"/>
  <c r="F26" i="9"/>
  <c r="G26" i="9" s="1"/>
  <c r="F555" i="9" l="1"/>
  <c r="G555" i="9" s="1"/>
  <c r="E556" i="9"/>
  <c r="E290" i="9"/>
  <c r="F289" i="9"/>
  <c r="G289" i="9" s="1"/>
  <c r="F27" i="9"/>
  <c r="G27" i="9" s="1"/>
  <c r="E28" i="9"/>
  <c r="F204" i="9"/>
  <c r="G204" i="9" s="1"/>
  <c r="E205" i="9"/>
  <c r="E206" i="9" l="1"/>
  <c r="F205" i="9"/>
  <c r="G205" i="9" s="1"/>
  <c r="E29" i="9"/>
  <c r="F28" i="9"/>
  <c r="G28" i="9" s="1"/>
  <c r="E291" i="9"/>
  <c r="F290" i="9"/>
  <c r="G290" i="9" s="1"/>
  <c r="E557" i="9"/>
  <c r="F556" i="9"/>
  <c r="G556" i="9" s="1"/>
  <c r="E558" i="9" l="1"/>
  <c r="F557" i="9"/>
  <c r="G557" i="9" s="1"/>
  <c r="E292" i="9"/>
  <c r="F291" i="9"/>
  <c r="G291" i="9" s="1"/>
  <c r="F29" i="9"/>
  <c r="G29" i="9" s="1"/>
  <c r="E30" i="9"/>
  <c r="E207" i="9"/>
  <c r="F206" i="9"/>
  <c r="G206" i="9" s="1"/>
  <c r="F207" i="9" l="1"/>
  <c r="G207" i="9" s="1"/>
  <c r="E208" i="9"/>
  <c r="E31" i="9"/>
  <c r="F30" i="9"/>
  <c r="G30" i="9" s="1"/>
  <c r="E293" i="9"/>
  <c r="F292" i="9"/>
  <c r="G292" i="9" s="1"/>
  <c r="E559" i="9"/>
  <c r="F558" i="9"/>
  <c r="G558" i="9" s="1"/>
  <c r="E560" i="9" l="1"/>
  <c r="F559" i="9"/>
  <c r="G559" i="9" s="1"/>
  <c r="F293" i="9"/>
  <c r="G293" i="9" s="1"/>
  <c r="E294" i="9"/>
  <c r="E32" i="9"/>
  <c r="F31" i="9"/>
  <c r="G31" i="9" s="1"/>
  <c r="F208" i="9"/>
  <c r="G208" i="9" s="1"/>
  <c r="E209" i="9"/>
  <c r="F209" i="9" l="1"/>
  <c r="G209" i="9" s="1"/>
  <c r="E210" i="9"/>
  <c r="E295" i="9"/>
  <c r="F294" i="9"/>
  <c r="G294" i="9" s="1"/>
  <c r="E561" i="9"/>
  <c r="F560" i="9"/>
  <c r="G560" i="9" s="1"/>
  <c r="F32" i="9"/>
  <c r="G32" i="9" s="1"/>
  <c r="E33" i="9"/>
  <c r="F33" i="9" l="1"/>
  <c r="G33" i="9" s="1"/>
  <c r="E34" i="9"/>
  <c r="E562" i="9"/>
  <c r="F561" i="9"/>
  <c r="G561" i="9" s="1"/>
  <c r="F295" i="9"/>
  <c r="G295" i="9" s="1"/>
  <c r="E296" i="9"/>
  <c r="E211" i="9"/>
  <c r="F210" i="9"/>
  <c r="G210" i="9" s="1"/>
  <c r="F296" i="9" l="1"/>
  <c r="G296" i="9" s="1"/>
  <c r="E297" i="9"/>
  <c r="F562" i="9"/>
  <c r="G562" i="9" s="1"/>
  <c r="E563" i="9"/>
  <c r="E35" i="9"/>
  <c r="F34" i="9"/>
  <c r="G34" i="9" s="1"/>
  <c r="F211" i="9"/>
  <c r="G211" i="9" s="1"/>
  <c r="E212" i="9"/>
  <c r="F212" i="9" l="1"/>
  <c r="G212" i="9" s="1"/>
  <c r="E213" i="9"/>
  <c r="F35" i="9"/>
  <c r="G35" i="9" s="1"/>
  <c r="E36" i="9"/>
  <c r="F563" i="9"/>
  <c r="G563" i="9" s="1"/>
  <c r="E564" i="9"/>
  <c r="E298" i="9"/>
  <c r="F297" i="9"/>
  <c r="G297" i="9" s="1"/>
  <c r="E565" i="9" l="1"/>
  <c r="F564" i="9"/>
  <c r="G564" i="9" s="1"/>
  <c r="F298" i="9"/>
  <c r="G298" i="9" s="1"/>
  <c r="E299" i="9"/>
  <c r="E37" i="9"/>
  <c r="F36" i="9"/>
  <c r="G36" i="9" s="1"/>
  <c r="E214" i="9"/>
  <c r="F213" i="9"/>
  <c r="G213" i="9" s="1"/>
  <c r="E38" i="9" l="1"/>
  <c r="F37" i="9"/>
  <c r="G37" i="9" s="1"/>
  <c r="E215" i="9"/>
  <c r="F214" i="9"/>
  <c r="G214" i="9" s="1"/>
  <c r="E300" i="9"/>
  <c r="F299" i="9"/>
  <c r="G299" i="9" s="1"/>
  <c r="E566" i="9"/>
  <c r="F565" i="9"/>
  <c r="G565" i="9" s="1"/>
  <c r="F215" i="9" l="1"/>
  <c r="G215" i="9" s="1"/>
  <c r="E216" i="9"/>
  <c r="E567" i="9"/>
  <c r="F566" i="9"/>
  <c r="G566" i="9" s="1"/>
  <c r="E301" i="9"/>
  <c r="F300" i="9"/>
  <c r="G300" i="9" s="1"/>
  <c r="E39" i="9"/>
  <c r="F38" i="9"/>
  <c r="G38" i="9" s="1"/>
  <c r="F301" i="9" l="1"/>
  <c r="G301" i="9" s="1"/>
  <c r="E302" i="9"/>
  <c r="F216" i="9"/>
  <c r="G216" i="9" s="1"/>
  <c r="E217" i="9"/>
  <c r="E40" i="9"/>
  <c r="F39" i="9"/>
  <c r="G39" i="9" s="1"/>
  <c r="F567" i="9"/>
  <c r="G567" i="9" s="1"/>
  <c r="E568" i="9"/>
  <c r="E569" i="9" l="1"/>
  <c r="F568" i="9"/>
  <c r="G568" i="9" s="1"/>
  <c r="E41" i="9"/>
  <c r="F40" i="9"/>
  <c r="G40" i="9" s="1"/>
  <c r="E303" i="9"/>
  <c r="F302" i="9"/>
  <c r="G302" i="9" s="1"/>
  <c r="F217" i="9"/>
  <c r="G217" i="9" s="1"/>
  <c r="E218" i="9"/>
  <c r="E219" i="9" l="1"/>
  <c r="F218" i="9"/>
  <c r="G218" i="9" s="1"/>
  <c r="E304" i="9"/>
  <c r="F303" i="9"/>
  <c r="G303" i="9" s="1"/>
  <c r="F41" i="9"/>
  <c r="G41" i="9" s="1"/>
  <c r="E42" i="9"/>
  <c r="F569" i="9"/>
  <c r="G569" i="9" s="1"/>
  <c r="E570" i="9"/>
  <c r="F570" i="9" l="1"/>
  <c r="G570" i="9" s="1"/>
  <c r="E571" i="9"/>
  <c r="F304" i="9"/>
  <c r="G304" i="9" s="1"/>
  <c r="E305" i="9"/>
  <c r="E43" i="9"/>
  <c r="F42" i="9"/>
  <c r="G42" i="9" s="1"/>
  <c r="E220" i="9"/>
  <c r="F219" i="9"/>
  <c r="G219" i="9" s="1"/>
  <c r="F305" i="9" l="1"/>
  <c r="G305" i="9" s="1"/>
  <c r="E306" i="9"/>
  <c r="E572" i="9"/>
  <c r="F571" i="9"/>
  <c r="G571" i="9" s="1"/>
  <c r="E221" i="9"/>
  <c r="F220" i="9"/>
  <c r="G220" i="9" s="1"/>
  <c r="E44" i="9"/>
  <c r="F43" i="9"/>
  <c r="G43" i="9" s="1"/>
  <c r="F44" i="9" l="1"/>
  <c r="G44" i="9" s="1"/>
  <c r="E45" i="9"/>
  <c r="F221" i="9"/>
  <c r="G221" i="9" s="1"/>
  <c r="E222" i="9"/>
  <c r="F306" i="9"/>
  <c r="G306" i="9" s="1"/>
  <c r="E307" i="9"/>
  <c r="F572" i="9"/>
  <c r="G572" i="9" s="1"/>
  <c r="E573" i="9"/>
  <c r="E46" i="9" l="1"/>
  <c r="F45" i="9"/>
  <c r="G45" i="9" s="1"/>
  <c r="E574" i="9"/>
  <c r="F573" i="9"/>
  <c r="G573" i="9" s="1"/>
  <c r="F307" i="9"/>
  <c r="G307" i="9" s="1"/>
  <c r="E308" i="9"/>
  <c r="E223" i="9"/>
  <c r="F222" i="9"/>
  <c r="G222" i="9" s="1"/>
  <c r="F574" i="9" l="1"/>
  <c r="G574" i="9" s="1"/>
  <c r="E575" i="9"/>
  <c r="E224" i="9"/>
  <c r="F223" i="9"/>
  <c r="G223" i="9" s="1"/>
  <c r="F308" i="9"/>
  <c r="G308" i="9" s="1"/>
  <c r="E309" i="9"/>
  <c r="E47" i="9"/>
  <c r="F46" i="9"/>
  <c r="G46" i="9" s="1"/>
  <c r="E576" i="9" l="1"/>
  <c r="F575" i="9"/>
  <c r="G575" i="9" s="1"/>
  <c r="E48" i="9"/>
  <c r="F47" i="9"/>
  <c r="G47" i="9" s="1"/>
  <c r="F309" i="9"/>
  <c r="G309" i="9" s="1"/>
  <c r="E310" i="9"/>
  <c r="E225" i="9"/>
  <c r="F224" i="9"/>
  <c r="G224" i="9" s="1"/>
  <c r="F225" i="9" l="1"/>
  <c r="G225" i="9" s="1"/>
  <c r="E226" i="9"/>
  <c r="E311" i="9"/>
  <c r="F310" i="9"/>
  <c r="G310" i="9" s="1"/>
  <c r="E49" i="9"/>
  <c r="F48" i="9"/>
  <c r="G48" i="9" s="1"/>
  <c r="F576" i="9"/>
  <c r="G576" i="9" s="1"/>
  <c r="E577" i="9"/>
  <c r="E578" i="9" l="1"/>
  <c r="F577" i="9"/>
  <c r="G577" i="9" s="1"/>
  <c r="F49" i="9"/>
  <c r="G49" i="9" s="1"/>
  <c r="E50" i="9"/>
  <c r="E312" i="9"/>
  <c r="F311" i="9"/>
  <c r="G311" i="9" s="1"/>
  <c r="E227" i="9"/>
  <c r="F226" i="9"/>
  <c r="G226" i="9" s="1"/>
  <c r="F227" i="9" l="1"/>
  <c r="G227" i="9" s="1"/>
  <c r="E228" i="9"/>
  <c r="E313" i="9"/>
  <c r="F312" i="9"/>
  <c r="G312" i="9" s="1"/>
  <c r="E51" i="9"/>
  <c r="F50" i="9"/>
  <c r="G50" i="9" s="1"/>
  <c r="F578" i="9"/>
  <c r="G578" i="9" s="1"/>
  <c r="E579" i="9"/>
  <c r="E580" i="9" l="1"/>
  <c r="F579" i="9"/>
  <c r="G579" i="9" s="1"/>
  <c r="F51" i="9"/>
  <c r="G51" i="9" s="1"/>
  <c r="E52" i="9"/>
  <c r="E314" i="9"/>
  <c r="F313" i="9"/>
  <c r="G313" i="9" s="1"/>
  <c r="F228" i="9"/>
  <c r="G228" i="9" s="1"/>
  <c r="E229" i="9"/>
  <c r="F229" i="9" l="1"/>
  <c r="G229" i="9" s="1"/>
  <c r="E230" i="9"/>
  <c r="E315" i="9"/>
  <c r="F314" i="9"/>
  <c r="G314" i="9" s="1"/>
  <c r="E53" i="9"/>
  <c r="F52" i="9"/>
  <c r="G52" i="9" s="1"/>
  <c r="E581" i="9"/>
  <c r="F580" i="9"/>
  <c r="G580" i="9" s="1"/>
  <c r="E231" i="9" l="1"/>
  <c r="F230" i="9"/>
  <c r="G230" i="9" s="1"/>
  <c r="E582" i="9"/>
  <c r="F581" i="9"/>
  <c r="G581" i="9" s="1"/>
  <c r="F53" i="9"/>
  <c r="G53" i="9" s="1"/>
  <c r="E54" i="9"/>
  <c r="E316" i="9"/>
  <c r="F315" i="9"/>
  <c r="G315" i="9" s="1"/>
  <c r="F316" i="9" l="1"/>
  <c r="G316" i="9" s="1"/>
  <c r="E317" i="9"/>
  <c r="F54" i="9"/>
  <c r="G54" i="9" s="1"/>
  <c r="E55" i="9"/>
  <c r="E583" i="9"/>
  <c r="F582" i="9"/>
  <c r="G582" i="9" s="1"/>
  <c r="E232" i="9"/>
  <c r="F231" i="9"/>
  <c r="G231" i="9" s="1"/>
  <c r="E233" i="9" l="1"/>
  <c r="F232" i="9"/>
  <c r="G232" i="9" s="1"/>
  <c r="F583" i="9"/>
  <c r="G583" i="9" s="1"/>
  <c r="E584" i="9"/>
  <c r="E318" i="9"/>
  <c r="F317" i="9"/>
  <c r="G317" i="9" s="1"/>
  <c r="E56" i="9"/>
  <c r="F55" i="9"/>
  <c r="G55" i="9" s="1"/>
  <c r="E57" i="9" l="1"/>
  <c r="F56" i="9"/>
  <c r="G56" i="9" s="1"/>
  <c r="F318" i="9"/>
  <c r="G318" i="9" s="1"/>
  <c r="E319" i="9"/>
  <c r="F584" i="9"/>
  <c r="G584" i="9" s="1"/>
  <c r="E585" i="9"/>
  <c r="E234" i="9"/>
  <c r="F233" i="9"/>
  <c r="G233" i="9" s="1"/>
  <c r="F585" i="9" l="1"/>
  <c r="G585" i="9" s="1"/>
  <c r="E586" i="9"/>
  <c r="F234" i="9"/>
  <c r="G234" i="9" s="1"/>
  <c r="E235" i="9"/>
  <c r="E320" i="9"/>
  <c r="F319" i="9"/>
  <c r="G319" i="9" s="1"/>
  <c r="F57" i="9"/>
  <c r="G57" i="9" s="1"/>
  <c r="E58" i="9"/>
  <c r="F586" i="9" l="1"/>
  <c r="G586" i="9" s="1"/>
  <c r="E587" i="9"/>
  <c r="E59" i="9"/>
  <c r="F58" i="9"/>
  <c r="G58" i="9" s="1"/>
  <c r="F320" i="9"/>
  <c r="G320" i="9" s="1"/>
  <c r="E321" i="9"/>
  <c r="F235" i="9"/>
  <c r="G235" i="9" s="1"/>
  <c r="E236" i="9"/>
  <c r="E588" i="9" l="1"/>
  <c r="F587" i="9"/>
  <c r="G587" i="9" s="1"/>
  <c r="E237" i="9"/>
  <c r="F236" i="9"/>
  <c r="G236" i="9" s="1"/>
  <c r="E322" i="9"/>
  <c r="F321" i="9"/>
  <c r="G321" i="9" s="1"/>
  <c r="F59" i="9"/>
  <c r="G59" i="9" s="1"/>
  <c r="E60" i="9"/>
  <c r="E61" i="9" l="1"/>
  <c r="F60" i="9"/>
  <c r="G60" i="9" s="1"/>
  <c r="F237" i="9"/>
  <c r="G237" i="9" s="1"/>
  <c r="E238" i="9"/>
  <c r="E323" i="9"/>
  <c r="F322" i="9"/>
  <c r="G322" i="9" s="1"/>
  <c r="F588" i="9"/>
  <c r="G588" i="9" s="1"/>
  <c r="E589" i="9"/>
  <c r="E590" i="9" l="1"/>
  <c r="F589" i="9"/>
  <c r="G589" i="9" s="1"/>
  <c r="F323" i="9"/>
  <c r="G323" i="9" s="1"/>
  <c r="E324" i="9"/>
  <c r="E239" i="9"/>
  <c r="F238" i="9"/>
  <c r="G238" i="9" s="1"/>
  <c r="E62" i="9"/>
  <c r="F61" i="9"/>
  <c r="G61" i="9" s="1"/>
  <c r="E63" i="9" l="1"/>
  <c r="F62" i="9"/>
  <c r="G62" i="9" s="1"/>
  <c r="E240" i="9"/>
  <c r="F239" i="9"/>
  <c r="G239" i="9" s="1"/>
  <c r="E325" i="9"/>
  <c r="F324" i="9"/>
  <c r="G324" i="9" s="1"/>
  <c r="E591" i="9"/>
  <c r="F590" i="9"/>
  <c r="G590" i="9" s="1"/>
  <c r="E592" i="9" l="1"/>
  <c r="F591" i="9"/>
  <c r="G591" i="9" s="1"/>
  <c r="F325" i="9"/>
  <c r="G325" i="9" s="1"/>
  <c r="E326" i="9"/>
  <c r="F240" i="9"/>
  <c r="G240" i="9" s="1"/>
  <c r="E241" i="9"/>
  <c r="F63" i="9"/>
  <c r="G63" i="9" s="1"/>
  <c r="E64" i="9"/>
  <c r="E242" i="9" l="1"/>
  <c r="F241" i="9"/>
  <c r="G241" i="9" s="1"/>
  <c r="F64" i="9"/>
  <c r="G64" i="9" s="1"/>
  <c r="E65" i="9"/>
  <c r="E327" i="9"/>
  <c r="F326" i="9"/>
  <c r="G326" i="9" s="1"/>
  <c r="F592" i="9"/>
  <c r="G592" i="9" s="1"/>
  <c r="E593" i="9"/>
  <c r="E594" i="9" l="1"/>
  <c r="F593" i="9"/>
  <c r="G593" i="9" s="1"/>
  <c r="E328" i="9"/>
  <c r="F327" i="9"/>
  <c r="G327" i="9" s="1"/>
  <c r="E66" i="9"/>
  <c r="F65" i="9"/>
  <c r="G65" i="9" s="1"/>
  <c r="E243" i="9"/>
  <c r="F242" i="9"/>
  <c r="G242" i="9" s="1"/>
  <c r="E67" i="9" l="1"/>
  <c r="F66" i="9"/>
  <c r="G66" i="9" s="1"/>
  <c r="F328" i="9"/>
  <c r="G328" i="9" s="1"/>
  <c r="E329" i="9"/>
  <c r="F243" i="9"/>
  <c r="G243" i="9" s="1"/>
  <c r="E244" i="9"/>
  <c r="F594" i="9"/>
  <c r="G594" i="9" s="1"/>
  <c r="E595" i="9"/>
  <c r="F244" i="9" l="1"/>
  <c r="G244" i="9" s="1"/>
  <c r="E245" i="9"/>
  <c r="E596" i="9"/>
  <c r="F595" i="9"/>
  <c r="G595" i="9" s="1"/>
  <c r="E330" i="9"/>
  <c r="F329" i="9"/>
  <c r="G329" i="9" s="1"/>
  <c r="E68" i="9"/>
  <c r="F67" i="9"/>
  <c r="G67" i="9" s="1"/>
  <c r="E69" i="9" l="1"/>
  <c r="F68" i="9"/>
  <c r="G68" i="9" s="1"/>
  <c r="E331" i="9"/>
  <c r="F330" i="9"/>
  <c r="G330" i="9" s="1"/>
  <c r="E597" i="9"/>
  <c r="F596" i="9"/>
  <c r="G596" i="9" s="1"/>
  <c r="F245" i="9"/>
  <c r="G245" i="9" s="1"/>
  <c r="E246" i="9"/>
  <c r="E247" i="9" l="1"/>
  <c r="F246" i="9"/>
  <c r="G246" i="9" s="1"/>
  <c r="F597" i="9"/>
  <c r="G597" i="9" s="1"/>
  <c r="E598" i="9"/>
  <c r="E332" i="9"/>
  <c r="F331" i="9"/>
  <c r="G331" i="9" s="1"/>
  <c r="E70" i="9"/>
  <c r="F69" i="9"/>
  <c r="G69" i="9" s="1"/>
  <c r="F70" i="9" l="1"/>
  <c r="G70" i="9" s="1"/>
  <c r="E71" i="9"/>
  <c r="F332" i="9"/>
  <c r="G332" i="9" s="1"/>
  <c r="E333" i="9"/>
  <c r="E599" i="9"/>
  <c r="F598" i="9"/>
  <c r="G598" i="9" s="1"/>
  <c r="F247" i="9"/>
  <c r="G247" i="9" s="1"/>
  <c r="E248" i="9"/>
  <c r="F248" i="9" l="1"/>
  <c r="G248" i="9" s="1"/>
  <c r="E249" i="9"/>
  <c r="F599" i="9"/>
  <c r="G599" i="9" s="1"/>
  <c r="E600" i="9"/>
  <c r="E334" i="9"/>
  <c r="F333" i="9"/>
  <c r="G333" i="9" s="1"/>
  <c r="E72" i="9"/>
  <c r="F71" i="9"/>
  <c r="G71" i="9" s="1"/>
  <c r="F72" i="9" l="1"/>
  <c r="G72" i="9" s="1"/>
  <c r="E73" i="9"/>
  <c r="F249" i="9"/>
  <c r="G249" i="9" s="1"/>
  <c r="E250" i="9"/>
  <c r="F334" i="9"/>
  <c r="G334" i="9" s="1"/>
  <c r="E335" i="9"/>
  <c r="E601" i="9"/>
  <c r="F600" i="9"/>
  <c r="G600" i="9" s="1"/>
  <c r="E251" i="9" l="1"/>
  <c r="F250" i="9"/>
  <c r="G250" i="9" s="1"/>
  <c r="F73" i="9"/>
  <c r="G73" i="9" s="1"/>
  <c r="E74" i="9"/>
  <c r="E602" i="9"/>
  <c r="F601" i="9"/>
  <c r="G601" i="9" s="1"/>
  <c r="F335" i="9"/>
  <c r="G335" i="9" s="1"/>
  <c r="E336" i="9"/>
  <c r="E337" i="9" l="1"/>
  <c r="F336" i="9"/>
  <c r="G336" i="9" s="1"/>
  <c r="E603" i="9"/>
  <c r="F602" i="9"/>
  <c r="G602" i="9" s="1"/>
  <c r="F74" i="9"/>
  <c r="G74" i="9" s="1"/>
  <c r="E75" i="9"/>
  <c r="F251" i="9"/>
  <c r="G251" i="9" s="1"/>
  <c r="E252" i="9"/>
  <c r="E604" i="9" l="1"/>
  <c r="F603" i="9"/>
  <c r="G603" i="9" s="1"/>
  <c r="F252" i="9"/>
  <c r="G252" i="9" s="1"/>
  <c r="E253" i="9"/>
  <c r="F75" i="9"/>
  <c r="G75" i="9" s="1"/>
  <c r="E76" i="9"/>
  <c r="F337" i="9"/>
  <c r="G337" i="9" s="1"/>
  <c r="E338" i="9"/>
  <c r="E339" i="9" l="1"/>
  <c r="F338" i="9"/>
  <c r="G338" i="9" s="1"/>
  <c r="E77" i="9"/>
  <c r="F76" i="9"/>
  <c r="G76" i="9" s="1"/>
  <c r="E254" i="9"/>
  <c r="F253" i="9"/>
  <c r="G253" i="9" s="1"/>
  <c r="E605" i="9"/>
  <c r="F604" i="9"/>
  <c r="G604" i="9" s="1"/>
  <c r="E606" i="9" l="1"/>
  <c r="F605" i="9"/>
  <c r="G605" i="9" s="1"/>
  <c r="E78" i="9"/>
  <c r="F77" i="9"/>
  <c r="G77" i="9" s="1"/>
  <c r="F254" i="9"/>
  <c r="G254" i="9" s="1"/>
  <c r="E255" i="9"/>
  <c r="E340" i="9"/>
  <c r="F339" i="9"/>
  <c r="G339" i="9" s="1"/>
  <c r="E79" i="9" l="1"/>
  <c r="F78" i="9"/>
  <c r="G78" i="9" s="1"/>
  <c r="E341" i="9"/>
  <c r="F340" i="9"/>
  <c r="G340" i="9" s="1"/>
  <c r="E256" i="9"/>
  <c r="F255" i="9"/>
  <c r="G255" i="9" s="1"/>
  <c r="E607" i="9"/>
  <c r="F606" i="9"/>
  <c r="G606" i="9" s="1"/>
  <c r="E257" i="9" l="1"/>
  <c r="F256" i="9"/>
  <c r="G256" i="9" s="1"/>
  <c r="E342" i="9"/>
  <c r="F341" i="9"/>
  <c r="G341" i="9" s="1"/>
  <c r="E608" i="9"/>
  <c r="F607" i="9"/>
  <c r="G607" i="9" s="1"/>
  <c r="F79" i="9"/>
  <c r="G79" i="9" s="1"/>
  <c r="E80" i="9"/>
  <c r="F80" i="9" l="1"/>
  <c r="G80" i="9" s="1"/>
  <c r="E81" i="9"/>
  <c r="F81" i="9" s="1"/>
  <c r="G81" i="9" s="1"/>
  <c r="F342" i="9"/>
  <c r="G342" i="9" s="1"/>
  <c r="E343" i="9"/>
  <c r="E609" i="9"/>
  <c r="F608" i="9"/>
  <c r="G608" i="9" s="1"/>
  <c r="F257" i="9"/>
  <c r="G257" i="9" s="1"/>
  <c r="E258" i="9"/>
  <c r="E259" i="9" l="1"/>
  <c r="F258" i="9"/>
  <c r="G258" i="9" s="1"/>
  <c r="E610" i="9"/>
  <c r="F609" i="9"/>
  <c r="G609" i="9" s="1"/>
  <c r="E344" i="9"/>
  <c r="F343" i="9"/>
  <c r="G343" i="9" s="1"/>
  <c r="F610" i="9" l="1"/>
  <c r="G610" i="9" s="1"/>
  <c r="E611" i="9"/>
  <c r="E345" i="9"/>
  <c r="F344" i="9"/>
  <c r="G344" i="9" s="1"/>
  <c r="F259" i="9"/>
  <c r="G259" i="9" s="1"/>
  <c r="E260" i="9"/>
  <c r="F260" i="9" s="1"/>
  <c r="G260" i="9" s="1"/>
  <c r="E346" i="9" l="1"/>
  <c r="F345" i="9"/>
  <c r="G345" i="9" s="1"/>
  <c r="E612" i="9"/>
  <c r="F611" i="9"/>
  <c r="G611" i="9" s="1"/>
  <c r="F612" i="9" l="1"/>
  <c r="G612" i="9" s="1"/>
  <c r="E613" i="9"/>
  <c r="E347" i="9"/>
  <c r="F346" i="9"/>
  <c r="G346" i="9" s="1"/>
  <c r="F347" i="9" l="1"/>
  <c r="G347" i="9" s="1"/>
  <c r="E348" i="9"/>
  <c r="E614" i="9"/>
  <c r="F613" i="9"/>
  <c r="G613" i="9" s="1"/>
  <c r="E615" i="9" l="1"/>
  <c r="F614" i="9"/>
  <c r="G614" i="9" s="1"/>
  <c r="F348" i="9"/>
  <c r="G348" i="9" s="1"/>
  <c r="E349" i="9"/>
  <c r="E350" i="9" l="1"/>
  <c r="F349" i="9"/>
  <c r="G349" i="9" s="1"/>
  <c r="F615" i="9"/>
  <c r="G615" i="9" s="1"/>
  <c r="E616" i="9"/>
  <c r="E617" i="9" l="1"/>
  <c r="F616" i="9"/>
  <c r="G616" i="9" s="1"/>
  <c r="E351" i="9"/>
  <c r="F350" i="9"/>
  <c r="G350" i="9" s="1"/>
  <c r="E352" i="9" l="1"/>
  <c r="F351" i="9"/>
  <c r="G351" i="9" s="1"/>
  <c r="F617" i="9"/>
  <c r="G617" i="9" s="1"/>
  <c r="E618" i="9"/>
  <c r="E619" i="9" l="1"/>
  <c r="F618" i="9"/>
  <c r="G618" i="9" s="1"/>
  <c r="E353" i="9"/>
  <c r="F352" i="9"/>
  <c r="G352" i="9" s="1"/>
  <c r="E354" i="9" l="1"/>
  <c r="F354" i="9" s="1"/>
  <c r="G354" i="9" s="1"/>
  <c r="F353" i="9"/>
  <c r="G353" i="9" s="1"/>
  <c r="E620" i="9"/>
  <c r="F619" i="9"/>
  <c r="G619" i="9" s="1"/>
  <c r="E621" i="9" l="1"/>
  <c r="F620" i="9"/>
  <c r="G620" i="9" s="1"/>
  <c r="E622" i="9" l="1"/>
  <c r="F621" i="9"/>
  <c r="G621" i="9" s="1"/>
  <c r="E623" i="9" l="1"/>
  <c r="F622" i="9"/>
  <c r="G622" i="9" s="1"/>
  <c r="E624" i="9" l="1"/>
  <c r="F623" i="9"/>
  <c r="G623" i="9" s="1"/>
  <c r="E625" i="9" l="1"/>
  <c r="F624" i="9"/>
  <c r="G624" i="9" s="1"/>
  <c r="F625" i="9" l="1"/>
  <c r="G625" i="9" s="1"/>
  <c r="E626" i="9"/>
  <c r="E627" i="9" l="1"/>
  <c r="F626" i="9"/>
  <c r="G626" i="9" s="1"/>
  <c r="F627" i="9" l="1"/>
  <c r="G627" i="9" s="1"/>
  <c r="E628" i="9"/>
  <c r="E629" i="9" l="1"/>
  <c r="F628" i="9"/>
  <c r="G628" i="9" s="1"/>
  <c r="F629" i="9" l="1"/>
  <c r="G629" i="9" s="1"/>
  <c r="E630" i="9"/>
  <c r="F630" i="9" l="1"/>
  <c r="G630" i="9" s="1"/>
  <c r="E631" i="9"/>
  <c r="F631" i="9" s="1"/>
  <c r="G631" i="9" s="1"/>
  <c r="E358" i="9"/>
  <c r="E359" i="9"/>
  <c r="E360" i="9"/>
  <c r="E361" i="9"/>
  <c r="E362" i="9" s="1"/>
  <c r="E91" i="9"/>
  <c r="E92" i="9" s="1"/>
  <c r="E448" i="9"/>
  <c r="F448" i="9" s="1"/>
  <c r="G448" i="9" s="1"/>
  <c r="E449" i="9"/>
  <c r="E450" i="9" s="1"/>
  <c r="F361" i="9"/>
  <c r="G361" i="9" s="1"/>
  <c r="F449" i="9"/>
  <c r="G449" i="9" s="1"/>
  <c r="F359" i="9"/>
  <c r="G359" i="9" s="1"/>
  <c r="F91" i="9"/>
  <c r="G91" i="9" s="1"/>
  <c r="F360" i="9"/>
  <c r="G360" i="9"/>
  <c r="F358" i="9"/>
  <c r="G358" i="9"/>
  <c r="E363" i="9" l="1"/>
  <c r="F362" i="9"/>
  <c r="G362" i="9" s="1"/>
  <c r="F92" i="9"/>
  <c r="G92" i="9" s="1"/>
  <c r="E93" i="9"/>
  <c r="F450" i="9"/>
  <c r="G450" i="9" s="1"/>
  <c r="E451" i="9"/>
  <c r="F451" i="9" l="1"/>
  <c r="G451" i="9" s="1"/>
  <c r="E452" i="9"/>
  <c r="E94" i="9"/>
  <c r="F93" i="9"/>
  <c r="G93" i="9" s="1"/>
  <c r="E364" i="9"/>
  <c r="F363" i="9"/>
  <c r="G363" i="9" s="1"/>
  <c r="F364" i="9" l="1"/>
  <c r="G364" i="9" s="1"/>
  <c r="E365" i="9"/>
  <c r="F94" i="9"/>
  <c r="G94" i="9" s="1"/>
  <c r="E95" i="9"/>
  <c r="F452" i="9"/>
  <c r="G452" i="9" s="1"/>
  <c r="E453" i="9"/>
  <c r="E454" i="9" l="1"/>
  <c r="F453" i="9"/>
  <c r="G453" i="9" s="1"/>
  <c r="F95" i="9"/>
  <c r="G95" i="9" s="1"/>
  <c r="E96" i="9"/>
  <c r="F365" i="9"/>
  <c r="G365" i="9" s="1"/>
  <c r="E366" i="9"/>
  <c r="F366" i="9" l="1"/>
  <c r="G366" i="9" s="1"/>
  <c r="E367" i="9"/>
  <c r="F96" i="9"/>
  <c r="G96" i="9" s="1"/>
  <c r="E97" i="9"/>
  <c r="F454" i="9"/>
  <c r="G454" i="9" s="1"/>
  <c r="E455" i="9"/>
  <c r="F455" i="9" l="1"/>
  <c r="G455" i="9" s="1"/>
  <c r="E456" i="9"/>
  <c r="E98" i="9"/>
  <c r="F97" i="9"/>
  <c r="G97" i="9" s="1"/>
  <c r="E368" i="9"/>
  <c r="F367" i="9"/>
  <c r="G367" i="9" s="1"/>
  <c r="E369" i="9" l="1"/>
  <c r="F368" i="9"/>
  <c r="G368" i="9" s="1"/>
  <c r="E99" i="9"/>
  <c r="F98" i="9"/>
  <c r="G98" i="9" s="1"/>
  <c r="E457" i="9"/>
  <c r="F456" i="9"/>
  <c r="G456" i="9" s="1"/>
  <c r="F457" i="9" l="1"/>
  <c r="G457" i="9" s="1"/>
  <c r="E458" i="9"/>
  <c r="E100" i="9"/>
  <c r="F99" i="9"/>
  <c r="G99" i="9" s="1"/>
  <c r="F369" i="9"/>
  <c r="G369" i="9" s="1"/>
  <c r="E370" i="9"/>
  <c r="F370" i="9" l="1"/>
  <c r="G370" i="9" s="1"/>
  <c r="E371" i="9"/>
  <c r="E101" i="9"/>
  <c r="F100" i="9"/>
  <c r="G100" i="9" s="1"/>
  <c r="F458" i="9"/>
  <c r="G458" i="9" s="1"/>
  <c r="E459" i="9"/>
  <c r="E460" i="9" l="1"/>
  <c r="F459" i="9"/>
  <c r="G459" i="9" s="1"/>
  <c r="E372" i="9"/>
  <c r="F371" i="9"/>
  <c r="G371" i="9" s="1"/>
  <c r="F101" i="9"/>
  <c r="G101" i="9" s="1"/>
  <c r="E102" i="9"/>
  <c r="F372" i="9" l="1"/>
  <c r="G372" i="9" s="1"/>
  <c r="E373" i="9"/>
  <c r="F102" i="9"/>
  <c r="G102" i="9" s="1"/>
  <c r="E103" i="9"/>
  <c r="E461" i="9"/>
  <c r="F460" i="9"/>
  <c r="G460" i="9" s="1"/>
  <c r="F461" i="9" l="1"/>
  <c r="G461" i="9" s="1"/>
  <c r="E462" i="9"/>
  <c r="F103" i="9"/>
  <c r="G103" i="9" s="1"/>
  <c r="E104" i="9"/>
  <c r="F373" i="9"/>
  <c r="G373" i="9" s="1"/>
  <c r="E374" i="9"/>
  <c r="E463" i="9" l="1"/>
  <c r="F462" i="9"/>
  <c r="G462" i="9" s="1"/>
  <c r="E375" i="9"/>
  <c r="F374" i="9"/>
  <c r="G374" i="9" s="1"/>
  <c r="F104" i="9"/>
  <c r="G104" i="9" s="1"/>
  <c r="E105" i="9"/>
  <c r="F105" i="9" l="1"/>
  <c r="G105" i="9" s="1"/>
  <c r="E106" i="9"/>
  <c r="F375" i="9"/>
  <c r="G375" i="9" s="1"/>
  <c r="E376" i="9"/>
  <c r="F463" i="9"/>
  <c r="G463" i="9" s="1"/>
  <c r="E464" i="9"/>
  <c r="F376" i="9" l="1"/>
  <c r="G376" i="9" s="1"/>
  <c r="E377" i="9"/>
  <c r="F464" i="9"/>
  <c r="G464" i="9" s="1"/>
  <c r="E465" i="9"/>
  <c r="E107" i="9"/>
  <c r="F106" i="9"/>
  <c r="G106" i="9" s="1"/>
  <c r="E466" i="9" l="1"/>
  <c r="F465" i="9"/>
  <c r="G465" i="9" s="1"/>
  <c r="F377" i="9"/>
  <c r="G377" i="9" s="1"/>
  <c r="E378" i="9"/>
  <c r="E108" i="9"/>
  <c r="F107" i="9"/>
  <c r="G107" i="9" s="1"/>
  <c r="F108" i="9" l="1"/>
  <c r="G108" i="9" s="1"/>
  <c r="E109" i="9"/>
  <c r="E379" i="9"/>
  <c r="F378" i="9"/>
  <c r="G378" i="9" s="1"/>
  <c r="F466" i="9"/>
  <c r="G466" i="9" s="1"/>
  <c r="E467" i="9"/>
  <c r="F467" i="9" l="1"/>
  <c r="G467" i="9" s="1"/>
  <c r="E468" i="9"/>
  <c r="E380" i="9"/>
  <c r="F379" i="9"/>
  <c r="G379" i="9" s="1"/>
  <c r="E110" i="9"/>
  <c r="F109" i="9"/>
  <c r="G109" i="9" s="1"/>
  <c r="E381" i="9" l="1"/>
  <c r="F380" i="9"/>
  <c r="G380" i="9" s="1"/>
  <c r="F468" i="9"/>
  <c r="G468" i="9" s="1"/>
  <c r="E469" i="9"/>
  <c r="F110" i="9"/>
  <c r="G110" i="9" s="1"/>
  <c r="E111" i="9"/>
  <c r="F111" i="9" l="1"/>
  <c r="G111" i="9" s="1"/>
  <c r="E112" i="9"/>
  <c r="E470" i="9"/>
  <c r="F469" i="9"/>
  <c r="G469" i="9" s="1"/>
  <c r="E382" i="9"/>
  <c r="F381" i="9"/>
  <c r="G381" i="9" s="1"/>
  <c r="F382" i="9" l="1"/>
  <c r="G382" i="9" s="1"/>
  <c r="E383" i="9"/>
  <c r="E113" i="9"/>
  <c r="F112" i="9"/>
  <c r="G112" i="9" s="1"/>
  <c r="E471" i="9"/>
  <c r="F470" i="9"/>
  <c r="G470" i="9" s="1"/>
  <c r="F471" i="9" l="1"/>
  <c r="G471" i="9" s="1"/>
  <c r="E472" i="9"/>
  <c r="F113" i="9"/>
  <c r="G113" i="9" s="1"/>
  <c r="E114" i="9"/>
  <c r="F383" i="9"/>
  <c r="G383" i="9" s="1"/>
  <c r="E384" i="9"/>
  <c r="F384" i="9" l="1"/>
  <c r="G384" i="9" s="1"/>
  <c r="E385" i="9"/>
  <c r="E115" i="9"/>
  <c r="F114" i="9"/>
  <c r="G114" i="9" s="1"/>
  <c r="E473" i="9"/>
  <c r="F472" i="9"/>
  <c r="G472" i="9" s="1"/>
  <c r="F473" i="9" l="1"/>
  <c r="G473" i="9" s="1"/>
  <c r="E474" i="9"/>
  <c r="F385" i="9"/>
  <c r="G385" i="9" s="1"/>
  <c r="E386" i="9"/>
  <c r="E116" i="9"/>
  <c r="F115" i="9"/>
  <c r="G115" i="9" s="1"/>
  <c r="E117" i="9" l="1"/>
  <c r="F116" i="9"/>
  <c r="G116" i="9" s="1"/>
  <c r="E387" i="9"/>
  <c r="F386" i="9"/>
  <c r="G386" i="9" s="1"/>
  <c r="F474" i="9"/>
  <c r="G474" i="9" s="1"/>
  <c r="E475" i="9"/>
  <c r="F475" i="9" l="1"/>
  <c r="G475" i="9" s="1"/>
  <c r="E476" i="9"/>
  <c r="F387" i="9"/>
  <c r="G387" i="9" s="1"/>
  <c r="E388" i="9"/>
  <c r="F117" i="9"/>
  <c r="G117" i="9" s="1"/>
  <c r="E118" i="9"/>
  <c r="E119" i="9" l="1"/>
  <c r="F118" i="9"/>
  <c r="G118" i="9" s="1"/>
  <c r="E389" i="9"/>
  <c r="F388" i="9"/>
  <c r="G388" i="9" s="1"/>
  <c r="F476" i="9"/>
  <c r="G476" i="9" s="1"/>
  <c r="E477" i="9"/>
  <c r="E390" i="9" l="1"/>
  <c r="F389" i="9"/>
  <c r="G389" i="9" s="1"/>
  <c r="F477" i="9"/>
  <c r="G477" i="9" s="1"/>
  <c r="E478" i="9"/>
  <c r="F119" i="9"/>
  <c r="G119" i="9" s="1"/>
  <c r="E120" i="9"/>
  <c r="F478" i="9" l="1"/>
  <c r="G478" i="9" s="1"/>
  <c r="E479" i="9"/>
  <c r="F120" i="9"/>
  <c r="G120" i="9" s="1"/>
  <c r="E121" i="9"/>
  <c r="E391" i="9"/>
  <c r="F390" i="9"/>
  <c r="G390" i="9" s="1"/>
  <c r="F391" i="9" l="1"/>
  <c r="G391" i="9" s="1"/>
  <c r="E392" i="9"/>
  <c r="E122" i="9"/>
  <c r="F121" i="9"/>
  <c r="G121" i="9" s="1"/>
  <c r="F479" i="9"/>
  <c r="G479" i="9" s="1"/>
  <c r="E480" i="9"/>
  <c r="F392" i="9" l="1"/>
  <c r="G392" i="9" s="1"/>
  <c r="E393" i="9"/>
  <c r="E481" i="9"/>
  <c r="F480" i="9"/>
  <c r="G480" i="9" s="1"/>
  <c r="E123" i="9"/>
  <c r="F122" i="9"/>
  <c r="G122" i="9" s="1"/>
  <c r="F393" i="9" l="1"/>
  <c r="G393" i="9" s="1"/>
  <c r="E394" i="9"/>
  <c r="F123" i="9"/>
  <c r="G123" i="9" s="1"/>
  <c r="E124" i="9"/>
  <c r="E482" i="9"/>
  <c r="F481" i="9"/>
  <c r="G481" i="9" s="1"/>
  <c r="E483" i="9" l="1"/>
  <c r="F482" i="9"/>
  <c r="G482" i="9" s="1"/>
  <c r="E125" i="9"/>
  <c r="F124" i="9"/>
  <c r="G124" i="9" s="1"/>
  <c r="F394" i="9"/>
  <c r="G394" i="9" s="1"/>
  <c r="E395" i="9"/>
  <c r="E396" i="9" l="1"/>
  <c r="F395" i="9"/>
  <c r="G395" i="9" s="1"/>
  <c r="E126" i="9"/>
  <c r="F125" i="9"/>
  <c r="G125" i="9" s="1"/>
  <c r="E484" i="9"/>
  <c r="F483" i="9"/>
  <c r="G483" i="9" s="1"/>
  <c r="F126" i="9" l="1"/>
  <c r="G126" i="9" s="1"/>
  <c r="E127" i="9"/>
  <c r="F484" i="9"/>
  <c r="G484" i="9" s="1"/>
  <c r="E485" i="9"/>
  <c r="E397" i="9"/>
  <c r="F396" i="9"/>
  <c r="G396" i="9" s="1"/>
  <c r="F485" i="9" l="1"/>
  <c r="G485" i="9" s="1"/>
  <c r="E486" i="9"/>
  <c r="F127" i="9"/>
  <c r="G127" i="9" s="1"/>
  <c r="E128" i="9"/>
  <c r="E398" i="9"/>
  <c r="F397" i="9"/>
  <c r="G397" i="9" s="1"/>
  <c r="F128" i="9" l="1"/>
  <c r="G128" i="9" s="1"/>
  <c r="E129" i="9"/>
  <c r="E487" i="9"/>
  <c r="F486" i="9"/>
  <c r="G486" i="9" s="1"/>
  <c r="F398" i="9"/>
  <c r="G398" i="9" s="1"/>
  <c r="E399" i="9"/>
  <c r="F129" i="9" l="1"/>
  <c r="G129" i="9" s="1"/>
  <c r="E130" i="9"/>
  <c r="F399" i="9"/>
  <c r="G399" i="9" s="1"/>
  <c r="E400" i="9"/>
  <c r="F487" i="9"/>
  <c r="G487" i="9" s="1"/>
  <c r="E488" i="9"/>
  <c r="E131" i="9" l="1"/>
  <c r="F130" i="9"/>
  <c r="G130" i="9" s="1"/>
  <c r="F488" i="9"/>
  <c r="G488" i="9" s="1"/>
  <c r="E489" i="9"/>
  <c r="F400" i="9"/>
  <c r="G400" i="9" s="1"/>
  <c r="E401" i="9"/>
  <c r="F401" i="9" l="1"/>
  <c r="G401" i="9" s="1"/>
  <c r="E402" i="9"/>
  <c r="E490" i="9"/>
  <c r="F489" i="9"/>
  <c r="G489" i="9" s="1"/>
  <c r="E132" i="9"/>
  <c r="F131" i="9"/>
  <c r="G131" i="9" s="1"/>
  <c r="F132" i="9" l="1"/>
  <c r="G132" i="9" s="1"/>
  <c r="E133" i="9"/>
  <c r="E491" i="9"/>
  <c r="F490" i="9"/>
  <c r="G490" i="9" s="1"/>
  <c r="F402" i="9"/>
  <c r="G402" i="9" s="1"/>
  <c r="E403" i="9"/>
  <c r="E404" i="9" l="1"/>
  <c r="F403" i="9"/>
  <c r="G403" i="9" s="1"/>
  <c r="E134" i="9"/>
  <c r="F133" i="9"/>
  <c r="G133" i="9" s="1"/>
  <c r="E492" i="9"/>
  <c r="F491" i="9"/>
  <c r="G491" i="9" s="1"/>
  <c r="F492" i="9" l="1"/>
  <c r="G492" i="9" s="1"/>
  <c r="E493" i="9"/>
  <c r="E135" i="9"/>
  <c r="F134" i="9"/>
  <c r="G134" i="9" s="1"/>
  <c r="E405" i="9"/>
  <c r="F404" i="9"/>
  <c r="G404" i="9" s="1"/>
  <c r="F405" i="9" l="1"/>
  <c r="G405" i="9" s="1"/>
  <c r="E406" i="9"/>
  <c r="E136" i="9"/>
  <c r="F135" i="9"/>
  <c r="G135" i="9" s="1"/>
  <c r="F493" i="9"/>
  <c r="G493" i="9" s="1"/>
  <c r="E494" i="9"/>
  <c r="F136" i="9" l="1"/>
  <c r="G136" i="9" s="1"/>
  <c r="E137" i="9"/>
  <c r="F406" i="9"/>
  <c r="G406" i="9" s="1"/>
  <c r="E407" i="9"/>
  <c r="F494" i="9"/>
  <c r="G494" i="9" s="1"/>
  <c r="E495" i="9"/>
  <c r="F407" i="9" l="1"/>
  <c r="G407" i="9" s="1"/>
  <c r="E408" i="9"/>
  <c r="F137" i="9"/>
  <c r="G137" i="9" s="1"/>
  <c r="E138" i="9"/>
  <c r="E496" i="9"/>
  <c r="F495" i="9"/>
  <c r="G495" i="9" s="1"/>
  <c r="E497" i="9" l="1"/>
  <c r="F496" i="9"/>
  <c r="G496" i="9" s="1"/>
  <c r="F138" i="9"/>
  <c r="G138" i="9" s="1"/>
  <c r="E139" i="9"/>
  <c r="F408" i="9"/>
  <c r="G408" i="9" s="1"/>
  <c r="E409" i="9"/>
  <c r="E140" i="9" l="1"/>
  <c r="F139" i="9"/>
  <c r="G139" i="9" s="1"/>
  <c r="F409" i="9"/>
  <c r="G409" i="9" s="1"/>
  <c r="E410" i="9"/>
  <c r="E498" i="9"/>
  <c r="F497" i="9"/>
  <c r="G497" i="9" s="1"/>
  <c r="E411" i="9" l="1"/>
  <c r="F410" i="9"/>
  <c r="G410" i="9" s="1"/>
  <c r="E499" i="9"/>
  <c r="F498" i="9"/>
  <c r="G498" i="9" s="1"/>
  <c r="E141" i="9"/>
  <c r="F140" i="9"/>
  <c r="G140" i="9" s="1"/>
  <c r="F141" i="9" l="1"/>
  <c r="G141" i="9" s="1"/>
  <c r="E142" i="9"/>
  <c r="E500" i="9"/>
  <c r="F499" i="9"/>
  <c r="G499" i="9" s="1"/>
  <c r="E412" i="9"/>
  <c r="F411" i="9"/>
  <c r="G411" i="9" s="1"/>
  <c r="E501" i="9" l="1"/>
  <c r="F500" i="9"/>
  <c r="G500" i="9" s="1"/>
  <c r="F142" i="9"/>
  <c r="G142" i="9" s="1"/>
  <c r="E143" i="9"/>
  <c r="E413" i="9"/>
  <c r="F412" i="9"/>
  <c r="G412" i="9" s="1"/>
  <c r="E414" i="9" l="1"/>
  <c r="F413" i="9"/>
  <c r="G413" i="9" s="1"/>
  <c r="E144" i="9"/>
  <c r="F143" i="9"/>
  <c r="G143" i="9" s="1"/>
  <c r="F501" i="9"/>
  <c r="G501" i="9" s="1"/>
  <c r="E502" i="9"/>
  <c r="E503" i="9" l="1"/>
  <c r="F502" i="9"/>
  <c r="G502" i="9" s="1"/>
  <c r="E145" i="9"/>
  <c r="F144" i="9"/>
  <c r="G144" i="9" s="1"/>
  <c r="E415" i="9"/>
  <c r="F414" i="9"/>
  <c r="G414" i="9" s="1"/>
  <c r="F415" i="9" l="1"/>
  <c r="G415" i="9" s="1"/>
  <c r="E416" i="9"/>
  <c r="F145" i="9"/>
  <c r="G145" i="9" s="1"/>
  <c r="E146" i="9"/>
  <c r="F503" i="9"/>
  <c r="G503" i="9" s="1"/>
  <c r="E504" i="9"/>
  <c r="E505" i="9" l="1"/>
  <c r="F504" i="9"/>
  <c r="G504" i="9" s="1"/>
  <c r="E147" i="9"/>
  <c r="F146" i="9"/>
  <c r="G146" i="9" s="1"/>
  <c r="E417" i="9"/>
  <c r="F416" i="9"/>
  <c r="G416" i="9" s="1"/>
  <c r="F417" i="9" l="1"/>
  <c r="G417" i="9" s="1"/>
  <c r="E418" i="9"/>
  <c r="E148" i="9"/>
  <c r="F147" i="9"/>
  <c r="G147" i="9" s="1"/>
  <c r="F505" i="9"/>
  <c r="G505" i="9" s="1"/>
  <c r="E506" i="9"/>
  <c r="F418" i="9" l="1"/>
  <c r="G418" i="9" s="1"/>
  <c r="E419" i="9"/>
  <c r="F506" i="9"/>
  <c r="G506" i="9" s="1"/>
  <c r="E507" i="9"/>
  <c r="E149" i="9"/>
  <c r="F148" i="9"/>
  <c r="G148" i="9" s="1"/>
  <c r="F507" i="9" l="1"/>
  <c r="G507" i="9" s="1"/>
  <c r="E508" i="9"/>
  <c r="E420" i="9"/>
  <c r="F419" i="9"/>
  <c r="G419" i="9" s="1"/>
  <c r="E150" i="9"/>
  <c r="F149" i="9"/>
  <c r="G149" i="9" s="1"/>
  <c r="E151" i="9" l="1"/>
  <c r="F150" i="9"/>
  <c r="G150" i="9" s="1"/>
  <c r="E509" i="9"/>
  <c r="F508" i="9"/>
  <c r="G508" i="9" s="1"/>
  <c r="E421" i="9"/>
  <c r="F420" i="9"/>
  <c r="G420" i="9" s="1"/>
  <c r="E422" i="9" l="1"/>
  <c r="F421" i="9"/>
  <c r="G421" i="9" s="1"/>
  <c r="E510" i="9"/>
  <c r="F509" i="9"/>
  <c r="G509" i="9" s="1"/>
  <c r="E152" i="9"/>
  <c r="F151" i="9"/>
  <c r="G151" i="9" s="1"/>
  <c r="F152" i="9" l="1"/>
  <c r="G152" i="9" s="1"/>
  <c r="E153" i="9"/>
  <c r="E511" i="9"/>
  <c r="F510" i="9"/>
  <c r="G510" i="9" s="1"/>
  <c r="E423" i="9"/>
  <c r="F422" i="9"/>
  <c r="G422" i="9" s="1"/>
  <c r="F423" i="9" l="1"/>
  <c r="G423" i="9" s="1"/>
  <c r="E424" i="9"/>
  <c r="F511" i="9"/>
  <c r="G511" i="9" s="1"/>
  <c r="E512" i="9"/>
  <c r="F153" i="9"/>
  <c r="G153" i="9" s="1"/>
  <c r="E154" i="9"/>
  <c r="E425" i="9" l="1"/>
  <c r="F424" i="9"/>
  <c r="G424" i="9" s="1"/>
  <c r="E155" i="9"/>
  <c r="F154" i="9"/>
  <c r="G154" i="9" s="1"/>
  <c r="E513" i="9"/>
  <c r="F512" i="9"/>
  <c r="G512" i="9" s="1"/>
  <c r="E514" i="9" l="1"/>
  <c r="F513" i="9"/>
  <c r="G513" i="9" s="1"/>
  <c r="E156" i="9"/>
  <c r="F155" i="9"/>
  <c r="G155" i="9" s="1"/>
  <c r="F425" i="9"/>
  <c r="G425" i="9" s="1"/>
  <c r="E426" i="9"/>
  <c r="F426" i="9" l="1"/>
  <c r="G426" i="9" s="1"/>
  <c r="E427" i="9"/>
  <c r="F156" i="9"/>
  <c r="G156" i="9" s="1"/>
  <c r="E157" i="9"/>
  <c r="E515" i="9"/>
  <c r="F514" i="9"/>
  <c r="G514" i="9" s="1"/>
  <c r="F515" i="9" l="1"/>
  <c r="G515" i="9" s="1"/>
  <c r="E516" i="9"/>
  <c r="F427" i="9"/>
  <c r="G427" i="9" s="1"/>
  <c r="E428" i="9"/>
  <c r="E158" i="9"/>
  <c r="F157" i="9"/>
  <c r="G157" i="9" s="1"/>
  <c r="E159" i="9" l="1"/>
  <c r="F158" i="9"/>
  <c r="G158" i="9" s="1"/>
  <c r="E429" i="9"/>
  <c r="F428" i="9"/>
  <c r="G428" i="9" s="1"/>
  <c r="E517" i="9"/>
  <c r="F516" i="9"/>
  <c r="G516" i="9" s="1"/>
  <c r="E518" i="9" l="1"/>
  <c r="F517" i="9"/>
  <c r="G517" i="9" s="1"/>
  <c r="F429" i="9"/>
  <c r="G429" i="9" s="1"/>
  <c r="E430" i="9"/>
  <c r="F159" i="9"/>
  <c r="G159" i="9" s="1"/>
  <c r="E160" i="9"/>
  <c r="E431" i="9" l="1"/>
  <c r="F430" i="9"/>
  <c r="G430" i="9" s="1"/>
  <c r="E161" i="9"/>
  <c r="F160" i="9"/>
  <c r="G160" i="9" s="1"/>
  <c r="E519" i="9"/>
  <c r="F518" i="9"/>
  <c r="G518" i="9" s="1"/>
  <c r="F519" i="9" l="1"/>
  <c r="G519" i="9" s="1"/>
  <c r="E520" i="9"/>
  <c r="F161" i="9"/>
  <c r="G161" i="9" s="1"/>
  <c r="E162" i="9"/>
  <c r="E432" i="9"/>
  <c r="F431" i="9"/>
  <c r="G431" i="9" s="1"/>
  <c r="F162" i="9" l="1"/>
  <c r="G162" i="9" s="1"/>
  <c r="E163" i="9"/>
  <c r="E433" i="9"/>
  <c r="F432" i="9"/>
  <c r="G432" i="9" s="1"/>
  <c r="F520" i="9"/>
  <c r="G520" i="9" s="1"/>
  <c r="E521" i="9"/>
  <c r="F521" i="9" l="1"/>
  <c r="G521" i="9" s="1"/>
  <c r="E522" i="9"/>
  <c r="E434" i="9"/>
  <c r="F433" i="9"/>
  <c r="G433" i="9" s="1"/>
  <c r="F163" i="9"/>
  <c r="G163" i="9" s="1"/>
  <c r="E164" i="9"/>
  <c r="E165" i="9" l="1"/>
  <c r="F164" i="9"/>
  <c r="G164" i="9" s="1"/>
  <c r="E523" i="9"/>
  <c r="F522" i="9"/>
  <c r="G522" i="9" s="1"/>
  <c r="F434" i="9"/>
  <c r="G434" i="9" s="1"/>
  <c r="E435" i="9"/>
  <c r="F435" i="9" l="1"/>
  <c r="G435" i="9" s="1"/>
  <c r="E436" i="9"/>
  <c r="F523" i="9"/>
  <c r="G523" i="9" s="1"/>
  <c r="E524" i="9"/>
  <c r="E166" i="9"/>
  <c r="F165" i="9"/>
  <c r="G165" i="9" s="1"/>
  <c r="E525" i="9" l="1"/>
  <c r="F524" i="9"/>
  <c r="G524" i="9" s="1"/>
  <c r="F436" i="9"/>
  <c r="G436" i="9" s="1"/>
  <c r="E437" i="9"/>
  <c r="E167" i="9"/>
  <c r="F166" i="9"/>
  <c r="G166" i="9" s="1"/>
  <c r="E168" i="9" l="1"/>
  <c r="F167" i="9"/>
  <c r="G167" i="9" s="1"/>
  <c r="E438" i="9"/>
  <c r="F437" i="9"/>
  <c r="G437" i="9" s="1"/>
  <c r="E526" i="9"/>
  <c r="F525" i="9"/>
  <c r="G525" i="9" s="1"/>
  <c r="F526" i="9" l="1"/>
  <c r="G526" i="9" s="1"/>
  <c r="E527" i="9"/>
  <c r="F438" i="9"/>
  <c r="G438" i="9" s="1"/>
  <c r="E439" i="9"/>
  <c r="F168" i="9"/>
  <c r="G168" i="9" s="1"/>
  <c r="E169" i="9"/>
  <c r="F169" i="9" l="1"/>
  <c r="G169" i="9" s="1"/>
  <c r="E170" i="9"/>
  <c r="F439" i="9"/>
  <c r="G439" i="9" s="1"/>
  <c r="E440" i="9"/>
  <c r="F440" i="9" s="1"/>
  <c r="G440" i="9" s="1"/>
  <c r="F527" i="9"/>
  <c r="G527" i="9" s="1"/>
  <c r="E528" i="9"/>
  <c r="F528" i="9" s="1"/>
  <c r="G528" i="9" s="1"/>
  <c r="E171" i="9" l="1"/>
  <c r="F170" i="9"/>
  <c r="G170" i="9" s="1"/>
  <c r="F171" i="9" l="1"/>
  <c r="G171" i="9" s="1"/>
  <c r="E172" i="9"/>
  <c r="E173" i="9" l="1"/>
  <c r="F172" i="9"/>
  <c r="G172" i="9" s="1"/>
  <c r="E174" i="9" l="1"/>
  <c r="F173" i="9"/>
  <c r="G173" i="9" s="1"/>
  <c r="F174" i="9" l="1"/>
  <c r="G174" i="9" s="1"/>
  <c r="E175" i="9"/>
  <c r="E176" i="9" l="1"/>
  <c r="F175" i="9"/>
  <c r="G175" i="9" s="1"/>
  <c r="F176" i="9" l="1"/>
  <c r="G176" i="9" s="1"/>
  <c r="E177" i="9"/>
  <c r="E178" i="9" l="1"/>
  <c r="F177" i="9"/>
  <c r="G177" i="9" s="1"/>
  <c r="F178" i="9" l="1"/>
  <c r="G178" i="9" s="1"/>
  <c r="E179" i="9"/>
  <c r="F179" i="9" s="1"/>
  <c r="G179" i="9" s="1"/>
</calcChain>
</file>

<file path=xl/sharedStrings.xml><?xml version="1.0" encoding="utf-8"?>
<sst xmlns="http://schemas.openxmlformats.org/spreadsheetml/2006/main" count="13136" uniqueCount="1527">
  <si>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</si>
  <si>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</si>
  <si>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</si>
  <si>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</si>
  <si>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</si>
  <si>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</si>
  <si>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</si>
  <si>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</si>
  <si>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</si>
  <si>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</si>
  <si>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</si>
  <si>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</si>
  <si>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</si>
  <si>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</si>
  <si>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</si>
  <si>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</si>
  <si>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</si>
  <si>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</si>
  <si>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</si>
  <si>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</si>
  <si>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</si>
  <si>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</si>
  <si>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</si>
  <si>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</si>
  <si>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</si>
  <si>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</si>
  <si>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</si>
  <si>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</si>
  <si>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</si>
  <si>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</si>
  <si>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</si>
  <si>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</si>
  <si>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</si>
  <si>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</si>
  <si>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</si>
  <si>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</si>
  <si>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</si>
  <si>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</si>
  <si>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</si>
  <si>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</si>
  <si>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</si>
  <si>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</si>
  <si>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</si>
  <si>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</si>
  <si>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</si>
  <si>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</si>
  <si>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</si>
  <si>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</si>
  <si>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</si>
  <si>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</si>
  <si>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</si>
  <si>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</si>
  <si>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</si>
  <si>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</si>
  <si>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</si>
  <si>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</si>
  <si>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</si>
  <si>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</si>
  <si>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</si>
  <si>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</si>
  <si>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</si>
  <si>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</si>
  <si>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</si>
  <si>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</si>
  <si>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</si>
  <si>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</si>
  <si>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</si>
  <si>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</si>
  <si>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</si>
  <si>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</si>
  <si>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</si>
  <si>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</si>
  <si>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</si>
  <si>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</si>
  <si>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</si>
  <si>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</si>
  <si>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</si>
  <si>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</si>
  <si>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</si>
  <si>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</si>
  <si>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</si>
  <si>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</si>
  <si>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</si>
  <si>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</si>
  <si>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</si>
  <si>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</si>
  <si>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</si>
  <si>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</si>
  <si>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</si>
  <si>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</si>
  <si>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</si>
  <si>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</si>
  <si>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</si>
  <si>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</si>
  <si>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</si>
  <si>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</si>
  <si>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</si>
  <si>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</si>
  <si>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</si>
  <si>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</si>
  <si>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</si>
  <si>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</si>
  <si>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</si>
  <si>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</si>
  <si>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</si>
  <si>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</si>
  <si>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</si>
  <si>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</si>
  <si>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</si>
  <si>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</si>
  <si>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</si>
  <si>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</si>
  <si>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</si>
  <si>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</si>
  <si>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</si>
  <si>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</si>
  <si>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</si>
  <si>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</si>
  <si>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</si>
  <si>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</si>
  <si>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</si>
  <si>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</si>
  <si>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</si>
  <si>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</si>
  <si>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</si>
  <si>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</si>
  <si>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</si>
  <si>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</si>
  <si>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</si>
  <si>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</si>
  <si>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</si>
  <si>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</si>
  <si>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</si>
  <si>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</si>
  <si>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</si>
  <si>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</si>
  <si>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</si>
  <si>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</si>
  <si>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</si>
  <si>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</si>
  <si>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</si>
  <si>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</si>
  <si>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</si>
  <si>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</si>
  <si>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</si>
  <si>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</si>
  <si>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</si>
  <si>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</si>
  <si>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</si>
  <si>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</si>
  <si>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</si>
  <si>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</si>
  <si>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</si>
  <si>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</si>
  <si>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</si>
  <si>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</si>
  <si>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</si>
  <si>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</si>
  <si>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</si>
  <si>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</si>
  <si>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</si>
  <si>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</si>
  <si>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</si>
  <si>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</si>
  <si>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</si>
  <si>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</si>
  <si>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</si>
  <si>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</si>
  <si>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</si>
  <si>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</si>
  <si>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</si>
  <si>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</si>
  <si>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</si>
  <si>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</si>
  <si>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</si>
  <si>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</si>
  <si>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</si>
  <si>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</si>
  <si>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</si>
  <si>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</si>
  <si>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</si>
  <si>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</si>
  <si>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</si>
  <si>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</si>
  <si>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</si>
  <si>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</si>
  <si>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</si>
  <si>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</si>
  <si>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</si>
  <si>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</si>
  <si>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</si>
  <si>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</si>
  <si>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</si>
  <si>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</si>
  <si>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</si>
  <si>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</si>
  <si>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</si>
  <si>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</si>
  <si>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</si>
  <si>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</si>
  <si>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</si>
  <si>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</si>
  <si>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</si>
  <si>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</si>
  <si>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</si>
  <si>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</si>
  <si>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</si>
  <si>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</si>
  <si>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</si>
  <si>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</si>
  <si>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</si>
  <si>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</si>
  <si>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</si>
  <si>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</si>
  <si>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</si>
  <si>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</si>
  <si>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</si>
  <si>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</si>
  <si>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</si>
  <si>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</si>
  <si>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</si>
  <si>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</si>
  <si>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</si>
  <si>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</si>
  <si>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</si>
  <si>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</si>
  <si>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</si>
  <si>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</si>
  <si>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</si>
  <si>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</si>
  <si>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</si>
  <si>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</si>
  <si>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</si>
  <si>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</si>
  <si>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</si>
  <si>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</si>
  <si>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</si>
  <si>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</si>
  <si>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</si>
  <si>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</si>
  <si>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</si>
  <si>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</si>
  <si>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</si>
  <si>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</si>
  <si>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</si>
  <si>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</si>
  <si>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</si>
  <si>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</si>
  <si>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</si>
  <si>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</si>
  <si>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</si>
  <si>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</si>
  <si>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</si>
  <si>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</si>
  <si>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</si>
  <si>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</si>
  <si>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</si>
  <si>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</si>
  <si>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</si>
  <si>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</si>
  <si>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</si>
  <si>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</si>
  <si>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</si>
  <si>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</si>
  <si>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</si>
  <si>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</si>
  <si>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</si>
  <si>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</si>
  <si>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</si>
  <si>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</si>
  <si>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</si>
  <si>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</si>
  <si>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</si>
  <si>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</si>
  <si>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</si>
  <si>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</si>
  <si>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</si>
  <si>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</si>
  <si>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</si>
  <si>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</si>
  <si>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</si>
  <si>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</si>
  <si>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</si>
  <si>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</si>
  <si>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</si>
  <si>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</si>
  <si>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</si>
  <si>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</si>
  <si>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</si>
  <si>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</si>
  <si>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</si>
  <si>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</si>
  <si>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</si>
  <si>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</si>
  <si>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</si>
  <si>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</si>
  <si>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</si>
  <si>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</si>
  <si>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</si>
  <si>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</si>
  <si>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</si>
  <si>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</si>
  <si>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</si>
  <si>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</si>
  <si>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</si>
  <si>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</si>
  <si>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</si>
  <si>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</si>
  <si>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</si>
  <si>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</si>
  <si>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</si>
  <si>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</si>
  <si>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</si>
  <si>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</si>
  <si>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</si>
  <si>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</si>
  <si>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</si>
  <si>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</si>
  <si>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</si>
  <si>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</si>
  <si>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</si>
  <si>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</si>
  <si>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</si>
  <si>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</si>
  <si>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</si>
  <si>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</si>
  <si>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</si>
  <si>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</si>
  <si>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</si>
  <si>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</si>
  <si>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</si>
  <si>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</si>
  <si>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</si>
  <si>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</si>
  <si>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</si>
  <si>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</si>
  <si>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</si>
  <si>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</si>
  <si>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</si>
  <si>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</si>
  <si>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</si>
  <si>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</si>
  <si>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</si>
  <si>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</si>
  <si>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</si>
  <si>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</si>
  <si>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</si>
  <si>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</si>
  <si>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</si>
  <si>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</si>
  <si>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</si>
  <si>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</si>
  <si>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</si>
  <si>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</si>
  <si>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</si>
  <si>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</si>
  <si>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</si>
  <si>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</si>
  <si>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</si>
  <si>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</si>
  <si>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</si>
  <si>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</si>
  <si>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</si>
  <si>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</si>
  <si>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</si>
  <si>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</si>
  <si>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</si>
  <si>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</si>
  <si>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</si>
  <si>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</si>
  <si>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</si>
  <si>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</si>
  <si>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</si>
  <si>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</si>
  <si>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</si>
  <si>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</si>
  <si>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</si>
  <si>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</si>
  <si>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</si>
  <si>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</si>
  <si>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</si>
  <si>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</si>
  <si>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</si>
  <si>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</si>
  <si>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</si>
  <si>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</si>
  <si>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</si>
  <si>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</si>
  <si>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</si>
  <si>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</si>
  <si>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</si>
  <si>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</si>
  <si>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</si>
  <si>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</si>
  <si>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</si>
  <si>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</si>
  <si>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</si>
  <si>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</si>
  <si>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</si>
  <si>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</si>
  <si>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</si>
  <si>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</si>
  <si>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</si>
  <si>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</si>
  <si>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</si>
  <si>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</si>
  <si>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</si>
  <si>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</si>
  <si>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</si>
  <si>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</si>
  <si>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</si>
  <si>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</si>
  <si>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</si>
  <si>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</si>
  <si>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</si>
  <si>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</si>
  <si>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</si>
  <si>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</si>
  <si>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</si>
  <si>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</si>
  <si>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</si>
  <si>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</si>
  <si>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</si>
  <si>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</si>
  <si>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</si>
  <si>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</si>
  <si>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</si>
  <si>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</si>
  <si>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</si>
  <si>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</si>
  <si>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</si>
  <si>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</si>
  <si>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</si>
  <si>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</si>
  <si>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</si>
  <si>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</si>
  <si>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</si>
  <si>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</si>
  <si>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</si>
  <si>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</si>
  <si>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</si>
  <si>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</si>
  <si>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</si>
  <si>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</si>
  <si>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</si>
  <si>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</si>
  <si>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</si>
  <si>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</si>
  <si>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</si>
  <si>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</si>
  <si>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</si>
  <si>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</si>
  <si>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</si>
  <si>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</si>
  <si>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</si>
  <si>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</si>
  <si>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</si>
  <si>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</si>
  <si>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</si>
  <si>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</si>
  <si>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</si>
  <si>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</si>
  <si>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</si>
  <si>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</si>
  <si>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</si>
  <si>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</si>
  <si>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</si>
  <si>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</si>
  <si>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</si>
  <si>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</si>
  <si>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</si>
  <si>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</si>
  <si>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</si>
  <si>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</si>
  <si>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</si>
  <si>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</si>
  <si>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</si>
  <si>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</si>
  <si>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</si>
  <si>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</si>
  <si>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</si>
  <si>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</si>
  <si>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</si>
  <si>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</si>
  <si>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</si>
  <si>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</si>
  <si>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</si>
  <si>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</si>
  <si>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</si>
  <si>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</si>
  <si>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</si>
  <si>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</si>
  <si>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</si>
  <si>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</si>
  <si>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</si>
  <si>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</si>
  <si>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</si>
  <si>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</si>
  <si>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</si>
  <si>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</si>
  <si>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</si>
  <si>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</si>
  <si>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</si>
  <si>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</si>
  <si>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</si>
  <si>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</si>
  <si>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</si>
  <si>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</si>
  <si>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</si>
  <si>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</si>
  <si>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</si>
  <si>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</si>
  <si>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</si>
  <si>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</si>
  <si>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</si>
  <si>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</si>
  <si>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</si>
  <si>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</si>
  <si>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</si>
  <si>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</si>
  <si>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</si>
  <si>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</si>
  <si>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</si>
  <si>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</si>
  <si>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</si>
  <si>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</si>
  <si>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</si>
  <si>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</si>
  <si>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</si>
  <si>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</si>
  <si>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</si>
  <si>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</si>
  <si>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</si>
  <si>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</si>
  <si>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</si>
  <si>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</si>
  <si>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</si>
  <si>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</si>
  <si>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</si>
  <si>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</si>
  <si>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</si>
  <si>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</si>
  <si>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</si>
  <si>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</si>
  <si>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</si>
  <si>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</si>
  <si>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</si>
  <si>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</si>
  <si>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</si>
  <si>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</si>
  <si>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</si>
  <si>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</si>
  <si>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</si>
  <si>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</si>
  <si>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</si>
  <si>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</si>
  <si>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</si>
  <si>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</si>
  <si>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</si>
  <si>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</si>
  <si>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</si>
  <si>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</si>
  <si>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</si>
  <si>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</si>
  <si>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</si>
  <si>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</si>
  <si>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</si>
  <si>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</si>
  <si>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</si>
  <si>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</si>
  <si>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</si>
  <si>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</si>
  <si>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</si>
  <si>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</si>
  <si>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</si>
  <si>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</si>
  <si>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</si>
  <si>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</si>
  <si>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</si>
  <si>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</si>
  <si>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</si>
  <si>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</si>
  <si>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</si>
  <si>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</si>
  <si>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</si>
  <si>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</si>
  <si>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</si>
  <si>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</si>
  <si>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</si>
  <si>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</si>
  <si>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</si>
  <si>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</si>
  <si>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</si>
  <si>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</si>
  <si>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</si>
  <si>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</si>
  <si>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</si>
  <si>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</si>
  <si>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</si>
  <si>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</si>
  <si>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</si>
  <si>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</si>
  <si>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</si>
  <si>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</si>
  <si>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</si>
  <si>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</si>
  <si>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</si>
  <si>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</si>
  <si>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</si>
  <si>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</si>
  <si>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</si>
  <si>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</si>
  <si>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</si>
  <si>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</si>
  <si>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</si>
  <si>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</si>
  <si>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</si>
  <si>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</si>
  <si>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</si>
  <si>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</si>
  <si>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</si>
  <si>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</si>
  <si>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</si>
  <si>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</si>
  <si>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</si>
  <si>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</si>
  <si>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</si>
  <si>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</si>
  <si>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</si>
  <si>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</si>
  <si>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</si>
  <si>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</si>
  <si>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</si>
  <si>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</si>
  <si>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</si>
  <si>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</si>
  <si>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</si>
  <si>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</si>
  <si>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</si>
  <si>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</si>
  <si>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</si>
  <si>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</si>
  <si>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</si>
  <si>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</si>
  <si>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</si>
  <si>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</si>
  <si>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</si>
  <si>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</si>
  <si>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</si>
  <si>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</si>
  <si>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</si>
  <si>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</si>
  <si>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</si>
  <si>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</si>
  <si>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</si>
  <si>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</si>
  <si>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</si>
  <si>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</si>
  <si>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</si>
  <si>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</si>
  <si>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</si>
  <si>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</si>
  <si>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</si>
  <si>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</si>
  <si>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</si>
  <si>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</si>
  <si>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</si>
  <si>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</si>
  <si>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</si>
  <si>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</si>
  <si>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</si>
  <si>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</si>
  <si>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</si>
  <si>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</si>
  <si>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</si>
  <si>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</si>
  <si>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</si>
  <si>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</si>
  <si>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</si>
  <si>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</si>
  <si>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</si>
  <si>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</si>
  <si>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</si>
  <si>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</si>
  <si>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</si>
  <si>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</si>
  <si>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</si>
  <si>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</si>
  <si>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</si>
  <si>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</si>
  <si>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</si>
  <si>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</si>
  <si>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</si>
  <si>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</si>
  <si>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</si>
  <si>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</si>
  <si>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</si>
  <si>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</si>
  <si>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</si>
  <si>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</si>
  <si>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</si>
  <si>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</si>
  <si>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</si>
  <si>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</si>
  <si>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</si>
  <si>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</si>
  <si>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</si>
  <si>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</si>
  <si>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</si>
  <si>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</si>
  <si>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</si>
  <si>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</si>
  <si>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</si>
  <si>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</si>
  <si>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</si>
  <si>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</si>
  <si>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</si>
  <si>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</si>
  <si>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</si>
  <si>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</si>
  <si>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</si>
  <si>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</si>
  <si>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</si>
  <si>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</si>
  <si>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</si>
  <si>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</si>
  <si>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</si>
  <si>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</si>
  <si>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</si>
  <si>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</si>
  <si>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</si>
  <si>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</si>
  <si>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</si>
  <si>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</si>
  <si>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</si>
  <si>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</si>
  <si>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</si>
  <si>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</si>
  <si>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</si>
  <si>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</si>
  <si>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</si>
  <si>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</si>
  <si>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</si>
  <si>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</si>
  <si>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</si>
  <si>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</si>
  <si>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</si>
  <si>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</si>
  <si>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</si>
  <si>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</si>
  <si>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</si>
  <si>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</si>
  <si>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</si>
  <si>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</si>
  <si>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</si>
  <si>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</si>
  <si>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</si>
  <si>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</si>
  <si>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</si>
  <si>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</si>
  <si>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</si>
  <si>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</si>
  <si>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</si>
  <si>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</si>
  <si>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</si>
  <si>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</si>
  <si>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</si>
  <si>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</si>
  <si>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</si>
  <si>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</si>
  <si>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</si>
  <si>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</si>
  <si>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</si>
  <si>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</si>
  <si>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</si>
  <si>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</si>
  <si>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</si>
  <si>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</si>
  <si>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</si>
  <si>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</si>
  <si>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</si>
  <si>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</si>
  <si>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</si>
  <si>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</si>
  <si>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</si>
  <si>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</si>
  <si>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</si>
  <si>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</si>
  <si>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</si>
  <si>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</si>
  <si>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</si>
  <si>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</si>
  <si>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</si>
  <si>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</si>
  <si>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</si>
  <si>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</si>
  <si>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</si>
  <si>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</si>
  <si>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</si>
  <si>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</si>
  <si>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</si>
  <si>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</si>
  <si>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</si>
  <si>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</si>
  <si>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</si>
  <si>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</si>
  <si>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</si>
  <si>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</si>
  <si>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</si>
  <si>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</si>
  <si>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</si>
  <si>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</si>
  <si>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</si>
  <si>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</si>
  <si>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</si>
  <si>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</si>
  <si>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</si>
  <si>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</si>
  <si>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</si>
  <si>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</si>
  <si>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</si>
  <si>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</si>
  <si>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</si>
  <si>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</si>
  <si>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</si>
  <si>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</si>
  <si>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</si>
  <si>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</si>
  <si>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</si>
  <si>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</si>
  <si>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</si>
  <si>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</si>
  <si>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</si>
  <si>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</si>
  <si>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</si>
  <si>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</si>
  <si>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</si>
  <si>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</si>
  <si>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</si>
  <si>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</si>
  <si>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</si>
  <si>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</si>
  <si>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</si>
  <si>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</si>
  <si>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</si>
  <si>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</si>
  <si>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</si>
  <si>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</si>
  <si>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</si>
  <si>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</si>
  <si>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</si>
  <si>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</si>
  <si>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</si>
  <si>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</si>
  <si>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</si>
  <si>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</si>
  <si>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</si>
  <si>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</si>
  <si>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</si>
  <si>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</si>
  <si>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</si>
  <si>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</si>
  <si>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</si>
  <si>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</si>
  <si>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</si>
  <si>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</si>
  <si>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</si>
  <si>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</si>
  <si>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</si>
  <si>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</si>
  <si>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</si>
  <si>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</si>
  <si>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</si>
  <si>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</si>
  <si>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</si>
  <si>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</si>
  <si>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</si>
  <si>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</si>
  <si>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</si>
  <si>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</si>
  <si>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</si>
  <si>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</si>
  <si>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</si>
  <si>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</si>
  <si>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</si>
  <si>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</si>
  <si>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</si>
  <si>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</si>
  <si>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</si>
  <si>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</si>
  <si>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</si>
  <si>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</si>
  <si>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</si>
  <si>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</si>
  <si>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</si>
  <si>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</si>
  <si>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</si>
  <si>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</si>
  <si>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</si>
  <si>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</si>
  <si>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</si>
  <si>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</si>
  <si>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</si>
  <si>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</si>
  <si>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</si>
  <si>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</si>
  <si>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</si>
  <si>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</si>
  <si>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</si>
  <si>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</si>
  <si>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</si>
  <si>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</si>
  <si>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</si>
  <si>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</si>
  <si>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</si>
  <si>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</si>
  <si>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</si>
  <si>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</si>
  <si>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</si>
  <si>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</si>
  <si>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</si>
  <si>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</si>
  <si>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</si>
  <si>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</si>
  <si>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</si>
  <si>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</si>
  <si>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</si>
  <si>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</si>
  <si>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</si>
  <si>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</si>
  <si>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</si>
  <si>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</si>
  <si>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</si>
  <si>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</si>
  <si>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</si>
  <si>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</si>
  <si>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</si>
  <si>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</si>
  <si>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</si>
  <si>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</si>
  <si>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</si>
  <si>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</si>
  <si>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</si>
  <si>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</si>
  <si>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</si>
  <si>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</si>
  <si>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</si>
  <si>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</si>
  <si>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</si>
  <si>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</si>
  <si>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</si>
  <si>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</si>
  <si>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</si>
  <si>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</si>
  <si>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</si>
  <si>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</si>
  <si>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</si>
  <si>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</si>
  <si>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</si>
  <si>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</si>
  <si>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</si>
  <si>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</si>
  <si>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</si>
  <si>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</si>
  <si>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</si>
  <si>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</si>
  <si>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</si>
  <si>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</si>
  <si>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</si>
  <si>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</si>
  <si>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</si>
  <si>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</si>
  <si>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</si>
  <si>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</si>
  <si>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</si>
  <si>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</si>
  <si>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</si>
  <si>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</si>
  <si>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</si>
  <si>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</si>
  <si>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</si>
  <si>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</si>
  <si>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</si>
  <si>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</si>
  <si>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</si>
  <si>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</si>
  <si>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</si>
  <si>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</si>
  <si>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</si>
  <si>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</si>
  <si>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</si>
  <si>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</si>
  <si>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</si>
  <si>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</si>
  <si>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</si>
  <si>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</si>
  <si>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</si>
  <si>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</si>
  <si>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</si>
  <si>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</si>
  <si>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</si>
  <si>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</si>
  <si>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</si>
  <si>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</si>
  <si>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</si>
  <si>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</si>
  <si>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</si>
  <si>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</si>
  <si>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</si>
  <si>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</si>
  <si>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</si>
  <si>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</si>
  <si>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</si>
  <si>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</si>
  <si>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</si>
  <si>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</si>
  <si>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</si>
  <si>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</si>
  <si>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</si>
  <si>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</si>
  <si>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</si>
  <si>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</si>
  <si>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</si>
  <si>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</si>
  <si>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</si>
  <si>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</si>
  <si>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</si>
  <si>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</si>
  <si>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</si>
  <si>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</si>
  <si>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</si>
  <si>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</si>
  <si>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</si>
  <si>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</si>
  <si>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</si>
  <si>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</si>
  <si>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</si>
  <si>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</si>
  <si>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</si>
  <si>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</si>
  <si>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</si>
  <si>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</si>
  <si>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</si>
  <si>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</si>
  <si>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</si>
  <si>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</si>
  <si>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</si>
  <si>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</si>
  <si>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</si>
  <si>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</si>
  <si>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</si>
  <si>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</si>
  <si>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</si>
  <si>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</si>
  <si>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</si>
  <si>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</si>
  <si>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</si>
  <si>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</si>
  <si>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</si>
  <si>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</si>
  <si>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</si>
  <si>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</si>
  <si>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</si>
  <si>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</si>
  <si>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</si>
  <si>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</si>
  <si>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</si>
  <si>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</si>
  <si>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</si>
  <si>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</si>
  <si>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</si>
  <si>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</si>
  <si>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</si>
  <si>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</si>
  <si>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</si>
  <si>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</si>
  <si>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</si>
  <si>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</si>
  <si>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</si>
  <si>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</si>
  <si>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</si>
  <si>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</si>
  <si>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</si>
  <si>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</si>
  <si>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</si>
  <si>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</si>
  <si>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</si>
  <si>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</si>
  <si>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</si>
  <si>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</si>
  <si>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</si>
  <si>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</si>
  <si>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</si>
  <si>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</si>
  <si>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</si>
  <si>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</si>
  <si>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</si>
  <si>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</si>
  <si>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</si>
  <si>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</si>
  <si>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</si>
  <si>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</si>
  <si>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</si>
  <si>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</si>
  <si>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</si>
  <si>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</si>
  <si>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</si>
  <si>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</si>
  <si>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</si>
  <si>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</si>
  <si>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</si>
  <si>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</si>
  <si>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</si>
  <si>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</si>
  <si>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</si>
  <si>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</si>
  <si>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</si>
  <si>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</si>
  <si>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</si>
  <si>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</si>
  <si>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</si>
  <si>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</si>
  <si>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</si>
  <si>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</si>
  <si>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</si>
  <si>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</si>
  <si>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</si>
  <si>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</si>
  <si>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</si>
  <si>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</si>
  <si>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</si>
  <si>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</si>
  <si>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</si>
  <si>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</si>
  <si>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</si>
  <si>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</si>
  <si>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</si>
  <si>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</si>
  <si>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</si>
  <si>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</si>
  <si>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</si>
  <si>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</si>
  <si>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</si>
  <si>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</si>
  <si>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</si>
  <si>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</si>
  <si>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</si>
  <si>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</si>
  <si>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</si>
  <si>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</si>
  <si>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</si>
  <si>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</si>
  <si>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</si>
  <si>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</si>
  <si>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</si>
  <si>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</si>
  <si>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</si>
  <si>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</si>
  <si>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</si>
  <si>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</si>
  <si>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</si>
  <si>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</si>
  <si>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</si>
  <si>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</si>
  <si>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</si>
  <si>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</si>
  <si>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</si>
  <si>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</si>
  <si>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</si>
  <si>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</si>
  <si>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</si>
  <si>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</si>
  <si>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</si>
  <si>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</si>
  <si>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</si>
  <si>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</si>
  <si>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</si>
  <si>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</si>
  <si>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</si>
  <si>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</si>
  <si>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</si>
  <si>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</si>
  <si>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</si>
  <si>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</si>
  <si>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</si>
  <si>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</si>
  <si>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</si>
  <si>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</si>
  <si>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</si>
  <si>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</si>
  <si>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</si>
  <si>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</si>
  <si>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</si>
  <si>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</si>
  <si>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</si>
  <si>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</si>
  <si>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</si>
  <si>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</si>
  <si>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</si>
  <si>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</si>
  <si>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</si>
  <si>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</si>
  <si>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</si>
  <si>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</si>
  <si>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</si>
  <si>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</si>
  <si>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</si>
  <si>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</si>
  <si>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</si>
  <si>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</si>
  <si>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</si>
  <si>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</si>
  <si>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</si>
  <si>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</si>
  <si>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</si>
  <si>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</si>
  <si>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</si>
  <si>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</si>
  <si>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</si>
  <si>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</si>
  <si>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</si>
  <si>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</si>
  <si>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</si>
  <si>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</si>
  <si>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</si>
  <si>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</si>
  <si>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</si>
  <si>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</si>
  <si>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</si>
  <si>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</si>
  <si>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</si>
  <si>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</si>
  <si>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</si>
  <si>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</si>
  <si>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</si>
  <si>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</si>
  <si>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</si>
  <si>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</si>
  <si>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</si>
  <si>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</si>
  <si>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</si>
  <si>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</si>
  <si>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</si>
  <si>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</si>
  <si>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</si>
  <si>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</si>
  <si>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</si>
  <si>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</si>
  <si>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</si>
  <si>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</si>
  <si>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</si>
  <si>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</si>
  <si>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</si>
  <si>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</si>
  <si>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</si>
  <si>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</si>
  <si>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</si>
  <si>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</si>
  <si>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</si>
  <si>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</si>
  <si>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</si>
  <si>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</si>
  <si>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</si>
  <si>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</si>
  <si>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</si>
  <si>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</si>
  <si>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</si>
  <si>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</si>
  <si>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</si>
  <si>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</si>
  <si>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</si>
  <si>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</si>
  <si>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</si>
  <si>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</si>
  <si>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</si>
  <si>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</si>
  <si>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</si>
  <si>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</si>
  <si>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</si>
  <si>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</si>
  <si>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</si>
  <si>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</si>
  <si>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</si>
  <si>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</si>
  <si>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</si>
  <si>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</si>
  <si>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</si>
  <si>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</si>
  <si>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</si>
  <si>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</si>
  <si>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</si>
  <si>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</si>
  <si>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</si>
  <si>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</si>
  <si>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</si>
  <si>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</si>
  <si>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</si>
  <si>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</si>
  <si>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</si>
  <si>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</si>
  <si>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</si>
  <si>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</si>
  <si>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</si>
  <si>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</si>
  <si>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</si>
  <si>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</si>
  <si>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</si>
  <si>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</si>
  <si>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</si>
  <si>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</si>
  <si>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</si>
  <si>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</si>
  <si>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</si>
  <si>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</si>
  <si>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</si>
  <si>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</si>
  <si>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</si>
  <si>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</si>
  <si>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</si>
  <si>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</si>
  <si>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</si>
  <si>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</si>
  <si>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</si>
  <si>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</si>
  <si>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</si>
  <si>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</si>
  <si>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</si>
  <si>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</si>
  <si>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</si>
  <si>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</si>
  <si>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</si>
  <si>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</si>
  <si>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</si>
  <si>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</si>
  <si>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</si>
  <si>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</si>
  <si>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</si>
  <si>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</si>
  <si>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</si>
  <si>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</si>
  <si>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</si>
  <si>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</si>
  <si>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</si>
  <si>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</si>
  <si>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</si>
  <si>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</si>
  <si>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</si>
  <si>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</si>
  <si>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</si>
  <si>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</si>
  <si>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</si>
  <si>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</si>
  <si>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</si>
  <si>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</si>
  <si>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</si>
  <si>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</si>
  <si>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</si>
  <si>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</si>
  <si>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</si>
  <si>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</si>
  <si>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</si>
  <si>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</si>
  <si>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</si>
  <si>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</si>
  <si>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</si>
  <si>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</si>
  <si>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</si>
  <si>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</si>
  <si>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</si>
  <si>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</si>
  <si>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</si>
  <si>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</si>
  <si>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</si>
  <si>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</si>
  <si>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</si>
  <si>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</si>
  <si>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</si>
  <si>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</si>
  <si>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</si>
  <si>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</si>
  <si>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</si>
  <si>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</si>
  <si>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</si>
  <si>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</si>
  <si>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</si>
  <si>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</si>
  <si>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</si>
  <si>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</si>
  <si>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</si>
  <si>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</si>
  <si>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</si>
  <si>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</si>
  <si>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</si>
  <si>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</si>
  <si>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</si>
  <si>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</si>
  <si>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</si>
  <si>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</si>
  <si>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</si>
  <si>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</si>
  <si>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</si>
  <si>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</si>
  <si>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</si>
  <si>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</si>
  <si>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</si>
  <si>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</si>
  <si>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</si>
  <si>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</si>
  <si>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</si>
  <si>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</si>
  <si>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</si>
  <si>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</si>
  <si>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</si>
  <si>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</si>
  <si>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</si>
  <si>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</si>
  <si>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</si>
  <si>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</si>
  <si>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</si>
  <si>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</si>
  <si>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</si>
  <si>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</si>
  <si>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Data Cleaning</t>
  </si>
  <si>
    <t>1. No duplicates found- no data in all rows and columns is exactly identical.</t>
  </si>
  <si>
    <t>2. Found negative values in unit price column, I removed - sign.</t>
  </si>
  <si>
    <t>3. Fixed datatypes</t>
  </si>
  <si>
    <t>4. Corrected negative unit price</t>
  </si>
  <si>
    <t>5. Negative delivery times indicated invalid records where RequiredDate occurred before OrderDate. To correct these records, RequiredDate was imputed as OrderDate plus 14 days, based on the average delivery lead time calculated from valid records (14.26 days, rounded to 14 days).</t>
  </si>
  <si>
    <t>LeadTimeDays</t>
  </si>
  <si>
    <t>CorrectedLeadTimeDays</t>
  </si>
  <si>
    <t>CorrectedRequiredDate</t>
  </si>
  <si>
    <t>GrossRevenue</t>
  </si>
  <si>
    <t>CostofGoods</t>
  </si>
  <si>
    <t>GrossProfit</t>
  </si>
  <si>
    <t>MarginPct</t>
  </si>
  <si>
    <t>MonthOrderDate</t>
  </si>
  <si>
    <t>Quarter</t>
  </si>
  <si>
    <t>Priceband</t>
  </si>
  <si>
    <t>6. Created Leadtimedays column</t>
  </si>
  <si>
    <t>7. Created calculated columns; Gross revenue, costofgoods, grossprofit, marginpct</t>
  </si>
  <si>
    <t>8. standardized dimensions, month, quarter from order date</t>
  </si>
  <si>
    <t>9. Created priceband column using quantiles/percentiles.</t>
  </si>
  <si>
    <t>CountryFirstMonth</t>
  </si>
  <si>
    <t>FirstYearMonth</t>
  </si>
  <si>
    <t>MonthsSinceFirstSale</t>
  </si>
  <si>
    <t>Row Labels</t>
  </si>
  <si>
    <t>Grand Total</t>
  </si>
  <si>
    <t>2023-01</t>
  </si>
  <si>
    <t>2023-03</t>
  </si>
  <si>
    <t>Column Labels</t>
  </si>
  <si>
    <t>Sum of GrossRevenue</t>
  </si>
  <si>
    <t>CategoryTotal</t>
  </si>
  <si>
    <t>RunningRev</t>
  </si>
  <si>
    <t>CumulativePct</t>
  </si>
  <si>
    <t>ABC</t>
  </si>
  <si>
    <t>(blank)</t>
  </si>
  <si>
    <t>Count of OrderID</t>
  </si>
  <si>
    <t>Sum of GrossProfit</t>
  </si>
  <si>
    <t>Gross Revenue</t>
  </si>
  <si>
    <t>Orders</t>
  </si>
  <si>
    <t>Grossprofit</t>
  </si>
  <si>
    <t>Rev/order</t>
  </si>
  <si>
    <t>Profit/Order</t>
  </si>
  <si>
    <t>Cannibalization Analysis</t>
  </si>
  <si>
    <t>The channel mix varies considerably across regions. Direct sales are the dominant channel globally, while the Americas exhibit the strongest online presence. The revenue and order distribution patterns in the Americas suggest potential online cannibalization of retail sales, whereas Asia continues to rely heavily on retail channels with limited online substitution.</t>
  </si>
  <si>
    <t>OnTimeFlag</t>
  </si>
  <si>
    <t>Sum of OnTimeFlag</t>
  </si>
  <si>
    <t>% Meeting Target</t>
  </si>
  <si>
    <t>HighDiscPct</t>
  </si>
  <si>
    <t>Sum of HighDiscPct</t>
  </si>
  <si>
    <t>The strongest evidence of potential online cannibalization is observed in the Americas region.</t>
  </si>
  <si>
    <t>Online contributed 25.75% of revenue, significantly above the global average of 19.60%.</t>
  </si>
  <si>
    <t>Online generated 19.23% of orders, while Retail generated only 14.74% of orders.</t>
  </si>
  <si>
    <t>Retail contributed just 11.30% of revenue, the lowest channel revenue share in the region.</t>
  </si>
  <si>
    <t xml:space="preserve">These findings suggest that customers in the Americas may be shifting purchases from Retail to Online channels.  </t>
  </si>
  <si>
    <t>While the available data cannot conclusively prove customer migration, the combination of strong onlineperformance and weak retail performance provides evidence consistent with potential retail channel cannibalization.</t>
  </si>
  <si>
    <r>
      <t>In contrast, Asia shows the opposite pattern. Retail generated the highest revenue share (</t>
    </r>
    <r>
      <rPr>
        <b/>
        <sz val="11"/>
        <color theme="1"/>
        <rFont val="Calibri"/>
        <family val="2"/>
        <scheme val="minor"/>
      </rPr>
      <t>24.75%</t>
    </r>
    <r>
      <rPr>
        <sz val="11"/>
        <color theme="1"/>
        <rFont val="Calibri"/>
        <family val="2"/>
        <scheme val="minor"/>
      </rPr>
      <t xml:space="preserve">) while Online generated only </t>
    </r>
    <r>
      <rPr>
        <b/>
        <sz val="11"/>
        <color theme="1"/>
        <rFont val="Calibri"/>
        <family val="2"/>
        <scheme val="minor"/>
      </rPr>
      <t>14.77%</t>
    </r>
    <r>
      <rPr>
        <sz val="11"/>
        <color theme="1"/>
        <rFont val="Calibri"/>
        <family val="2"/>
        <scheme val="minor"/>
      </rPr>
      <t>, indicating that retail remains the preferred purchasing channel and there is little evidence of online cannibalization.</t>
    </r>
  </si>
  <si>
    <t>Percentage of high discount orders</t>
  </si>
  <si>
    <t>Share</t>
  </si>
  <si>
    <t>Parameter</t>
  </si>
  <si>
    <t>Value</t>
  </si>
  <si>
    <t>Discount Cap</t>
  </si>
  <si>
    <t>Cost Inflation</t>
  </si>
  <si>
    <t>Quantity Uplift</t>
  </si>
  <si>
    <t>ScenarioDiscPct</t>
  </si>
  <si>
    <t>ScenarioQuanity</t>
  </si>
  <si>
    <t>ScenarioUnitCost</t>
  </si>
  <si>
    <t>ScenarioRev</t>
  </si>
  <si>
    <t>ScenarioCostOfGoods</t>
  </si>
  <si>
    <t>ScenarioProfit</t>
  </si>
  <si>
    <t>Metric</t>
  </si>
  <si>
    <t xml:space="preserve">Baseline </t>
  </si>
  <si>
    <t>Scenario</t>
  </si>
  <si>
    <t>Revenue</t>
  </si>
  <si>
    <t>Profit</t>
  </si>
  <si>
    <t>Margin %</t>
  </si>
  <si>
    <t>Jan</t>
  </si>
  <si>
    <t>Feb</t>
  </si>
  <si>
    <t>Mar</t>
  </si>
  <si>
    <t>Apr</t>
  </si>
  <si>
    <t>May</t>
  </si>
  <si>
    <t>Jun</t>
  </si>
  <si>
    <t>Jul</t>
  </si>
  <si>
    <t>Aug</t>
  </si>
  <si>
    <t>Sep</t>
  </si>
  <si>
    <t>Oct</t>
  </si>
  <si>
    <t>Nov</t>
  </si>
  <si>
    <t>Dec</t>
  </si>
  <si>
    <t>AverageOrderValue</t>
  </si>
  <si>
    <t>Average of OnTimeFlag</t>
  </si>
  <si>
    <t>Insights</t>
  </si>
  <si>
    <t>1. Revenue exceeded KSh 10.9 million with healthy profitability</t>
  </si>
  <si>
    <t>2. Average order value indicates strong transaction sizes</t>
  </si>
  <si>
    <t>3. Delivery performance is a major operational concern</t>
  </si>
  <si>
    <t>4. Revenue peaked during the middle of the year</t>
  </si>
  <si>
    <t>5. Europe is the most profitable region</t>
  </si>
  <si>
    <t>6. The Americas show signs of online channel cannibalization</t>
  </si>
  <si>
    <t>7. Revenue is highly concentrated among a small number of SKUs</t>
  </si>
  <si>
    <t>8. Discounting practices vary significantly across salespeople</t>
  </si>
  <si>
    <t>The business generated KSh 10.93M in revenue and KSh 3.40M in gross profit, resulting in a 31% profit margin. This indicates that the company is maintaining solid profitability while achieving substantial sales volume.</t>
  </si>
  <si>
    <t>The Average Order Value (AOV) of KSh 17,292 suggests that customers typically purchase multiple products or higher-value electronics, contributing significantly to overall revenue growth.</t>
  </si>
  <si>
    <t>Only 22% of orders met the 7-day delivery target, indicating significant fulfillment and logistics challenges. This low on-time rate may negatively impact customer satisfaction and repeat business if not addressed.</t>
  </si>
  <si>
    <t>Monthly revenue increased steadily from January and reached its highest levels between May and July, before declining sharply from August onward. This suggests a seasonal sales pattern that management can leverage for inventory and marketing planning.</t>
  </si>
  <si>
    <t>Europe generated approximately KSh 869,836 in profit, the highest among all regions, followed by the Americas. This indicates strong market performance and profitability in Europe and may justify additional investment and expansion efforts in the region.</t>
  </si>
  <si>
    <t>Analysis of channel revenue and order shares revealed that the Online channel contributes 25.75% of revenue in the Americas while Retail contributes only 11.30%. This pattern suggests customers may be shifting purchases from physical retail stores to online channels, resulting in potential retail channel cannibalization.</t>
  </si>
  <si>
    <t>The top-performing SKU (CMP-8851) generated approximately KSh 139,278, significantly outperforming most other products. Combined with the ABC analysis, this indicates that a relatively small group of SKUs contributes a disproportionate share of total revenue, highlighting the importance of maintaining inventory availability for top-performing products.</t>
  </si>
  <si>
    <t>Several salespeople, including A. Patel and C. Johnson, recorded the highest discount levels. This warrants further investigation to determine whether these discounts are driving additional revenue and profit or unnecessarily reducing margins. Comparing discount rates against Gross Profit per Order would provide additional insight into discount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</si>
</sst>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2" fontId="0" fillId="0" borderId="0" xfId="0" applyNumberFormat="1"/>
    <xf numFmtId="1" fontId="0" fillId="0" borderId="0" xfId="0" applyNumberFormat="1"/>
    <xf numFmtId="165" fontId="0" fillId="0" borderId="0" xfId="1" applyNumberFormat="1" applyFon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2" fontId="1" fillId="0" borderId="2" xfId="0" applyNumberFormat="1" applyFont="1" applyBorder="1" applyAlignment="1">
      <alignment horizontal="center" vertical="top"/>
    </xf>
    <xf numFmtId="165" fontId="1" fillId="0" borderId="2" xfId="1" applyNumberFormat="1" applyFont="1" applyBorder="1" applyAlignment="1">
      <alignment horizontal="center" vertical="top"/>
    </xf>
    <xf numFmtId="1"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2" fontId="1" fillId="0" borderId="0" xfId="0" applyNumberFormat="1" applyFont="1"/>
    <xf numFmtId="10" fontId="0" fillId="0" borderId="0" xfId="0" applyNumberFormat="1"/>
    <xf numFmtId="9" fontId="0" fillId="0" borderId="0" xfId="1" applyFont="1"/>
    <xf numFmtId="165" fontId="0" fillId="0" borderId="0" xfId="0" applyNumberFormat="1"/>
    <xf numFmtId="9" fontId="1" fillId="0" borderId="0" xfId="1" applyFont="1"/>
    <xf numFmtId="9" fontId="0" fillId="0" borderId="0" xfId="0" applyNumberFormat="1"/>
    <xf numFmtId="0" fontId="0" fillId="2" borderId="0" xfId="0" applyFill="1"/>
    <xf numFmtId="0" fontId="0" fillId="3" borderId="0" xfId="0" applyFill="1"/>
  </cellXfs>
  <cellStyles count="2">
    <cellStyle name="Normal" xfId="0" builtinId="0"/>
    <cellStyle name="Percent" xfId="1" builtinId="5"/>
  </cellStyles>
  <dxfs count="59">
    <dxf>
      <numFmt numFmtId="13" formatCode="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numFmt numFmtId="1" formatCode="0"/>
    </dxf>
    <dxf>
      <numFmt numFmtId="1" formatCode="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font>
        <b val="0"/>
        <i val="0"/>
        <strike val="0"/>
        <condense val="0"/>
        <extend val="0"/>
        <outline val="0"/>
        <shadow val="0"/>
        <u val="none"/>
        <vertAlign val="baseline"/>
        <sz val="11"/>
        <color theme="1"/>
        <name val="Calibri"/>
        <family val="2"/>
        <scheme val="minor"/>
      </font>
      <numFmt numFmtId="165" formatCode="0.000"/>
    </dxf>
    <dxf>
      <numFmt numFmtId="2" formatCode="0.00"/>
    </dxf>
    <dxf>
      <numFmt numFmtId="2" formatCode="0.00"/>
    </dxf>
    <dxf>
      <font>
        <b/>
        <i val="0"/>
        <strike val="0"/>
        <condense val="0"/>
        <extend val="0"/>
        <outline val="0"/>
        <shadow val="0"/>
        <u val="none"/>
        <vertAlign val="baseline"/>
        <sz val="11"/>
        <color theme="1"/>
        <name val="Calibri"/>
        <family val="2"/>
        <scheme val="minor"/>
      </font>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19" formatCode="m/d/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19" formatCode="m/d/yyyy"/>
    </dxf>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
      <border outline="0">
        <top style="thin">
          <color auto="1"/>
        </top>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scheme val="minor"/>
      </font>
      <numFmt numFmtId="165" formatCode="0.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1"/>
              </a:solidFill>
              <a:round/>
            </a:ln>
            <a:effectLst/>
          </c:spPr>
          <c:marker>
            <c:symbol val="none"/>
          </c:marker>
          <c:cat>
            <c:strRef>
              <c:f>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PivotTables!$B$4:$B$16</c:f>
              <c:numCache>
                <c:formatCode>0.00</c:formatCode>
                <c:ptCount val="12"/>
                <c:pt idx="0">
                  <c:v>701241.31054999994</c:v>
                </c:pt>
                <c:pt idx="1">
                  <c:v>963190.85297999997</c:v>
                </c:pt>
                <c:pt idx="2">
                  <c:v>798978.30495000014</c:v>
                </c:pt>
                <c:pt idx="3">
                  <c:v>947246.57738000015</c:v>
                </c:pt>
                <c:pt idx="4">
                  <c:v>1262173.9173499998</c:v>
                </c:pt>
                <c:pt idx="5">
                  <c:v>1252974.1609099999</c:v>
                </c:pt>
                <c:pt idx="6">
                  <c:v>1313062.2995499999</c:v>
                </c:pt>
                <c:pt idx="7">
                  <c:v>1089608.8125499997</c:v>
                </c:pt>
                <c:pt idx="8">
                  <c:v>661159.42946000001</c:v>
                </c:pt>
                <c:pt idx="9">
                  <c:v>658776.05551000021</c:v>
                </c:pt>
                <c:pt idx="10">
                  <c:v>543953.69134999998</c:v>
                </c:pt>
                <c:pt idx="11">
                  <c:v>736480.3039600004</c:v>
                </c:pt>
              </c:numCache>
            </c:numRef>
          </c:val>
          <c:smooth val="0"/>
          <c:extLst>
            <c:ext xmlns:c16="http://schemas.microsoft.com/office/drawing/2014/chart" uri="{C3380CC4-5D6E-409C-BE32-E72D297353CC}">
              <c16:uniqueId val="{00000000-A394-4588-A1DF-958E6D1A1A54}"/>
            </c:ext>
          </c:extLst>
        </c:ser>
        <c:dLbls>
          <c:showLegendKey val="0"/>
          <c:showVal val="0"/>
          <c:showCatName val="0"/>
          <c:showSerName val="0"/>
          <c:showPercent val="0"/>
          <c:showBubbleSize val="0"/>
        </c:dLbls>
        <c:smooth val="0"/>
        <c:axId val="1802777519"/>
        <c:axId val="1802785679"/>
      </c:lineChart>
      <c:catAx>
        <c:axId val="18027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85679"/>
        <c:crosses val="autoZero"/>
        <c:auto val="1"/>
        <c:lblAlgn val="ctr"/>
        <c:lblOffset val="100"/>
        <c:noMultiLvlLbl val="0"/>
      </c:catAx>
      <c:valAx>
        <c:axId val="1802785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PivotTables!$B$25</c:f>
              <c:strCache>
                <c:ptCount val="1"/>
                <c:pt idx="0">
                  <c:v>Total</c:v>
                </c:pt>
              </c:strCache>
            </c:strRef>
          </c:tx>
          <c:spPr>
            <a:solidFill>
              <a:schemeClr val="accent1"/>
            </a:solidFill>
            <a:ln>
              <a:noFill/>
            </a:ln>
            <a:effectLst/>
          </c:spPr>
          <c:invertIfNegative val="0"/>
          <c:cat>
            <c:strRef>
              <c:f>PivotTables!$A$26:$A$30</c:f>
              <c:strCache>
                <c:ptCount val="4"/>
                <c:pt idx="0">
                  <c:v>Africa</c:v>
                </c:pt>
                <c:pt idx="1">
                  <c:v>Americas</c:v>
                </c:pt>
                <c:pt idx="2">
                  <c:v>Asia</c:v>
                </c:pt>
                <c:pt idx="3">
                  <c:v>Europe</c:v>
                </c:pt>
              </c:strCache>
            </c:strRef>
          </c:cat>
          <c:val>
            <c:numRef>
              <c:f>PivotTables!$B$26:$B$30</c:f>
              <c:numCache>
                <c:formatCode>0.00</c:formatCode>
                <c:ptCount val="4"/>
                <c:pt idx="0">
                  <c:v>837663.85149999976</c:v>
                </c:pt>
                <c:pt idx="1">
                  <c:v>862340.77133999951</c:v>
                </c:pt>
                <c:pt idx="2">
                  <c:v>831257.72765000002</c:v>
                </c:pt>
                <c:pt idx="3">
                  <c:v>869835.65601000004</c:v>
                </c:pt>
              </c:numCache>
            </c:numRef>
          </c:val>
          <c:extLst>
            <c:ext xmlns:c16="http://schemas.microsoft.com/office/drawing/2014/chart" uri="{C3380CC4-5D6E-409C-BE32-E72D297353CC}">
              <c16:uniqueId val="{00000000-5AC9-4E3C-A595-5F3A4A0602EB}"/>
            </c:ext>
          </c:extLst>
        </c:ser>
        <c:dLbls>
          <c:showLegendKey val="0"/>
          <c:showVal val="0"/>
          <c:showCatName val="0"/>
          <c:showSerName val="0"/>
          <c:showPercent val="0"/>
          <c:showBubbleSize val="0"/>
        </c:dLbls>
        <c:gapWidth val="150"/>
        <c:overlap val="100"/>
        <c:axId val="1802805359"/>
        <c:axId val="1802799599"/>
      </c:barChart>
      <c:catAx>
        <c:axId val="18028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99599"/>
        <c:crosses val="autoZero"/>
        <c:auto val="1"/>
        <c:lblAlgn val="ctr"/>
        <c:lblOffset val="100"/>
        <c:noMultiLvlLbl val="0"/>
      </c:catAx>
      <c:valAx>
        <c:axId val="1802799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PivotTables!$B$43</c:f>
              <c:strCache>
                <c:ptCount val="1"/>
                <c:pt idx="0">
                  <c:v>Total</c:v>
                </c:pt>
              </c:strCache>
            </c:strRef>
          </c:tx>
          <c:spPr>
            <a:solidFill>
              <a:schemeClr val="accent1"/>
            </a:solidFill>
            <a:ln>
              <a:noFill/>
            </a:ln>
            <a:effectLst/>
          </c:spPr>
          <c:invertIfNegative val="0"/>
          <c:cat>
            <c:strRef>
              <c:f>PivotTables!$A$44:$A$54</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PivotTables!$B$44:$B$54</c:f>
              <c:numCache>
                <c:formatCode>0.00</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36DC-4EBF-BD84-8B78A8DA1424}"/>
            </c:ext>
          </c:extLst>
        </c:ser>
        <c:dLbls>
          <c:showLegendKey val="0"/>
          <c:showVal val="0"/>
          <c:showCatName val="0"/>
          <c:showSerName val="0"/>
          <c:showPercent val="0"/>
          <c:showBubbleSize val="0"/>
        </c:dLbls>
        <c:gapWidth val="182"/>
        <c:axId val="1802822639"/>
        <c:axId val="1802815439"/>
      </c:barChart>
      <c:catAx>
        <c:axId val="180282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15439"/>
        <c:crosses val="autoZero"/>
        <c:auto val="1"/>
        <c:lblAlgn val="ctr"/>
        <c:lblOffset val="100"/>
        <c:noMultiLvlLbl val="0"/>
      </c:catAx>
      <c:valAx>
        <c:axId val="1802815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2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PivotTables!$B$62</c:f>
              <c:strCache>
                <c:ptCount val="1"/>
                <c:pt idx="0">
                  <c:v>Total</c:v>
                </c:pt>
              </c:strCache>
            </c:strRef>
          </c:tx>
          <c:spPr>
            <a:solidFill>
              <a:schemeClr val="accent1"/>
            </a:solidFill>
            <a:ln>
              <a:noFill/>
            </a:ln>
            <a:effectLst/>
          </c:spPr>
          <c:invertIfNegative val="0"/>
          <c:cat>
            <c:strRef>
              <c:f>PivotTables!$A$63:$A$79</c:f>
              <c:strCache>
                <c:ptCount val="16"/>
                <c:pt idx="0">
                  <c:v>(blank)</c:v>
                </c:pt>
                <c:pt idx="1">
                  <c:v>E. Garcia</c:v>
                </c:pt>
                <c:pt idx="2">
                  <c:v>G. Dubois</c:v>
                </c:pt>
                <c:pt idx="3">
                  <c:v>H. Kim</c:v>
                </c:pt>
                <c:pt idx="4">
                  <c:v>F. Müller</c:v>
                </c:pt>
                <c:pt idx="5">
                  <c:v>K. Singh</c:v>
                </c:pt>
                <c:pt idx="6">
                  <c:v>O. Wang</c:v>
                </c:pt>
                <c:pt idx="7">
                  <c:v>B. Chen</c:v>
                </c:pt>
                <c:pt idx="8">
                  <c:v>N. Brown</c:v>
                </c:pt>
                <c:pt idx="9">
                  <c:v>J. Njeri</c:v>
                </c:pt>
                <c:pt idx="10">
                  <c:v>M. Rossi</c:v>
                </c:pt>
                <c:pt idx="11">
                  <c:v>L. Okafor</c:v>
                </c:pt>
                <c:pt idx="12">
                  <c:v>D. Smith</c:v>
                </c:pt>
                <c:pt idx="13">
                  <c:v>C. Otieno</c:v>
                </c:pt>
                <c:pt idx="14">
                  <c:v>I. Johnson</c:v>
                </c:pt>
                <c:pt idx="15">
                  <c:v>A. Patel</c:v>
                </c:pt>
              </c:strCache>
            </c:strRef>
          </c:cat>
          <c:val>
            <c:numRef>
              <c:f>PivotTables!$B$63:$B$79</c:f>
              <c:numCache>
                <c:formatCode>0.000</c:formatCode>
                <c:ptCount val="16"/>
                <c:pt idx="0">
                  <c:v>2</c:v>
                </c:pt>
                <c:pt idx="1">
                  <c:v>3</c:v>
                </c:pt>
                <c:pt idx="2">
                  <c:v>3</c:v>
                </c:pt>
                <c:pt idx="3">
                  <c:v>4</c:v>
                </c:pt>
                <c:pt idx="4">
                  <c:v>4</c:v>
                </c:pt>
                <c:pt idx="5">
                  <c:v>4</c:v>
                </c:pt>
                <c:pt idx="6">
                  <c:v>4</c:v>
                </c:pt>
                <c:pt idx="7">
                  <c:v>5</c:v>
                </c:pt>
                <c:pt idx="8">
                  <c:v>5</c:v>
                </c:pt>
                <c:pt idx="9">
                  <c:v>6</c:v>
                </c:pt>
                <c:pt idx="10">
                  <c:v>8</c:v>
                </c:pt>
                <c:pt idx="11">
                  <c:v>8</c:v>
                </c:pt>
                <c:pt idx="12">
                  <c:v>8</c:v>
                </c:pt>
                <c:pt idx="13">
                  <c:v>8</c:v>
                </c:pt>
                <c:pt idx="14">
                  <c:v>9</c:v>
                </c:pt>
                <c:pt idx="15">
                  <c:v>9</c:v>
                </c:pt>
              </c:numCache>
            </c:numRef>
          </c:val>
          <c:extLst>
            <c:ext xmlns:c16="http://schemas.microsoft.com/office/drawing/2014/chart" uri="{C3380CC4-5D6E-409C-BE32-E72D297353CC}">
              <c16:uniqueId val="{00000000-C757-43CB-9A01-8FA7AF5477F5}"/>
            </c:ext>
          </c:extLst>
        </c:ser>
        <c:dLbls>
          <c:showLegendKey val="0"/>
          <c:showVal val="0"/>
          <c:showCatName val="0"/>
          <c:showSerName val="0"/>
          <c:showPercent val="0"/>
          <c:showBubbleSize val="0"/>
        </c:dLbls>
        <c:gapWidth val="182"/>
        <c:axId val="1802822159"/>
        <c:axId val="1802809679"/>
      </c:barChart>
      <c:catAx>
        <c:axId val="180282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09679"/>
        <c:crosses val="autoZero"/>
        <c:auto val="1"/>
        <c:lblAlgn val="ctr"/>
        <c:lblOffset val="100"/>
        <c:noMultiLvlLbl val="0"/>
      </c:catAx>
      <c:valAx>
        <c:axId val="180280967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2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1"/>
              </a:solidFill>
              <a:round/>
            </a:ln>
            <a:effectLst/>
          </c:spPr>
          <c:marker>
            <c:symbol val="none"/>
          </c:marker>
          <c:cat>
            <c:strRef>
              <c:f>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PivotTables!$B$4:$B$16</c:f>
              <c:numCache>
                <c:formatCode>0.00</c:formatCode>
                <c:ptCount val="12"/>
                <c:pt idx="0">
                  <c:v>701241.31054999994</c:v>
                </c:pt>
                <c:pt idx="1">
                  <c:v>963190.85297999997</c:v>
                </c:pt>
                <c:pt idx="2">
                  <c:v>798978.30495000014</c:v>
                </c:pt>
                <c:pt idx="3">
                  <c:v>947246.57738000015</c:v>
                </c:pt>
                <c:pt idx="4">
                  <c:v>1262173.9173499998</c:v>
                </c:pt>
                <c:pt idx="5">
                  <c:v>1252974.1609099999</c:v>
                </c:pt>
                <c:pt idx="6">
                  <c:v>1313062.2995499999</c:v>
                </c:pt>
                <c:pt idx="7">
                  <c:v>1089608.8125499997</c:v>
                </c:pt>
                <c:pt idx="8">
                  <c:v>661159.42946000001</c:v>
                </c:pt>
                <c:pt idx="9">
                  <c:v>658776.05551000021</c:v>
                </c:pt>
                <c:pt idx="10">
                  <c:v>543953.69134999998</c:v>
                </c:pt>
                <c:pt idx="11">
                  <c:v>736480.3039600004</c:v>
                </c:pt>
              </c:numCache>
            </c:numRef>
          </c:val>
          <c:smooth val="0"/>
          <c:extLst>
            <c:ext xmlns:c16="http://schemas.microsoft.com/office/drawing/2014/chart" uri="{C3380CC4-5D6E-409C-BE32-E72D297353CC}">
              <c16:uniqueId val="{00000000-316D-47EF-A01B-D7F7BA20D916}"/>
            </c:ext>
          </c:extLst>
        </c:ser>
        <c:dLbls>
          <c:showLegendKey val="0"/>
          <c:showVal val="0"/>
          <c:showCatName val="0"/>
          <c:showSerName val="0"/>
          <c:showPercent val="0"/>
          <c:showBubbleSize val="0"/>
        </c:dLbls>
        <c:smooth val="0"/>
        <c:axId val="1802777519"/>
        <c:axId val="1802785679"/>
      </c:lineChart>
      <c:catAx>
        <c:axId val="18027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85679"/>
        <c:crosses val="autoZero"/>
        <c:auto val="1"/>
        <c:lblAlgn val="ctr"/>
        <c:lblOffset val="100"/>
        <c:noMultiLvlLbl val="0"/>
      </c:catAx>
      <c:valAx>
        <c:axId val="1802785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7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31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005500550055512E-3"/>
              <c:y val="-0.333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005500550055009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001100110010899E-2"/>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PivotTables!$B$25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A96-4FD5-80F9-A3B6B850165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9A96-4FD5-80F9-A3B6B850165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9A96-4FD5-80F9-A3B6B850165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9A96-4FD5-80F9-A3B6B8501650}"/>
              </c:ext>
            </c:extLst>
          </c:dPt>
          <c:dLbls>
            <c:dLbl>
              <c:idx val="0"/>
              <c:layout>
                <c:manualLayout>
                  <c:x val="0"/>
                  <c:y val="-0.231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96-4FD5-80F9-A3B6B8501650}"/>
                </c:ext>
              </c:extLst>
            </c:dLbl>
            <c:dLbl>
              <c:idx val="1"/>
              <c:layout>
                <c:manualLayout>
                  <c:x val="-5.5005500550055512E-3"/>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96-4FD5-80F9-A3B6B8501650}"/>
                </c:ext>
              </c:extLst>
            </c:dLbl>
            <c:dLbl>
              <c:idx val="2"/>
              <c:layout>
                <c:manualLayout>
                  <c:x val="5.5005500550055009E-3"/>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96-4FD5-80F9-A3B6B8501650}"/>
                </c:ext>
              </c:extLst>
            </c:dLbl>
            <c:dLbl>
              <c:idx val="3"/>
              <c:layout>
                <c:manualLayout>
                  <c:x val="-1.1001100110010899E-2"/>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96-4FD5-80F9-A3B6B85016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PivotTables!$A$26:$A$30</c:f>
              <c:strCache>
                <c:ptCount val="4"/>
                <c:pt idx="0">
                  <c:v>Africa</c:v>
                </c:pt>
                <c:pt idx="1">
                  <c:v>Americas</c:v>
                </c:pt>
                <c:pt idx="2">
                  <c:v>Asia</c:v>
                </c:pt>
                <c:pt idx="3">
                  <c:v>Europe</c:v>
                </c:pt>
              </c:strCache>
            </c:strRef>
          </c:cat>
          <c:val>
            <c:numRef>
              <c:f>PivotTables!$B$26:$B$30</c:f>
              <c:numCache>
                <c:formatCode>0.00</c:formatCode>
                <c:ptCount val="4"/>
                <c:pt idx="0">
                  <c:v>837663.85149999976</c:v>
                </c:pt>
                <c:pt idx="1">
                  <c:v>862340.77133999951</c:v>
                </c:pt>
                <c:pt idx="2">
                  <c:v>831257.72765000002</c:v>
                </c:pt>
                <c:pt idx="3">
                  <c:v>869835.65601000004</c:v>
                </c:pt>
              </c:numCache>
            </c:numRef>
          </c:val>
          <c:extLst>
            <c:ext xmlns:c16="http://schemas.microsoft.com/office/drawing/2014/chart" uri="{C3380CC4-5D6E-409C-BE32-E72D297353CC}">
              <c16:uniqueId val="{00000000-9A96-4FD5-80F9-A3B6B8501650}"/>
            </c:ext>
          </c:extLst>
        </c:ser>
        <c:dLbls>
          <c:showLegendKey val="0"/>
          <c:showVal val="1"/>
          <c:showCatName val="0"/>
          <c:showSerName val="0"/>
          <c:showPercent val="0"/>
          <c:showBubbleSize val="0"/>
        </c:dLbls>
        <c:gapWidth val="150"/>
        <c:overlap val="100"/>
        <c:axId val="1802805359"/>
        <c:axId val="1802799599"/>
      </c:barChart>
      <c:catAx>
        <c:axId val="1802805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99599"/>
        <c:crosses val="autoZero"/>
        <c:auto val="1"/>
        <c:lblAlgn val="ctr"/>
        <c:lblOffset val="100"/>
        <c:noMultiLvlLbl val="0"/>
      </c:catAx>
      <c:valAx>
        <c:axId val="1802799599"/>
        <c:scaling>
          <c:orientation val="minMax"/>
        </c:scaling>
        <c:delete val="1"/>
        <c:axPos val="l"/>
        <c:numFmt formatCode="0.00" sourceLinked="1"/>
        <c:majorTickMark val="out"/>
        <c:minorTickMark val="none"/>
        <c:tickLblPos val="nextTo"/>
        <c:crossAx val="180280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PivotTables!$A$44:$A$54</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PivotTables!$B$44:$B$54</c:f>
              <c:numCache>
                <c:formatCode>0.00</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A3D9-4881-B4B1-4D6C1B2617D6}"/>
            </c:ext>
          </c:extLst>
        </c:ser>
        <c:dLbls>
          <c:dLblPos val="outEnd"/>
          <c:showLegendKey val="0"/>
          <c:showVal val="1"/>
          <c:showCatName val="0"/>
          <c:showSerName val="0"/>
          <c:showPercent val="0"/>
          <c:showBubbleSize val="0"/>
        </c:dLbls>
        <c:gapWidth val="182"/>
        <c:axId val="1802822639"/>
        <c:axId val="1802815439"/>
      </c:barChart>
      <c:catAx>
        <c:axId val="180282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15439"/>
        <c:crosses val="autoZero"/>
        <c:auto val="1"/>
        <c:lblAlgn val="ctr"/>
        <c:lblOffset val="100"/>
        <c:noMultiLvlLbl val="0"/>
      </c:catAx>
      <c:valAx>
        <c:axId val="1802815439"/>
        <c:scaling>
          <c:orientation val="minMax"/>
        </c:scaling>
        <c:delete val="1"/>
        <c:axPos val="b"/>
        <c:numFmt formatCode="0.00" sourceLinked="1"/>
        <c:majorTickMark val="none"/>
        <c:minorTickMark val="none"/>
        <c:tickLblPos val="nextTo"/>
        <c:crossAx val="18028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Assignment Complete.xlsx]PivotTables!PivotTable14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Salespersons with Highest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PivotTables!$A$63:$A$79</c:f>
              <c:strCache>
                <c:ptCount val="16"/>
                <c:pt idx="0">
                  <c:v>(blank)</c:v>
                </c:pt>
                <c:pt idx="1">
                  <c:v>E. Garcia</c:v>
                </c:pt>
                <c:pt idx="2">
                  <c:v>G. Dubois</c:v>
                </c:pt>
                <c:pt idx="3">
                  <c:v>H. Kim</c:v>
                </c:pt>
                <c:pt idx="4">
                  <c:v>F. Müller</c:v>
                </c:pt>
                <c:pt idx="5">
                  <c:v>K. Singh</c:v>
                </c:pt>
                <c:pt idx="6">
                  <c:v>O. Wang</c:v>
                </c:pt>
                <c:pt idx="7">
                  <c:v>B. Chen</c:v>
                </c:pt>
                <c:pt idx="8">
                  <c:v>N. Brown</c:v>
                </c:pt>
                <c:pt idx="9">
                  <c:v>J. Njeri</c:v>
                </c:pt>
                <c:pt idx="10">
                  <c:v>M. Rossi</c:v>
                </c:pt>
                <c:pt idx="11">
                  <c:v>L. Okafor</c:v>
                </c:pt>
                <c:pt idx="12">
                  <c:v>D. Smith</c:v>
                </c:pt>
                <c:pt idx="13">
                  <c:v>C. Otieno</c:v>
                </c:pt>
                <c:pt idx="14">
                  <c:v>I. Johnson</c:v>
                </c:pt>
                <c:pt idx="15">
                  <c:v>A. Patel</c:v>
                </c:pt>
              </c:strCache>
            </c:strRef>
          </c:cat>
          <c:val>
            <c:numRef>
              <c:f>PivotTables!$B$63:$B$79</c:f>
              <c:numCache>
                <c:formatCode>0.000</c:formatCode>
                <c:ptCount val="16"/>
                <c:pt idx="0">
                  <c:v>2</c:v>
                </c:pt>
                <c:pt idx="1">
                  <c:v>3</c:v>
                </c:pt>
                <c:pt idx="2">
                  <c:v>3</c:v>
                </c:pt>
                <c:pt idx="3">
                  <c:v>4</c:v>
                </c:pt>
                <c:pt idx="4">
                  <c:v>4</c:v>
                </c:pt>
                <c:pt idx="5">
                  <c:v>4</c:v>
                </c:pt>
                <c:pt idx="6">
                  <c:v>4</c:v>
                </c:pt>
                <c:pt idx="7">
                  <c:v>5</c:v>
                </c:pt>
                <c:pt idx="8">
                  <c:v>5</c:v>
                </c:pt>
                <c:pt idx="9">
                  <c:v>6</c:v>
                </c:pt>
                <c:pt idx="10">
                  <c:v>8</c:v>
                </c:pt>
                <c:pt idx="11">
                  <c:v>8</c:v>
                </c:pt>
                <c:pt idx="12">
                  <c:v>8</c:v>
                </c:pt>
                <c:pt idx="13">
                  <c:v>8</c:v>
                </c:pt>
                <c:pt idx="14">
                  <c:v>9</c:v>
                </c:pt>
                <c:pt idx="15">
                  <c:v>9</c:v>
                </c:pt>
              </c:numCache>
            </c:numRef>
          </c:val>
          <c:extLst>
            <c:ext xmlns:c16="http://schemas.microsoft.com/office/drawing/2014/chart" uri="{C3380CC4-5D6E-409C-BE32-E72D297353CC}">
              <c16:uniqueId val="{00000000-AF09-4D0D-9C5C-27E277B5B907}"/>
            </c:ext>
          </c:extLst>
        </c:ser>
        <c:dLbls>
          <c:dLblPos val="outEnd"/>
          <c:showLegendKey val="0"/>
          <c:showVal val="1"/>
          <c:showCatName val="0"/>
          <c:showSerName val="0"/>
          <c:showPercent val="0"/>
          <c:showBubbleSize val="0"/>
        </c:dLbls>
        <c:gapWidth val="182"/>
        <c:axId val="1802822159"/>
        <c:axId val="1802809679"/>
      </c:barChart>
      <c:catAx>
        <c:axId val="180282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09679"/>
        <c:crosses val="autoZero"/>
        <c:auto val="1"/>
        <c:lblAlgn val="ctr"/>
        <c:lblOffset val="100"/>
        <c:noMultiLvlLbl val="0"/>
      </c:catAx>
      <c:valAx>
        <c:axId val="1802809679"/>
        <c:scaling>
          <c:orientation val="minMax"/>
        </c:scaling>
        <c:delete val="1"/>
        <c:axPos val="b"/>
        <c:numFmt formatCode="0.000" sourceLinked="1"/>
        <c:majorTickMark val="none"/>
        <c:minorTickMark val="none"/>
        <c:tickLblPos val="nextTo"/>
        <c:crossAx val="180282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12</xdr:col>
      <xdr:colOff>91440</xdr:colOff>
      <xdr:row>1</xdr:row>
      <xdr:rowOff>30481</xdr:rowOff>
    </xdr:from>
    <xdr:to>
      <xdr:col>15</xdr:col>
      <xdr:colOff>91440</xdr:colOff>
      <xdr:row>10</xdr:row>
      <xdr:rowOff>7621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D54841F-B6DE-6CE2-AC0C-5EF9B8E974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76360" y="213361"/>
              <a:ext cx="182880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403860</xdr:colOff>
      <xdr:row>1</xdr:row>
      <xdr:rowOff>83820</xdr:rowOff>
    </xdr:from>
    <xdr:to>
      <xdr:col>10</xdr:col>
      <xdr:colOff>99060</xdr:colOff>
      <xdr:row>16</xdr:row>
      <xdr:rowOff>83820</xdr:rowOff>
    </xdr:to>
    <xdr:graphicFrame macro="">
      <xdr:nvGraphicFramePr>
        <xdr:cNvPr id="3" name="Chart 2">
          <a:extLst>
            <a:ext uri="{FF2B5EF4-FFF2-40B4-BE49-F238E27FC236}">
              <a16:creationId xmlns:a16="http://schemas.microsoft.com/office/drawing/2014/main" id="{B3B0D6C3-004F-29D0-3B99-1A5957A1D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22</xdr:row>
      <xdr:rowOff>60960</xdr:rowOff>
    </xdr:from>
    <xdr:to>
      <xdr:col>9</xdr:col>
      <xdr:colOff>114300</xdr:colOff>
      <xdr:row>37</xdr:row>
      <xdr:rowOff>60960</xdr:rowOff>
    </xdr:to>
    <xdr:graphicFrame macro="">
      <xdr:nvGraphicFramePr>
        <xdr:cNvPr id="4" name="Chart 3">
          <a:extLst>
            <a:ext uri="{FF2B5EF4-FFF2-40B4-BE49-F238E27FC236}">
              <a16:creationId xmlns:a16="http://schemas.microsoft.com/office/drawing/2014/main" id="{9BD7D2C5-DAA3-E2B1-108A-CA4002F87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800100</xdr:colOff>
      <xdr:row>40</xdr:row>
      <xdr:rowOff>175260</xdr:rowOff>
    </xdr:from>
    <xdr:to>
      <xdr:col>9</xdr:col>
      <xdr:colOff>373380</xdr:colOff>
      <xdr:row>55</xdr:row>
      <xdr:rowOff>175260</xdr:rowOff>
    </xdr:to>
    <xdr:graphicFrame macro="">
      <xdr:nvGraphicFramePr>
        <xdr:cNvPr id="5" name="Chart 4">
          <a:extLst>
            <a:ext uri="{FF2B5EF4-FFF2-40B4-BE49-F238E27FC236}">
              <a16:creationId xmlns:a16="http://schemas.microsoft.com/office/drawing/2014/main" id="{4715A7DF-A7B9-B322-FB26-FC0221919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1051560</xdr:colOff>
      <xdr:row>60</xdr:row>
      <xdr:rowOff>83820</xdr:rowOff>
    </xdr:from>
    <xdr:to>
      <xdr:col>10</xdr:col>
      <xdr:colOff>548640</xdr:colOff>
      <xdr:row>76</xdr:row>
      <xdr:rowOff>129540</xdr:rowOff>
    </xdr:to>
    <xdr:graphicFrame macro="">
      <xdr:nvGraphicFramePr>
        <xdr:cNvPr id="6" name="Chart 5">
          <a:extLst>
            <a:ext uri="{FF2B5EF4-FFF2-40B4-BE49-F238E27FC236}">
              <a16:creationId xmlns:a16="http://schemas.microsoft.com/office/drawing/2014/main" id="{2AB43D42-C873-794E-AC8E-22129A163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121920</xdr:colOff>
      <xdr:row>10</xdr:row>
      <xdr:rowOff>83820</xdr:rowOff>
    </xdr:from>
    <xdr:to>
      <xdr:col>15</xdr:col>
      <xdr:colOff>121920</xdr:colOff>
      <xdr:row>23</xdr:row>
      <xdr:rowOff>173355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6AADD3C0-FB3F-9961-8DA2-FEB0584E30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06840" y="1912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2</xdr:row>
      <xdr:rowOff>7621</xdr:rowOff>
    </xdr:from>
    <xdr:to>
      <xdr:col>18</xdr:col>
      <xdr:colOff>556260</xdr:colOff>
      <xdr:row>12</xdr:row>
      <xdr:rowOff>152401</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B601555F-0CC4-73CF-946E-4311EF7CA8E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269980" y="37338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83820</xdr:colOff>
      <xdr:row>13</xdr:row>
      <xdr:rowOff>83821</xdr:rowOff>
    </xdr:from>
    <xdr:to>
      <xdr:col>19</xdr:col>
      <xdr:colOff>83820</xdr:colOff>
      <xdr:row>25</xdr:row>
      <xdr:rowOff>152401</xdr:rowOff>
    </xdr:to>
    <mc:AlternateContent xmlns:mc="http://schemas.openxmlformats.org/markup-compatibility/2006" xmlns:a14="http://schemas.microsoft.com/office/drawing/2010/main">
      <mc:Choice Requires="a14">
        <xdr:graphicFrame macro="">
          <xdr:nvGraphicFramePr>
            <xdr:cNvPr id="9" name="ProductCategory">
              <a:extLst>
                <a:ext uri="{FF2B5EF4-FFF2-40B4-BE49-F238E27FC236}">
                  <a16:creationId xmlns:a16="http://schemas.microsoft.com/office/drawing/2014/main" id="{77F2FC92-EBBF-91F8-7325-DA7CBCDF01E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1818620" y="2461261"/>
              <a:ext cx="1828800" cy="2263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24</xdr:row>
      <xdr:rowOff>106680</xdr:rowOff>
    </xdr:from>
    <xdr:to>
      <xdr:col>15</xdr:col>
      <xdr:colOff>0</xdr:colOff>
      <xdr:row>38</xdr:row>
      <xdr:rowOff>13335</xdr:rowOff>
    </xdr:to>
    <mc:AlternateContent xmlns:mc="http://schemas.openxmlformats.org/markup-compatibility/2006" xmlns:a14="http://schemas.microsoft.com/office/drawing/2010/main">
      <mc:Choice Requires="a14">
        <xdr:graphicFrame macro="">
          <xdr:nvGraphicFramePr>
            <xdr:cNvPr id="10" name="Months (OrderDate)">
              <a:extLst>
                <a:ext uri="{FF2B5EF4-FFF2-40B4-BE49-F238E27FC236}">
                  <a16:creationId xmlns:a16="http://schemas.microsoft.com/office/drawing/2014/main" id="{C158E90D-561D-0FAA-7761-243FF886314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9296400" y="4495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464820</xdr:colOff>
      <xdr:row>39</xdr:row>
      <xdr:rowOff>76200</xdr:rowOff>
    </xdr:from>
    <xdr:to>
      <xdr:col>14</xdr:col>
      <xdr:colOff>464820</xdr:colOff>
      <xdr:row>52</xdr:row>
      <xdr:rowOff>165735</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E3BD9F04-D62A-8A1B-9737-49C59A330CB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151620" y="7208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0</xdr:rowOff>
    </xdr:from>
    <xdr:to>
      <xdr:col>15</xdr:col>
      <xdr:colOff>350520</xdr:colOff>
      <xdr:row>3</xdr:row>
      <xdr:rowOff>114300</xdr:rowOff>
    </xdr:to>
    <xdr:sp macro="" textlink="">
      <xdr:nvSpPr>
        <xdr:cNvPr id="2" name="Rectangle: Rounded Corners 1">
          <a:extLst>
            <a:ext uri="{FF2B5EF4-FFF2-40B4-BE49-F238E27FC236}">
              <a16:creationId xmlns:a16="http://schemas.microsoft.com/office/drawing/2014/main" id="{294B51CD-30D4-2482-4348-0FFF2B1F1E50}"/>
            </a:ext>
          </a:extLst>
        </xdr:cNvPr>
        <xdr:cNvSpPr/>
      </xdr:nvSpPr>
      <xdr:spPr>
        <a:xfrm>
          <a:off x="137160" y="0"/>
          <a:ext cx="9357360" cy="673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t>ELECTRONICS SALES &amp; OPERATIONS</a:t>
          </a:r>
          <a:r>
            <a:rPr lang="en-US" sz="3600" baseline="0"/>
            <a:t> ANALYSIS</a:t>
          </a:r>
          <a:endParaRPr lang="en-US" sz="3600"/>
        </a:p>
      </xdr:txBody>
    </xdr:sp>
    <xdr:clientData/>
  </xdr:twoCellAnchor>
  <xdr:twoCellAnchor>
    <xdr:from>
      <xdr:col>0</xdr:col>
      <xdr:colOff>68580</xdr:colOff>
      <xdr:row>4</xdr:row>
      <xdr:rowOff>53340</xdr:rowOff>
    </xdr:from>
    <xdr:to>
      <xdr:col>2</xdr:col>
      <xdr:colOff>457200</xdr:colOff>
      <xdr:row>7</xdr:row>
      <xdr:rowOff>175260</xdr:rowOff>
    </xdr:to>
    <xdr:sp macro="" textlink="PivotTables!A84">
      <xdr:nvSpPr>
        <xdr:cNvPr id="3" name="Rectangle: Rounded Corners 2">
          <a:extLst>
            <a:ext uri="{FF2B5EF4-FFF2-40B4-BE49-F238E27FC236}">
              <a16:creationId xmlns:a16="http://schemas.microsoft.com/office/drawing/2014/main" id="{6AA97752-8192-5C30-C991-E09522017694}"/>
            </a:ext>
          </a:extLst>
        </xdr:cNvPr>
        <xdr:cNvSpPr/>
      </xdr:nvSpPr>
      <xdr:spPr>
        <a:xfrm>
          <a:off x="68580" y="784860"/>
          <a:ext cx="16078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Total Revenue</a:t>
          </a:r>
        </a:p>
        <a:p>
          <a:pPr algn="ctr"/>
          <a:fld id="{02DE8E76-CD70-4E0F-A3AD-EA6F776E1398}" type="TxLink">
            <a:rPr lang="en-US" sz="1400" b="0" i="0" u="none" strike="noStrike">
              <a:solidFill>
                <a:schemeClr val="bg1"/>
              </a:solidFill>
              <a:latin typeface="Calibri"/>
              <a:ea typeface="Calibri"/>
              <a:cs typeface="Calibri"/>
            </a:rPr>
            <a:pPr algn="ctr"/>
            <a:t>10928845.72</a:t>
          </a:fld>
          <a:endParaRPr lang="en-US" sz="1400">
            <a:solidFill>
              <a:schemeClr val="bg1"/>
            </a:solidFill>
          </a:endParaRPr>
        </a:p>
      </xdr:txBody>
    </xdr:sp>
    <xdr:clientData/>
  </xdr:twoCellAnchor>
  <xdr:twoCellAnchor>
    <xdr:from>
      <xdr:col>3</xdr:col>
      <xdr:colOff>144780</xdr:colOff>
      <xdr:row>4</xdr:row>
      <xdr:rowOff>30480</xdr:rowOff>
    </xdr:from>
    <xdr:to>
      <xdr:col>5</xdr:col>
      <xdr:colOff>548640</xdr:colOff>
      <xdr:row>7</xdr:row>
      <xdr:rowOff>152400</xdr:rowOff>
    </xdr:to>
    <xdr:sp macro="" textlink="PivotTables!A89">
      <xdr:nvSpPr>
        <xdr:cNvPr id="5" name="Rectangle: Rounded Corners 4">
          <a:extLst>
            <a:ext uri="{FF2B5EF4-FFF2-40B4-BE49-F238E27FC236}">
              <a16:creationId xmlns:a16="http://schemas.microsoft.com/office/drawing/2014/main" id="{8A598EC9-9C09-42C1-9B98-9995B8B7F33F}"/>
            </a:ext>
          </a:extLst>
        </xdr:cNvPr>
        <xdr:cNvSpPr/>
      </xdr:nvSpPr>
      <xdr:spPr>
        <a:xfrm>
          <a:off x="1973580" y="762000"/>
          <a:ext cx="162306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Total Profit</a:t>
          </a:r>
        </a:p>
        <a:p>
          <a:pPr algn="ctr"/>
          <a:fld id="{79A9DD75-3DEC-4E65-8F08-E54CFB35CC14}" type="TxLink">
            <a:rPr lang="en-US" sz="1400" b="0" i="0" u="none" strike="noStrike">
              <a:solidFill>
                <a:schemeClr val="bg1"/>
              </a:solidFill>
              <a:latin typeface="Calibri"/>
              <a:ea typeface="Calibri"/>
              <a:cs typeface="Calibri"/>
            </a:rPr>
            <a:pPr algn="ctr"/>
            <a:t>3401098.01</a:t>
          </a:fld>
          <a:endParaRPr lang="en-US" sz="1400">
            <a:solidFill>
              <a:schemeClr val="bg1"/>
            </a:solidFill>
          </a:endParaRPr>
        </a:p>
      </xdr:txBody>
    </xdr:sp>
    <xdr:clientData/>
  </xdr:twoCellAnchor>
  <xdr:twoCellAnchor>
    <xdr:from>
      <xdr:col>6</xdr:col>
      <xdr:colOff>281940</xdr:colOff>
      <xdr:row>4</xdr:row>
      <xdr:rowOff>38100</xdr:rowOff>
    </xdr:from>
    <xdr:to>
      <xdr:col>9</xdr:col>
      <xdr:colOff>114300</xdr:colOff>
      <xdr:row>7</xdr:row>
      <xdr:rowOff>160020</xdr:rowOff>
    </xdr:to>
    <xdr:sp macro="" textlink="PivotTables!A93">
      <xdr:nvSpPr>
        <xdr:cNvPr id="7" name="Rectangle: Rounded Corners 6">
          <a:extLst>
            <a:ext uri="{FF2B5EF4-FFF2-40B4-BE49-F238E27FC236}">
              <a16:creationId xmlns:a16="http://schemas.microsoft.com/office/drawing/2014/main" id="{FD46C5DA-89E9-42E2-8D6D-B7BC3522299B}"/>
            </a:ext>
          </a:extLst>
        </xdr:cNvPr>
        <xdr:cNvSpPr/>
      </xdr:nvSpPr>
      <xdr:spPr>
        <a:xfrm>
          <a:off x="3939540" y="769620"/>
          <a:ext cx="166116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Margin %</a:t>
          </a:r>
        </a:p>
        <a:p>
          <a:pPr algn="ctr"/>
          <a:fld id="{51146C76-35C3-4798-B6F4-05E3F70C06FC}" type="TxLink">
            <a:rPr lang="en-US" sz="1400" b="0" i="0" u="none" strike="noStrike">
              <a:solidFill>
                <a:schemeClr val="bg1"/>
              </a:solidFill>
              <a:latin typeface="Calibri"/>
              <a:ea typeface="Calibri"/>
              <a:cs typeface="Calibri"/>
            </a:rPr>
            <a:pPr algn="ctr"/>
            <a:t>31%</a:t>
          </a:fld>
          <a:endParaRPr lang="en-US" sz="1400">
            <a:solidFill>
              <a:schemeClr val="bg1"/>
            </a:solidFill>
          </a:endParaRPr>
        </a:p>
      </xdr:txBody>
    </xdr:sp>
    <xdr:clientData/>
  </xdr:twoCellAnchor>
  <xdr:twoCellAnchor>
    <xdr:from>
      <xdr:col>9</xdr:col>
      <xdr:colOff>304800</xdr:colOff>
      <xdr:row>4</xdr:row>
      <xdr:rowOff>30480</xdr:rowOff>
    </xdr:from>
    <xdr:to>
      <xdr:col>12</xdr:col>
      <xdr:colOff>129540</xdr:colOff>
      <xdr:row>7</xdr:row>
      <xdr:rowOff>152400</xdr:rowOff>
    </xdr:to>
    <xdr:sp macro="" textlink="PivotTables!A97">
      <xdr:nvSpPr>
        <xdr:cNvPr id="9" name="Rectangle: Rounded Corners 8">
          <a:extLst>
            <a:ext uri="{FF2B5EF4-FFF2-40B4-BE49-F238E27FC236}">
              <a16:creationId xmlns:a16="http://schemas.microsoft.com/office/drawing/2014/main" id="{EBCD9AD7-F584-4D84-97E2-EEDB1D5F1539}"/>
            </a:ext>
          </a:extLst>
        </xdr:cNvPr>
        <xdr:cNvSpPr/>
      </xdr:nvSpPr>
      <xdr:spPr>
        <a:xfrm>
          <a:off x="5791200" y="762000"/>
          <a:ext cx="165354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Avg</a:t>
          </a:r>
          <a:r>
            <a:rPr lang="en-US" sz="1400" b="0" i="0" u="none" strike="noStrike" baseline="0">
              <a:solidFill>
                <a:schemeClr val="bg1"/>
              </a:solidFill>
              <a:latin typeface="Calibri"/>
              <a:ea typeface="Calibri"/>
              <a:cs typeface="Calibri"/>
            </a:rPr>
            <a:t> Or</a:t>
          </a:r>
          <a:r>
            <a:rPr lang="en-US" sz="1400" b="0" i="0" u="none" strike="noStrike">
              <a:solidFill>
                <a:schemeClr val="bg1"/>
              </a:solidFill>
              <a:latin typeface="Calibri"/>
              <a:ea typeface="Calibri"/>
              <a:cs typeface="Calibri"/>
            </a:rPr>
            <a:t>der Value</a:t>
          </a:r>
        </a:p>
        <a:p>
          <a:pPr algn="ctr"/>
          <a:fld id="{B4380095-5D2B-4B3A-BEDF-CDF87637CE2C}" type="TxLink">
            <a:rPr lang="en-US" sz="1400" b="0" i="0" u="none" strike="noStrike">
              <a:solidFill>
                <a:schemeClr val="bg1"/>
              </a:solidFill>
              <a:latin typeface="Calibri"/>
              <a:ea typeface="Calibri"/>
              <a:cs typeface="Calibri"/>
            </a:rPr>
            <a:pPr algn="ctr"/>
            <a:t>17292.48</a:t>
          </a:fld>
          <a:endParaRPr lang="en-US" sz="1400">
            <a:solidFill>
              <a:schemeClr val="bg1"/>
            </a:solidFill>
          </a:endParaRPr>
        </a:p>
      </xdr:txBody>
    </xdr:sp>
    <xdr:clientData/>
  </xdr:twoCellAnchor>
  <xdr:twoCellAnchor>
    <xdr:from>
      <xdr:col>12</xdr:col>
      <xdr:colOff>502920</xdr:colOff>
      <xdr:row>4</xdr:row>
      <xdr:rowOff>15240</xdr:rowOff>
    </xdr:from>
    <xdr:to>
      <xdr:col>15</xdr:col>
      <xdr:colOff>388620</xdr:colOff>
      <xdr:row>7</xdr:row>
      <xdr:rowOff>137160</xdr:rowOff>
    </xdr:to>
    <xdr:sp macro="" textlink="PivotTables!A101">
      <xdr:nvSpPr>
        <xdr:cNvPr id="11" name="Rectangle: Rounded Corners 10">
          <a:extLst>
            <a:ext uri="{FF2B5EF4-FFF2-40B4-BE49-F238E27FC236}">
              <a16:creationId xmlns:a16="http://schemas.microsoft.com/office/drawing/2014/main" id="{1838F4A0-2387-4D04-AB21-793A3855D29D}"/>
            </a:ext>
          </a:extLst>
        </xdr:cNvPr>
        <xdr:cNvSpPr/>
      </xdr:nvSpPr>
      <xdr:spPr>
        <a:xfrm>
          <a:off x="7818120" y="746760"/>
          <a:ext cx="171450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On Time %</a:t>
          </a:r>
        </a:p>
        <a:p>
          <a:pPr algn="ctr"/>
          <a:fld id="{55CD3715-3FA1-423E-9FBE-4B2CC3A0249E}" type="TxLink">
            <a:rPr lang="en-US" sz="1400" b="0" i="0" u="none" strike="noStrike">
              <a:solidFill>
                <a:schemeClr val="bg1"/>
              </a:solidFill>
              <a:latin typeface="Calibri"/>
              <a:ea typeface="Calibri"/>
              <a:cs typeface="Calibri"/>
            </a:rPr>
            <a:pPr algn="ctr"/>
            <a:t>22%</a:t>
          </a:fld>
          <a:endParaRPr lang="en-US" sz="1400">
            <a:solidFill>
              <a:schemeClr val="bg1"/>
            </a:solidFill>
          </a:endParaRPr>
        </a:p>
      </xdr:txBody>
    </xdr:sp>
    <xdr:clientData/>
  </xdr:twoCellAnchor>
  <xdr:twoCellAnchor editAs="oneCell">
    <xdr:from>
      <xdr:col>2</xdr:col>
      <xdr:colOff>419100</xdr:colOff>
      <xdr:row>8</xdr:row>
      <xdr:rowOff>60961</xdr:rowOff>
    </xdr:from>
    <xdr:to>
      <xdr:col>4</xdr:col>
      <xdr:colOff>586740</xdr:colOff>
      <xdr:row>13</xdr:row>
      <xdr:rowOff>76200</xdr:rowOff>
    </xdr:to>
    <mc:AlternateContent xmlns:mc="http://schemas.openxmlformats.org/markup-compatibility/2006" xmlns:a14="http://schemas.microsoft.com/office/drawing/2010/main">
      <mc:Choice Requires="a14">
        <xdr:graphicFrame macro="">
          <xdr:nvGraphicFramePr>
            <xdr:cNvPr id="12" name="Months (OrderDate) 1">
              <a:extLst>
                <a:ext uri="{FF2B5EF4-FFF2-40B4-BE49-F238E27FC236}">
                  <a16:creationId xmlns:a16="http://schemas.microsoft.com/office/drawing/2014/main" id="{F39E242A-BCDE-4781-BA47-D3655D18965A}"/>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1638300" y="1524001"/>
              <a:ext cx="138684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8</xdr:row>
      <xdr:rowOff>68580</xdr:rowOff>
    </xdr:from>
    <xdr:to>
      <xdr:col>2</xdr:col>
      <xdr:colOff>144780</xdr:colOff>
      <xdr:row>13</xdr:row>
      <xdr:rowOff>99060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331AC8DA-7624-40E7-8292-CB1E806F9B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1531620"/>
              <a:ext cx="131826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144780</xdr:colOff>
      <xdr:row>8</xdr:row>
      <xdr:rowOff>68581</xdr:rowOff>
    </xdr:from>
    <xdr:to>
      <xdr:col>7</xdr:col>
      <xdr:colOff>320040</xdr:colOff>
      <xdr:row>13</xdr:row>
      <xdr:rowOff>53340</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C80DC666-FEE5-4FD4-AC3D-DE166730322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192780" y="1531621"/>
              <a:ext cx="139446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8</xdr:row>
      <xdr:rowOff>68580</xdr:rowOff>
    </xdr:from>
    <xdr:to>
      <xdr:col>10</xdr:col>
      <xdr:colOff>137160</xdr:colOff>
      <xdr:row>13</xdr:row>
      <xdr:rowOff>91440</xdr:rowOff>
    </xdr:to>
    <mc:AlternateContent xmlns:mc="http://schemas.openxmlformats.org/markup-compatibility/2006" xmlns:a14="http://schemas.microsoft.com/office/drawing/2010/main">
      <mc:Choice Requires="a14">
        <xdr:graphicFrame macro="">
          <xdr:nvGraphicFramePr>
            <xdr:cNvPr id="18" name="Channel 1">
              <a:extLst>
                <a:ext uri="{FF2B5EF4-FFF2-40B4-BE49-F238E27FC236}">
                  <a16:creationId xmlns:a16="http://schemas.microsoft.com/office/drawing/2014/main" id="{8202421C-49F0-4339-9C79-D3DAA9D3719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4808220" y="1531620"/>
              <a:ext cx="142494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373380</xdr:colOff>
      <xdr:row>8</xdr:row>
      <xdr:rowOff>60960</xdr:rowOff>
    </xdr:from>
    <xdr:to>
      <xdr:col>13</xdr:col>
      <xdr:colOff>7620</xdr:colOff>
      <xdr:row>13</xdr:row>
      <xdr:rowOff>60960</xdr:rowOff>
    </xdr:to>
    <mc:AlternateContent xmlns:mc="http://schemas.openxmlformats.org/markup-compatibility/2006" xmlns:a14="http://schemas.microsoft.com/office/drawing/2010/main">
      <mc:Choice Requires="a14">
        <xdr:graphicFrame macro="">
          <xdr:nvGraphicFramePr>
            <xdr:cNvPr id="19" name="ProductCategory 1">
              <a:extLst>
                <a:ext uri="{FF2B5EF4-FFF2-40B4-BE49-F238E27FC236}">
                  <a16:creationId xmlns:a16="http://schemas.microsoft.com/office/drawing/2014/main" id="{54CBCAEA-5D9E-46ED-9E78-5CA4E4936A77}"/>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6469380" y="1524000"/>
              <a:ext cx="146304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213360</xdr:colOff>
      <xdr:row>8</xdr:row>
      <xdr:rowOff>38101</xdr:rowOff>
    </xdr:from>
    <xdr:to>
      <xdr:col>15</xdr:col>
      <xdr:colOff>396240</xdr:colOff>
      <xdr:row>13</xdr:row>
      <xdr:rowOff>30481</xdr:rowOff>
    </xdr:to>
    <mc:AlternateContent xmlns:mc="http://schemas.openxmlformats.org/markup-compatibility/2006" xmlns:a14="http://schemas.microsoft.com/office/drawing/2010/main">
      <mc:Choice Requires="a14">
        <xdr:graphicFrame macro="">
          <xdr:nvGraphicFramePr>
            <xdr:cNvPr id="20" name="Salesperson 1">
              <a:extLst>
                <a:ext uri="{FF2B5EF4-FFF2-40B4-BE49-F238E27FC236}">
                  <a16:creationId xmlns:a16="http://schemas.microsoft.com/office/drawing/2014/main" id="{BF78BBF4-C58E-4BF3-91C1-A09004F4F16B}"/>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8138160" y="1501141"/>
              <a:ext cx="140208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5716</xdr:rowOff>
    </xdr:from>
    <xdr:to>
      <xdr:col>7</xdr:col>
      <xdr:colOff>480060</xdr:colOff>
      <xdr:row>29</xdr:row>
      <xdr:rowOff>66675</xdr:rowOff>
    </xdr:to>
    <xdr:graphicFrame macro="">
      <xdr:nvGraphicFramePr>
        <xdr:cNvPr id="22" name="Chart 21">
          <a:extLst>
            <a:ext uri="{FF2B5EF4-FFF2-40B4-BE49-F238E27FC236}">
              <a16:creationId xmlns:a16="http://schemas.microsoft.com/office/drawing/2014/main" id="{F94B8A2D-5315-4065-A949-BAB4C3446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14</xdr:row>
      <xdr:rowOff>0</xdr:rowOff>
    </xdr:from>
    <xdr:to>
      <xdr:col>15</xdr:col>
      <xdr:colOff>598170</xdr:colOff>
      <xdr:row>29</xdr:row>
      <xdr:rowOff>66675</xdr:rowOff>
    </xdr:to>
    <xdr:graphicFrame macro="">
      <xdr:nvGraphicFramePr>
        <xdr:cNvPr id="23" name="Chart 22">
          <a:extLst>
            <a:ext uri="{FF2B5EF4-FFF2-40B4-BE49-F238E27FC236}">
              <a16:creationId xmlns:a16="http://schemas.microsoft.com/office/drawing/2014/main" id="{0C337A49-227C-40A3-A2A1-A448B577C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29</xdr:row>
      <xdr:rowOff>152400</xdr:rowOff>
    </xdr:from>
    <xdr:to>
      <xdr:col>7</xdr:col>
      <xdr:colOff>474345</xdr:colOff>
      <xdr:row>46</xdr:row>
      <xdr:rowOff>22860</xdr:rowOff>
    </xdr:to>
    <xdr:graphicFrame macro="">
      <xdr:nvGraphicFramePr>
        <xdr:cNvPr id="24" name="Chart 23">
          <a:extLst>
            <a:ext uri="{FF2B5EF4-FFF2-40B4-BE49-F238E27FC236}">
              <a16:creationId xmlns:a16="http://schemas.microsoft.com/office/drawing/2014/main" id="{56026FBA-D5B3-482D-9699-A2CDE009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518160</xdr:colOff>
      <xdr:row>29</xdr:row>
      <xdr:rowOff>150495</xdr:rowOff>
    </xdr:from>
    <xdr:to>
      <xdr:col>15</xdr:col>
      <xdr:colOff>594360</xdr:colOff>
      <xdr:row>46</xdr:row>
      <xdr:rowOff>5715</xdr:rowOff>
    </xdr:to>
    <xdr:graphicFrame macro="">
      <xdr:nvGraphicFramePr>
        <xdr:cNvPr id="26" name="Chart 25">
          <a:extLst>
            <a:ext uri="{FF2B5EF4-FFF2-40B4-BE49-F238E27FC236}">
              <a16:creationId xmlns:a16="http://schemas.microsoft.com/office/drawing/2014/main" id="{BFF7D8E0-21D3-45AD-BC78-4F29BF4B1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9.464865972222" createdVersion="8" refreshedVersion="8" minRefreshableVersion="3" recordCount="632" xr:uid="{A0C04983-240E-4594-95C6-04BB67C94372}">
  <cacheSource type="worksheet">
    <worksheetSource name="Table1"/>
  </cacheSource>
  <cacheFields count="35">
    <cacheField name="OrderID" numFmtId="0">
      <sharedItems count="631">
        <s v="ORD-2025-874124"/>
        <s v="ORD-2024-585443"/>
        <s v="ORD-2023-766015"/>
        <s v="ORD-2024-594527"/>
        <s v="ORD-2025-745263"/>
        <s v="ORD-2024-638884"/>
        <s v="ORD-2025-922513"/>
        <s v="ORD-2023-112666"/>
        <s v="ORD-2024-451005"/>
        <s v="ORD-2025-700847"/>
        <s v="ORD-2023-890605"/>
        <s v="ORD-2024-567435"/>
        <s v="ORD-2025-779530"/>
        <s v="ORD-2024-167215"/>
        <s v="ORD-2023-632893"/>
        <s v="ORD-2023-752962"/>
        <s v="ORD-2023-596758"/>
        <s v="ORD-2025-705398"/>
        <s v="ORD-2023-382272"/>
        <s v="ORD-2024-358795"/>
        <s v="ORD-2023-885216"/>
        <s v="ORD-2023-619493"/>
        <s v="ORD-2023-825495"/>
        <s v="ORD-2024-719055"/>
        <s v="ORD-2024-838925"/>
        <s v="ORD-2025-488349"/>
        <s v="ORD-2023-888245"/>
        <s v="ORD-2024-892908"/>
        <s v="ORD-2024-516704"/>
        <s v="ORD-2023-937291"/>
        <s v="ORD-2023-374486"/>
        <s v="ORD-2023-613317"/>
        <s v="ORD-2024-798002"/>
        <s v="ORD-2023-109927"/>
        <s v="ORD-2024-355095"/>
        <s v="ORD-2024-382152"/>
        <s v="ORD-2024-232632"/>
        <s v="ORD-2025-939953"/>
        <s v="ORD-2025-246692"/>
        <s v="ORD-2024-500511"/>
        <s v="ORD-2023-479747"/>
        <s v="ORD-2024-605629"/>
        <s v="ORD-2024-331408"/>
        <s v="ORD-2024-437164"/>
        <s v="ORD-2023-659070"/>
        <s v="ORD-2024-862371"/>
        <s v="ORD-2024-855073"/>
        <s v="ORD-2025-766923"/>
        <s v="ORD-2023-868460"/>
        <s v="ORD-2023-340056"/>
        <s v="ORD-2024-320972"/>
        <s v="ORD-2023-240507"/>
        <s v="ORD-2024-964950"/>
        <s v="ORD-2024-925626"/>
        <s v="ORD-2025-944081"/>
        <s v="ORD-2025-678688"/>
        <s v="ORD-2024-223618"/>
        <s v="ORD-2024-979401"/>
        <s v="ORD-2024-878493"/>
        <s v="ORD-2025-169093"/>
        <s v="ORD-2025-137394"/>
        <s v="ORD-2023-841426"/>
        <s v="ORD-2023-195665"/>
        <s v="ORD-2023-474313"/>
        <s v="ORD-2024-289089"/>
        <s v="ORD-2023-286720"/>
        <s v="ORD-2023-960380"/>
        <s v="ORD-2025-331237"/>
        <s v="ORD-2023-378104"/>
        <s v="ORD-2023-192324"/>
        <s v="ORD-2024-704056"/>
        <s v="ORD-2023-545150"/>
        <s v="ORD-2023-588455"/>
        <s v="ORD-2023-290279"/>
        <s v="ORD-2024-277241"/>
        <s v="ORD-2025-752192"/>
        <s v="ORD-2024-626925"/>
        <s v="ORD-2024-301260"/>
        <s v="ORD-2023-888140"/>
        <s v="ORD-2025-779574"/>
        <s v="ORD-2023-502205"/>
        <s v="ORD-2023-842488"/>
        <s v="ORD-2025-262434"/>
        <s v="ORD-2024-257550"/>
        <s v="ORD-2024-499009"/>
        <s v="ORD-2023-235230"/>
        <s v="ORD-2024-206311"/>
        <s v="ORD-2025-650841"/>
        <s v="ORD-2023-609394"/>
        <s v="ORD-2023-159379"/>
        <s v="ORD-2024-446030"/>
        <s v="ORD-2024-468615"/>
        <s v="ORD-2024-626750"/>
        <s v="ORD-2023-619385"/>
        <s v="ORD-2024-766980"/>
        <s v="ORD-2024-170021"/>
        <s v="ORD-2023-674887"/>
        <s v="ORD-2024-375848"/>
        <s v="ORD-2024-287210"/>
        <s v="ORD-2023-869884"/>
        <s v="ORD-2023-406606"/>
        <s v="ORD-2025-138578"/>
        <s v="ORD-2023-258768"/>
        <s v="ORD-2023-723587"/>
        <s v="ORD-2025-667201"/>
        <s v="ORD-2024-207792"/>
        <s v="ORD-2024-310809"/>
        <s v="ORD-2023-974506"/>
        <s v="ORD-2024-728474"/>
        <s v="ORD-2024-872291"/>
        <s v="ORD-2023-594700"/>
        <s v="ORD-2025-168148"/>
        <s v="ORD-2023-430904"/>
        <s v="ORD-2025-417336"/>
        <s v="ORD-2025-795385"/>
        <s v="ORD-2025-659650"/>
        <s v="ORD-2025-548982"/>
        <s v="ORD-2023-913592"/>
        <s v="ORD-2023-799597"/>
        <s v="ORD-2024-604471"/>
        <s v="ORD-2024-555229"/>
        <s v="ORD-2024-219735"/>
        <s v="ORD-2025-662997"/>
        <s v="ORD-2023-334213"/>
        <s v="ORD-2024-732543"/>
        <s v="ORD-2023-944052"/>
        <s v="ORD-2024-341535"/>
        <s v="ORD-2025-150713"/>
        <s v="ORD-2024-164288"/>
        <s v="ORD-2024-572312"/>
        <s v="ORD-2024-800947"/>
        <s v="ORD-2023-419187"/>
        <s v="ORD-2024-527858"/>
        <s v="ORD-2023-867175"/>
        <s v="ORD-2023-867285"/>
        <s v="ORD-2025-231184"/>
        <s v="ORD-2023-271836"/>
        <s v="ORD-2024-423853"/>
        <s v="ORD-2024-500109"/>
        <s v="ORD-2024-787018"/>
        <s v="ORD-2025-132174"/>
        <s v="ORD-2023-472078"/>
        <s v="ORD-2025-673091"/>
        <s v="ORD-2024-474999"/>
        <s v="ORD-2025-646342"/>
        <s v="ORD-2023-382017"/>
        <s v="ORD-2025-269934"/>
        <s v="ORD-2023-621393"/>
        <s v="ORD-2024-664046"/>
        <s v="ORD-2024-155337"/>
        <s v="ORD-2024-333192"/>
        <s v="ORD-2025-960931"/>
        <s v="ORD-2024-542244"/>
        <s v="ORD-2025-354346"/>
        <s v="ORD-2025-908258"/>
        <s v="ORD-2024-641220"/>
        <s v="ORD-2024-689872"/>
        <s v="ORD-2023-755337"/>
        <s v="ORD-2024-166150"/>
        <s v="ORD-2023-159821"/>
        <s v="ORD-2023-581799"/>
        <s v="ORD-2023-825084"/>
        <s v="ORD-2024-640340"/>
        <s v="ORD-2025-698069"/>
        <s v="ORD-2023-453699"/>
        <s v="ORD-2025-512310"/>
        <s v="ORD-2025-649239"/>
        <s v="ORD-2023-867166"/>
        <s v="ORD-2023-651638"/>
        <s v="ORD-2023-664790"/>
        <s v="ORD-2023-349264"/>
        <s v="ORD-2023-271918"/>
        <s v="ORD-2024-901115"/>
        <s v="ORD-2023-856322"/>
        <s v="ORD-2023-363031"/>
        <s v="ORD-2025-803803"/>
        <s v="ORD-2024-510520"/>
        <s v="ORD-2024-237478"/>
        <s v="ORD-2023-521818"/>
        <s v="ORD-2024-102866"/>
        <s v="ORD-2025-233883"/>
        <s v="ORD-2023-967239"/>
        <s v="ORD-2023-290237"/>
        <s v="ORD-2023-931633"/>
        <s v="ORD-2023-842820"/>
        <s v="ORD-2025-752845"/>
        <s v="ORD-2025-564184"/>
        <s v="ORD-2023-715175"/>
        <s v="ORD-2025-184754"/>
        <s v="ORD-2024-866535"/>
        <s v="ORD-2023-813340"/>
        <s v="ORD-2023-536542"/>
        <s v="ORD-2025-639542"/>
        <s v="ORD-2023-309373"/>
        <s v="ORD-2023-808024"/>
        <s v="ORD-2025-537785"/>
        <s v="ORD-2024-851883"/>
        <s v="ORD-2025-460466"/>
        <s v="ORD-2024-444710"/>
        <s v="ORD-2025-915869"/>
        <s v="ORD-2025-898022"/>
        <s v="ORD-2023-747341"/>
        <s v="ORD-2024-837651"/>
        <s v="ORD-2025-541048"/>
        <s v="ORD-2025-306251"/>
        <s v="ORD-2023-390998"/>
        <s v="ORD-2025-411385"/>
        <s v="ORD-2023-964434"/>
        <s v="ORD-2024-332076"/>
        <s v="ORD-2025-956101"/>
        <s v="ORD-2025-588029"/>
        <s v="ORD-2024-776337"/>
        <s v="ORD-2025-831576"/>
        <s v="ORD-2025-440093"/>
        <s v="ORD-2024-353078"/>
        <s v="ORD-2023-191563"/>
        <s v="ORD-2024-136321"/>
        <s v="ORD-2025-946490"/>
        <s v="ORD-2024-207096"/>
        <s v="ORD-2025-947929"/>
        <s v="ORD-2024-655710"/>
        <s v="ORD-2025-114382"/>
        <s v="ORD-2023-215819"/>
        <s v="ORD-2023-128295"/>
        <s v="ORD-2024-690270"/>
        <s v="ORD-2023-835226"/>
        <s v="ORD-2023-427304"/>
        <s v="ORD-2023-539967"/>
        <s v="ORD-2025-728935"/>
        <s v="ORD-2023-274037"/>
        <s v="ORD-2024-756884"/>
        <s v="ORD-2023-480975"/>
        <s v="ORD-2023-308124"/>
        <s v="ORD-2023-253245"/>
        <s v="ORD-2024-651852"/>
        <s v="ORD-2025-177994"/>
        <s v="ORD-2024-371409"/>
        <s v="ORD-2024-250862"/>
        <s v="ORD-2023-987700"/>
        <s v="ORD-2024-364080"/>
        <s v="ORD-2024-581530"/>
        <s v="ORD-2025-983096"/>
        <s v="ORD-2024-381197"/>
        <s v="ORD-2025-509940"/>
        <s v="ORD-2024-970848"/>
        <s v="ORD-2025-762301"/>
        <s v="ORD-2024-207669"/>
        <s v="ORD-2023-769774"/>
        <s v="ORD-2023-848013"/>
        <s v="ORD-2024-973420"/>
        <s v="ORD-2024-210687"/>
        <s v="ORD-2024-915495"/>
        <s v="ORD-2025-486350"/>
        <s v="ORD-2023-613287"/>
        <s v="ORD-2023-898009"/>
        <s v="ORD-2023-825836"/>
        <s v="ORD-2025-649633"/>
        <s v="ORD-2025-737787"/>
        <s v="ORD-2025-653781"/>
        <s v="ORD-2024-134084"/>
        <s v="ORD-2025-757957"/>
        <s v="ORD-2025-281062"/>
        <s v="ORD-2024-419248"/>
        <s v="ORD-2024-961756"/>
        <s v="ORD-2025-863978"/>
        <s v="ORD-2024-811752"/>
        <s v="ORD-2024-745424"/>
        <s v="ORD-2025-415018"/>
        <s v="ORD-2024-389336"/>
        <s v="ORD-2024-907733"/>
        <s v="ORD-2023-957692"/>
        <s v="ORD-2023-126505"/>
        <s v="ORD-2024-105586"/>
        <s v="ORD-2023-727290"/>
        <s v="ORD-2025-281413"/>
        <s v="ORD-2024-496601"/>
        <s v="ORD-2024-202166"/>
        <s v="ORD-2023-735274"/>
        <s v="ORD-2024-885858"/>
        <s v="ORD-2023-286994"/>
        <s v="ORD-2024-819778"/>
        <s v="ORD-2025-828263"/>
        <s v="ORD-2025-636162"/>
        <s v="ORD-2024-433936"/>
        <s v="ORD-2025-474710"/>
        <s v="ORD-2023-378676"/>
        <s v="ORD-2023-586275"/>
        <s v="ORD-2024-129345"/>
        <s v="ORD-2024-548345"/>
        <s v="ORD-2025-188059"/>
        <s v="ORD-2023-573656"/>
        <s v="ORD-2025-866565"/>
        <s v="ORD-2023-212701"/>
        <s v="ORD-2024-403664"/>
        <s v="ORD-2024-165942"/>
        <s v="ORD-2023-434071"/>
        <s v="ORD-2025-332931"/>
        <s v="ORD-2024-792137"/>
        <s v="ORD-2025-909340"/>
        <s v="ORD-2023-197661"/>
        <s v="ORD-2024-532184"/>
        <s v="ORD-2025-624006"/>
        <s v="ORD-2024-605518"/>
        <s v="ORD-2023-700699"/>
        <s v="ORD-2023-603238"/>
        <s v="ORD-2024-550400"/>
        <s v="ORD-2023-132101"/>
        <s v="ORD-2024-215294"/>
        <s v="ORD-2024-948800"/>
        <s v="ORD-2025-929414"/>
        <s v="ORD-2025-417942"/>
        <s v="ORD-2024-201376"/>
        <s v="ORD-2023-552115"/>
        <s v="ORD-2024-347736"/>
        <s v="ORD-2025-591006"/>
        <s v="ORD-2024-851993"/>
        <s v="ORD-2025-485946"/>
        <s v="ORD-2023-780206"/>
        <s v="ORD-2025-580047"/>
        <s v="ORD-2023-713375"/>
        <s v="ORD-2023-664749"/>
        <s v="ORD-2023-987081"/>
        <s v="ORD-2025-685236"/>
        <s v="ORD-2023-294716"/>
        <s v="ORD-2023-975863"/>
        <s v="ORD-2025-262491"/>
        <s v="ORD-2024-947056"/>
        <s v="ORD-2023-211715"/>
        <s v="ORD-2024-678110"/>
        <s v="ORD-2025-926547"/>
        <s v="ORD-2024-247979"/>
        <s v="ORD-2023-906481"/>
        <s v="ORD-2024-868223"/>
        <s v="ORD-2025-526752"/>
        <s v="ORD-2024-468655"/>
        <s v="ORD-2024-760799"/>
        <s v="ORD-2025-843974"/>
        <s v="ORD-2023-208944"/>
        <s v="ORD-2023-619570"/>
        <s v="ORD-2024-833375"/>
        <s v="ORD-2024-892173"/>
        <s v="ORD-2023-946143"/>
        <s v="ORD-2025-278048"/>
        <s v="ORD-2023-660608"/>
        <s v="ORD-2024-468501"/>
        <s v="ORD-2025-718992"/>
        <s v="ORD-2025-650719"/>
        <s v="ORD-2024-427031"/>
        <s v="ORD-2025-907040"/>
        <s v="ORD-2025-532859"/>
        <s v="ORD-2024-647473"/>
        <s v="ORD-2023-304451"/>
        <s v="ORD-2023-713614"/>
        <s v="ORD-2023-368449"/>
        <s v="ORD-2024-745822"/>
        <s v="ORD-2025-192876"/>
        <s v="ORD-2023-472050"/>
        <s v="ORD-2025-191328"/>
        <s v="ORD-2024-580808"/>
        <s v="ORD-2024-599522"/>
        <s v="ORD-2023-880296"/>
        <s v="ORD-2023-139236"/>
        <s v="ORD-2023-184577"/>
        <s v="ORD-2025-419532"/>
        <s v="ORD-2025-629393"/>
        <s v="ORD-2023-623293"/>
        <s v="ORD-2023-525643"/>
        <s v="ORD-2024-999607"/>
        <s v="ORD-2024-251426"/>
        <s v="ORD-2024-343877"/>
        <s v="ORD-2025-680118"/>
        <s v="ORD-2023-867836"/>
        <s v="ORD-2025-626047"/>
        <s v="ORD-2024-544865"/>
        <s v="ORD-2025-244832"/>
        <s v="ORD-2023-573146"/>
        <s v="ORD-2024-153053"/>
        <s v="ORD-2023-125739"/>
        <s v="ORD-2025-189846"/>
        <s v="ORD-2023-594955"/>
        <s v="ORD-2024-713332"/>
        <s v="ORD-2024-510591"/>
        <s v="ORD-2024-692673"/>
        <s v="ORD-2025-484073"/>
        <s v="ORD-2023-603650"/>
        <s v="ORD-2023-501220"/>
        <s v="ORD-2025-608069"/>
        <s v="ORD-2024-960952"/>
        <s v="ORD-2023-638181"/>
        <s v="ORD-2023-653343"/>
        <s v="ORD-2024-465898"/>
        <s v="ORD-2024-741404"/>
        <s v="ORD-2024-687073"/>
        <s v="ORD-2025-248586"/>
        <s v="ORD-2023-602648"/>
        <s v="ORD-2025-480172"/>
        <s v="ORD-2024-336584"/>
        <s v="ORD-2023-256951"/>
        <s v="ORD-2024-584090"/>
        <s v="ORD-2025-997421"/>
        <s v="ORD-2024-805860"/>
        <s v="ORD-2024-331226"/>
        <s v="ORD-2025-125517"/>
        <s v="ORD-2023-749324"/>
        <s v="ORD-2025-328504"/>
        <s v="ORD-2024-170313"/>
        <s v="ORD-2024-140633"/>
        <s v="ORD-2023-667815"/>
        <s v="ORD-2023-884192"/>
        <s v="ORD-2024-594592"/>
        <s v="ORD-2024-792353"/>
        <s v="ORD-2024-225829"/>
        <s v="ORD-2024-902741"/>
        <s v="ORD-2023-517216"/>
        <s v="ORD-2023-356427"/>
        <s v="ORD-2023-156396"/>
        <s v="ORD-2023-809913"/>
        <s v="ORD-2023-450877"/>
        <s v="ORD-2025-496178"/>
        <s v="ORD-2025-845715"/>
        <s v="ORD-2025-474368"/>
        <s v="ORD-2023-276806"/>
        <s v="ORD-2024-853298"/>
        <s v="ORD-2024-571797"/>
        <s v="ORD-2024-972318"/>
        <s v="ORD-2025-312803"/>
        <s v="ORD-2023-369160"/>
        <s v="ORD-2025-515515"/>
        <s v="ORD-2023-422918"/>
        <s v="ORD-2023-497686"/>
        <s v="ORD-2024-398783"/>
        <s v="ORD-2024-569164"/>
        <s v="ORD-2024-855600"/>
        <s v="ORD-2024-998320"/>
        <s v="ORD-2025-418232"/>
        <s v="ORD-2024-211453"/>
        <s v="ORD-2025-289139"/>
        <s v="ORD-2025-779659"/>
        <s v="ORD-2025-931538"/>
        <s v="ORD-2024-629525"/>
        <s v="ORD-2023-630430"/>
        <s v="ORD-2023-811823"/>
        <s v="ORD-2025-778145"/>
        <s v="ORD-2023-451931"/>
        <s v="ORD-2023-580751"/>
        <s v="ORD-2025-678328"/>
        <s v="ORD-2024-260775"/>
        <s v="ORD-2024-503082"/>
        <s v="ORD-2023-722117"/>
        <s v="ORD-2025-276968"/>
        <s v="ORD-2025-725646"/>
        <s v="ORD-2024-764468"/>
        <s v="ORD-2023-933238"/>
        <s v="ORD-2023-884625"/>
        <s v="ORD-2024-886939"/>
        <s v="ORD-2023-243704"/>
        <s v="ORD-2024-578646"/>
        <s v="ORD-2023-868734"/>
        <s v="ORD-2025-683043"/>
        <s v="ORD-2023-548874"/>
        <s v="ORD-2025-586799"/>
        <s v="ORD-2024-968374"/>
        <s v="ORD-2024-286833"/>
        <s v="ORD-2025-964661"/>
        <s v="ORD-2024-202877"/>
        <s v="ORD-2024-961501"/>
        <s v="ORD-2025-501927"/>
        <s v="ORD-2025-252117"/>
        <s v="ORD-2024-819979"/>
        <s v="ORD-2024-686712"/>
        <s v="ORD-2024-389102"/>
        <s v="ORD-2024-442776"/>
        <s v="ORD-2024-771210"/>
        <s v="ORD-2023-181257"/>
        <s v="ORD-2025-254721"/>
        <s v="ORD-2024-212990"/>
        <s v="ORD-2023-292714"/>
        <s v="ORD-2024-668926"/>
        <s v="ORD-2024-553449"/>
        <s v="ORD-2024-281211"/>
        <s v="ORD-2025-652467"/>
        <s v="ORD-2024-206121"/>
        <s v="ORD-2023-178249"/>
        <s v="ORD-2023-144816"/>
        <s v="ORD-2023-177794"/>
        <s v="ORD-2023-107265"/>
        <s v="ORD-2023-281890"/>
        <s v="ORD-2025-820255"/>
        <s v="ORD-2024-329104"/>
        <s v="ORD-2023-927385"/>
        <s v="ORD-2025-364852"/>
        <s v="ORD-2023-732585"/>
        <s v="ORD-2023-575584"/>
        <s v="ORD-2024-296582"/>
        <s v="ORD-2024-988736"/>
        <s v="ORD-2024-647571"/>
        <s v="ORD-2023-835010"/>
        <s v="ORD-2024-508213"/>
        <s v="ORD-2024-478165"/>
        <s v="ORD-2024-635626"/>
        <s v="ORD-2023-133848"/>
        <s v="ORD-2025-184082"/>
        <s v="ORD-2023-386663"/>
        <s v="ORD-2025-155182"/>
        <s v="ORD-2025-993993"/>
        <s v="ORD-2023-561823"/>
        <s v="ORD-2025-330203"/>
        <s v="ORD-2023-239789"/>
        <s v="ORD-2023-369150"/>
        <s v="ORD-2024-366010"/>
        <s v="ORD-2023-855675"/>
        <s v="ORD-2025-635337"/>
        <s v="ORD-2024-792558"/>
        <s v="ORD-2025-487025"/>
        <s v="ORD-2023-521280"/>
        <s v="ORD-2023-744942"/>
        <s v="ORD-2023-689428"/>
        <s v="ORD-2025-765220"/>
        <s v="ORD-2025-677880"/>
        <s v="ORD-2024-243988"/>
        <s v="ORD-2023-343322"/>
        <s v="ORD-2024-890180"/>
        <s v="ORD-2025-146850"/>
        <s v="ORD-2023-576840"/>
        <s v="ORD-2024-350100"/>
        <s v="ORD-2023-488227"/>
        <s v="ORD-2024-777623"/>
        <s v="ORD-2025-789245"/>
        <s v="ORD-2024-220234"/>
        <s v="ORD-2024-966651"/>
        <s v="ORD-2023-921939"/>
        <s v="ORD-2024-783321"/>
        <s v="ORD-2024-438404"/>
        <s v="ORD-2024-993481"/>
        <s v="ORD-2024-939873"/>
        <s v="ORD-2023-249805"/>
        <s v="ORD-2024-897622"/>
        <s v="ORD-2023-824839"/>
        <s v="ORD-2024-390951"/>
        <s v="ORD-2023-883066"/>
        <s v="ORD-2023-373538"/>
        <s v="ORD-2023-163610"/>
        <s v="ORD-2023-949710"/>
        <s v="ORD-2025-487261"/>
        <s v="ORD-2023-431328"/>
        <s v="ORD-2024-402240"/>
        <s v="ORD-2024-589570"/>
        <s v="ORD-2025-222035"/>
        <s v="ORD-2024-357368"/>
        <s v="ORD-2023-302041"/>
        <s v="ORD-2025-683247"/>
        <s v="ORD-2023-864121"/>
        <s v="ORD-2024-817997"/>
        <s v="ORD-2023-261081"/>
        <s v="ORD-2024-921935"/>
        <s v="ORD-2023-961864"/>
        <s v="ORD-2024-749242"/>
        <s v="ORD-2024-536442"/>
        <s v="ORD-2025-578007"/>
        <s v="ORD-2025-861401"/>
        <s v="ORD-2023-166668"/>
        <s v="ORD-2024-275203"/>
        <s v="ORD-2025-398335"/>
        <s v="ORD-2025-542939"/>
        <s v="ORD-2023-251563"/>
        <s v="ORD-2025-541501"/>
        <s v="ORD-2024-266562"/>
        <s v="ORD-2025-823055"/>
        <s v="ORD-2025-856556"/>
        <s v="ORD-2025-149156"/>
        <s v="ORD-2025-640677"/>
        <s v="ORD-2024-687100"/>
        <s v="ORD-2025-703623"/>
        <s v="ORD-2023-548934"/>
        <s v="ORD-2023-640022"/>
        <s v="ORD-2024-919471"/>
        <s v="ORD-2024-588972"/>
        <s v="ORD-2023-728177"/>
        <s v="ORD-2023-173313"/>
        <s v="ORD-2023-610470"/>
        <s v="ORD-2024-356812"/>
        <s v="ORD-2024-909942"/>
        <s v="ORD-2023-569862"/>
        <s v="ORD-2024-834983"/>
        <s v="ORD-2025-881624"/>
        <s v="ORD-2025-949776"/>
        <s v="ORD-2024-566589"/>
        <s v="ORD-2023-172095"/>
        <s v="ORD-2024-446699"/>
        <s v="ORD-2025-526650"/>
        <s v="ORD-2024-972999"/>
        <s v="ORD-2024-515105"/>
        <s v="ORD-2024-307849"/>
        <s v="ORD-2024-247032"/>
        <s v="ORD-2023-244375"/>
        <s v="ORD-2024-206081"/>
        <s v="ORD-2023-701153"/>
        <s v="ORD-2024-997336"/>
        <s v="ORD-2025-337268"/>
        <s v="ORD-2023-704111"/>
        <s v="ORD-2025-306903"/>
        <s v="ORD-2024-720756"/>
        <s v="ORD-2025-840976"/>
        <s v="ORD-2023-399631"/>
        <s v="ORD-2024-500890"/>
        <s v="ORD-2023-854471"/>
        <s v="ORD-2024-836421"/>
        <s v="ORD-2023-925146"/>
        <s v="ORD-2024-197852"/>
        <s v="ORD-2023-157993"/>
        <s v="ORD-2023-920483"/>
        <s v="ORD-2023-676553"/>
        <s v="ORD-2024-930679"/>
        <s v="ORD-2023-568013"/>
        <s v="ORD-2025-473192"/>
        <s v="ORD-2023-912395"/>
        <s v="ORD-2024-906395"/>
        <s v="ORD-2023-562894"/>
        <s v="ORD-2025-246470"/>
        <s v="ORD-2023-375011"/>
        <s v="ORD-2025-822030"/>
        <s v="ORD-2025-762212"/>
        <s v="ORD-2023-597666"/>
        <s v="ORD-2024-788105"/>
        <s v="ORD-2023-897079"/>
        <s v="ORD-2023-455933"/>
        <s v="ORD-2024-892879"/>
        <s v="ORD-2025-898843"/>
        <s v="ORD-2025-323492"/>
        <s v="ORD-2024-942981"/>
        <s v="ORD-2024-192263"/>
      </sharedItems>
    </cacheField>
    <cacheField name="OrderDate" numFmtId="14">
      <sharedItems containsSemiMixedTypes="0" containsNonDate="0" containsDate="1" containsString="0" minDate="2023-01-02T00:00:00" maxDate="2025-09-16T00:00:00" count="468">
        <d v="2025-05-14T00:00:00"/>
        <d v="2024-08-17T00:00:00"/>
        <d v="2023-04-13T00:00:00"/>
        <d v="2024-09-06T00:00:00"/>
        <d v="2025-05-21T00:00:00"/>
        <d v="2024-05-28T00:00:00"/>
        <d v="2025-08-28T00:00:00"/>
        <d v="2023-01-15T00:00:00"/>
        <d v="2024-06-30T00:00:00"/>
        <d v="2023-06-24T00:00:00"/>
        <d v="2024-04-26T00:00:00"/>
        <d v="2025-05-19T00:00:00"/>
        <d v="2024-08-23T00:00:00"/>
        <d v="2023-05-07T00:00:00"/>
        <d v="2023-04-21T00:00:00"/>
        <d v="2023-12-07T00:00:00"/>
        <d v="2025-02-17T00:00:00"/>
        <d v="2023-05-20T00:00:00"/>
        <d v="2024-10-23T00:00:00"/>
        <d v="2023-08-03T00:00:00"/>
        <d v="2023-02-27T00:00:00"/>
        <d v="2023-11-30T00:00:00"/>
        <d v="2024-01-02T00:00:00"/>
        <d v="2024-01-28T00:00:00"/>
        <d v="2025-04-23T00:00:00"/>
        <d v="2023-02-28T00:00:00"/>
        <d v="2024-07-13T00:00:00"/>
        <d v="2024-03-01T00:00:00"/>
        <d v="2023-04-23T00:00:00"/>
        <d v="2023-01-22T00:00:00"/>
        <d v="2024-07-25T00:00:00"/>
        <d v="2023-07-22T00:00:00"/>
        <d v="2024-12-08T00:00:00"/>
        <d v="2024-02-14T00:00:00"/>
        <d v="2025-01-22T00:00:00"/>
        <d v="2025-04-17T00:00:00"/>
        <d v="2024-10-08T00:00:00"/>
        <d v="2023-07-14T00:00:00"/>
        <d v="2024-07-15T00:00:00"/>
        <d v="2024-02-01T00:00:00"/>
        <d v="2024-02-20T00:00:00"/>
        <d v="2023-10-21T00:00:00"/>
        <d v="2024-09-07T00:00:00"/>
        <d v="2024-07-19T00:00:00"/>
        <d v="2025-02-15T00:00:00"/>
        <d v="2023-06-01T00:00:00"/>
        <d v="2023-04-26T00:00:00"/>
        <d v="2024-11-08T00:00:00"/>
        <d v="2023-03-25T00:00:00"/>
        <d v="2024-10-10T00:00:00"/>
        <d v="2024-11-04T00:00:00"/>
        <d v="2025-03-25T00:00:00"/>
        <d v="2025-07-16T00:00:00"/>
        <d v="2024-06-10T00:00:00"/>
        <d v="2024-02-08T00:00:00"/>
        <d v="2024-06-19T00:00:00"/>
        <d v="2025-04-13T00:00:00"/>
        <d v="2025-01-04T00:00:00"/>
        <d v="2023-12-22T00:00:00"/>
        <d v="2023-12-19T00:00:00"/>
        <d v="2023-10-05T00:00:00"/>
        <d v="2024-12-17T00:00:00"/>
        <d v="2023-07-08T00:00:00"/>
        <d v="2023-02-11T00:00:00"/>
        <d v="2025-03-24T00:00:00"/>
        <d v="2023-10-18T00:00:00"/>
        <d v="2023-09-14T00:00:00"/>
        <d v="2024-06-23T00:00:00"/>
        <d v="2023-04-06T00:00:00"/>
        <d v="2023-05-23T00:00:00"/>
        <d v="2023-06-14T00:00:00"/>
        <d v="2025-05-16T00:00:00"/>
        <d v="2024-06-07T00:00:00"/>
        <d v="2024-07-29T00:00:00"/>
        <d v="2023-10-11T00:00:00"/>
        <d v="2025-09-10T00:00:00"/>
        <d v="2023-10-09T00:00:00"/>
        <d v="2023-10-31T00:00:00"/>
        <d v="2025-06-19T00:00:00"/>
        <d v="2024-12-27T00:00:00"/>
        <d v="2024-01-25T00:00:00"/>
        <d v="2023-08-30T00:00:00"/>
        <d v="2024-01-13T00:00:00"/>
        <d v="2025-07-03T00:00:00"/>
        <d v="2023-04-16T00:00:00"/>
        <d v="2023-02-08T00:00:00"/>
        <d v="2024-03-23T00:00:00"/>
        <d v="2024-07-09T00:00:00"/>
        <d v="2024-08-12T00:00:00"/>
        <d v="2023-09-30T00:00:00"/>
        <d v="2024-11-05T00:00:00"/>
        <d v="2023-12-16T00:00:00"/>
        <d v="2024-05-18T00:00:00"/>
        <d v="2024-03-18T00:00:00"/>
        <d v="2023-03-02T00:00:00"/>
        <d v="2023-10-25T00:00:00"/>
        <d v="2025-04-09T00:00:00"/>
        <d v="2023-06-29T00:00:00"/>
        <d v="2023-01-02T00:00:00"/>
        <d v="2025-09-15T00:00:00"/>
        <d v="2024-09-03T00:00:00"/>
        <d v="2024-04-05T00:00:00"/>
        <d v="2023-12-28T00:00:00"/>
        <d v="2024-09-09T00:00:00"/>
        <d v="2024-01-08T00:00:00"/>
        <d v="2023-07-18T00:00:00"/>
        <d v="2025-03-29T00:00:00"/>
        <d v="2023-01-27T00:00:00"/>
        <d v="2025-08-30T00:00:00"/>
        <d v="2025-06-01T00:00:00"/>
        <d v="2025-02-04T00:00:00"/>
        <d v="2025-04-07T00:00:00"/>
        <d v="2023-05-10T00:00:00"/>
        <d v="2023-03-14T00:00:00"/>
        <d v="2024-01-21T00:00:00"/>
        <d v="2024-04-03T00:00:00"/>
        <d v="2025-03-31T00:00:00"/>
        <d v="2023-08-19T00:00:00"/>
        <d v="2024-10-24T00:00:00"/>
        <d v="2024-06-25T00:00:00"/>
        <d v="2025-07-11T00:00:00"/>
        <d v="2024-12-21T00:00:00"/>
        <d v="2024-06-16T00:00:00"/>
        <d v="2024-12-15T00:00:00"/>
        <d v="2023-03-31T00:00:00"/>
        <d v="2024-05-07T00:00:00"/>
        <d v="2023-08-10T00:00:00"/>
        <d v="2023-04-12T00:00:00"/>
        <d v="2023-02-07T00:00:00"/>
        <d v="2025-07-17T00:00:00"/>
        <d v="2025-05-07T00:00:00"/>
        <d v="2025-08-02T00:00:00"/>
        <d v="2023-01-13T00:00:00"/>
        <d v="2025-04-04T00:00:00"/>
        <d v="2023-07-07T00:00:00"/>
        <d v="2024-09-02T00:00:00"/>
        <d v="2024-05-21T00:00:00"/>
        <d v="2024-10-29T00:00:00"/>
        <d v="2025-08-20T00:00:00"/>
        <d v="2024-08-30T00:00:00"/>
        <d v="2025-01-09T00:00:00"/>
        <d v="2025-06-21T00:00:00"/>
        <d v="2024-05-10T00:00:00"/>
        <d v="2024-08-03T00:00:00"/>
        <d v="2023-09-08T00:00:00"/>
        <d v="2024-06-02T00:00:00"/>
        <d v="2023-07-01T00:00:00"/>
        <d v="2023-12-05T00:00:00"/>
        <d v="2024-10-22T00:00:00"/>
        <d v="2025-06-03T00:00:00"/>
        <d v="2025-03-08T00:00:00"/>
        <d v="2025-01-17T00:00:00"/>
        <d v="2023-06-17T00:00:00"/>
        <d v="2023-09-25T00:00:00"/>
        <d v="2023-01-29T00:00:00"/>
        <d v="2023-05-06T00:00:00"/>
        <d v="2024-09-25T00:00:00"/>
        <d v="2024-10-03T00:00:00"/>
        <d v="2024-12-12T00:00:00"/>
        <d v="2025-09-08T00:00:00"/>
        <d v="2023-12-24T00:00:00"/>
        <d v="2023-07-30T00:00:00"/>
        <d v="2023-05-14T00:00:00"/>
        <d v="2023-09-20T00:00:00"/>
        <d v="2025-03-30T00:00:00"/>
        <d v="2025-01-29T00:00:00"/>
        <d v="2023-06-15T00:00:00"/>
        <d v="2025-06-27T00:00:00"/>
        <d v="2024-12-04T00:00:00"/>
        <d v="2023-12-26T00:00:00"/>
        <d v="2023-06-10T00:00:00"/>
        <d v="2025-06-09T00:00:00"/>
        <d v="2023-07-05T00:00:00"/>
        <d v="2023-12-30T00:00:00"/>
        <d v="2025-08-05T00:00:00"/>
        <d v="2025-02-07T00:00:00"/>
        <d v="2024-09-22T00:00:00"/>
        <d v="2025-02-06T00:00:00"/>
        <d v="2025-09-02T00:00:00"/>
        <d v="2023-04-19T00:00:00"/>
        <d v="2024-12-10T00:00:00"/>
        <d v="2025-04-10T00:00:00"/>
        <d v="2025-06-05T00:00:00"/>
        <d v="2023-11-28T00:00:00"/>
        <d v="2024-04-09T00:00:00"/>
        <d v="2025-07-09T00:00:00"/>
        <d v="2025-09-14T00:00:00"/>
        <d v="2024-11-12T00:00:00"/>
        <d v="2025-04-16T00:00:00"/>
        <d v="2024-08-16T00:00:00"/>
        <d v="2024-08-07T00:00:00"/>
        <d v="2025-04-22T00:00:00"/>
        <d v="2024-03-26T00:00:00"/>
        <d v="2025-03-23T00:00:00"/>
        <d v="2024-11-30T00:00:00"/>
        <d v="2023-06-23T00:00:00"/>
        <d v="2024-05-17T00:00:00"/>
        <d v="2023-10-26T00:00:00"/>
        <d v="2023-06-09T00:00:00"/>
        <d v="2023-07-09T00:00:00"/>
        <d v="2025-02-28T00:00:00"/>
        <d v="2023-08-15T00:00:00"/>
        <d v="2024-10-13T00:00:00"/>
        <d v="2023-02-15T00:00:00"/>
        <d v="2024-12-28T00:00:00"/>
        <d v="2024-11-17T00:00:00"/>
        <d v="2024-10-25T00:00:00"/>
        <d v="2023-04-05T00:00:00"/>
        <d v="2024-04-16T00:00:00"/>
        <d v="2025-05-17T00:00:00"/>
        <d v="2024-11-01T00:00:00"/>
        <d v="2024-05-23T00:00:00"/>
        <d v="2025-05-02T00:00:00"/>
        <d v="2024-01-24T00:00:00"/>
        <d v="2023-06-13T00:00:00"/>
        <d v="2023-02-20T00:00:00"/>
        <d v="2024-05-12T00:00:00"/>
        <d v="2024-08-08T00:00:00"/>
        <d v="2025-05-27T00:00:00"/>
        <d v="2023-05-04T00:00:00"/>
        <d v="2023-07-19T00:00:00"/>
        <d v="2025-07-19T00:00:00"/>
        <d v="2025-01-11T00:00:00"/>
        <d v="2024-06-04T00:00:00"/>
        <d v="2025-04-24T00:00:00"/>
        <d v="2024-03-04T00:00:00"/>
        <d v="2024-11-25T00:00:00"/>
        <d v="2025-08-07T00:00:00"/>
        <d v="2024-02-25T00:00:00"/>
        <d v="2024-08-22T00:00:00"/>
        <d v="2024-05-20T00:00:00"/>
        <d v="2024-03-09T00:00:00"/>
        <d v="2023-04-03T00:00:00"/>
        <d v="2025-08-03T00:00:00"/>
        <d v="2024-11-11T00:00:00"/>
        <d v="2024-05-05T00:00:00"/>
        <d v="2023-02-23T00:00:00"/>
        <d v="2024-01-10T00:00:00"/>
        <d v="2023-02-24T00:00:00"/>
        <d v="2025-01-07T00:00:00"/>
        <d v="2024-08-04T00:00:00"/>
        <d v="2025-07-24T00:00:00"/>
        <d v="2023-05-03T00:00:00"/>
        <d v="2023-01-20T00:00:00"/>
        <d v="2024-02-18T00:00:00"/>
        <d v="2024-05-14T00:00:00"/>
        <d v="2023-05-02T00:00:00"/>
        <d v="2025-05-12T00:00:00"/>
        <d v="2023-12-02T00:00:00"/>
        <d v="2024-12-29T00:00:00"/>
        <d v="2023-06-20T00:00:00"/>
        <d v="2024-03-02T00:00:00"/>
        <d v="2025-01-20T00:00:00"/>
        <d v="2023-08-08T00:00:00"/>
        <d v="2025-03-15T00:00:00"/>
        <d v="2024-05-30T00:00:00"/>
        <d v="2023-01-12T00:00:00"/>
        <d v="2023-08-21T00:00:00"/>
        <d v="2024-08-19T00:00:00"/>
        <d v="2024-03-27T00:00:00"/>
        <d v="2025-06-26T00:00:00"/>
        <d v="2023-09-17T00:00:00"/>
        <d v="2024-05-22T00:00:00"/>
        <d v="2025-06-25T00:00:00"/>
        <d v="2024-05-01T00:00:00"/>
        <d v="2025-06-15T00:00:00"/>
        <d v="2023-01-19T00:00:00"/>
        <d v="2025-06-14T00:00:00"/>
        <d v="2023-08-26T00:00:00"/>
        <d v="2023-08-27T00:00:00"/>
        <d v="2023-08-29T00:00:00"/>
        <d v="2025-03-14T00:00:00"/>
        <d v="2023-04-10T00:00:00"/>
        <d v="2023-11-20T00:00:00"/>
        <d v="2025-08-01T00:00:00"/>
        <d v="2024-07-31T00:00:00"/>
        <d v="2023-10-30T00:00:00"/>
        <d v="2024-07-24T00:00:00"/>
        <d v="2025-03-11T00:00:00"/>
        <d v="2024-11-02T00:00:00"/>
        <d v="2024-03-03T00:00:00"/>
        <d v="2024-02-19T00:00:00"/>
        <d v="2024-02-03T00:00:00"/>
        <d v="2025-07-20T00:00:00"/>
        <d v="2023-12-21T00:00:00"/>
        <d v="2023-11-14T00:00:00"/>
        <d v="2024-04-24T00:00:00"/>
        <d v="2024-01-18T00:00:00"/>
        <d v="2025-06-22T00:00:00"/>
        <d v="2023-07-25T00:00:00"/>
        <d v="2024-11-06T00:00:00"/>
        <d v="2025-06-24T00:00:00"/>
        <d v="2025-02-12T00:00:00"/>
        <d v="2024-06-08T00:00:00"/>
        <d v="2024-02-17T00:00:00"/>
        <d v="2023-10-07T00:00:00"/>
        <d v="2023-08-02T00:00:00"/>
        <d v="2024-03-31T00:00:00"/>
        <d v="2025-01-31T00:00:00"/>
        <d v="2025-05-10T00:00:00"/>
        <d v="2024-04-19T00:00:00"/>
        <d v="2023-03-03T00:00:00"/>
        <d v="2023-05-17T00:00:00"/>
        <d v="2025-08-06T00:00:00"/>
        <d v="2025-07-21T00:00:00"/>
        <d v="2023-10-12T00:00:00"/>
        <d v="2023-08-17T00:00:00"/>
        <d v="2024-01-12T00:00:00"/>
        <d v="2025-03-10T00:00:00"/>
        <d v="2023-05-11T00:00:00"/>
        <d v="2025-04-28T00:00:00"/>
        <d v="2024-02-16T00:00:00"/>
        <d v="2025-09-11T00:00:00"/>
        <d v="2023-12-01T00:00:00"/>
        <d v="2023-05-01T00:00:00"/>
        <d v="2025-08-11T00:00:00"/>
        <d v="2024-06-05T00:00:00"/>
        <d v="2024-03-07T00:00:00"/>
        <d v="2025-02-19T00:00:00"/>
        <d v="2025-04-12T00:00:00"/>
        <d v="2023-11-10T00:00:00"/>
        <d v="2024-06-06T00:00:00"/>
        <d v="2024-10-19T00:00:00"/>
        <d v="2024-03-11T00:00:00"/>
        <d v="2025-09-12T00:00:00"/>
        <d v="2025-06-17T00:00:00"/>
        <d v="2024-09-13T00:00:00"/>
        <d v="2025-03-21T00:00:00"/>
        <d v="2025-01-27T00:00:00"/>
        <d v="2024-12-07T00:00:00"/>
        <d v="2023-01-10T00:00:00"/>
        <d v="2024-04-06T00:00:00"/>
        <d v="2024-11-07T00:00:00"/>
        <d v="2024-12-23T00:00:00"/>
        <d v="2023-09-19T00:00:00"/>
        <d v="2023-02-21T00:00:00"/>
        <d v="2023-09-21T00:00:00"/>
        <d v="2025-07-27T00:00:00"/>
        <d v="2025-04-14T00:00:00"/>
        <d v="2025-04-27T00:00:00"/>
        <d v="2023-03-04T00:00:00"/>
        <d v="2024-03-06T00:00:00"/>
        <d v="2024-07-11T00:00:00"/>
        <d v="2024-12-24T00:00:00"/>
        <d v="2023-07-24T00:00:00"/>
        <d v="2025-01-03T00:00:00"/>
        <d v="2023-07-03T00:00:00"/>
        <d v="2024-07-18T00:00:00"/>
        <d v="2024-09-05T00:00:00"/>
        <d v="2024-04-29T00:00:00"/>
        <d v="2024-04-04T00:00:00"/>
        <d v="2025-08-10T00:00:00"/>
        <d v="2025-02-09T00:00:00"/>
        <d v="2024-04-18T00:00:00"/>
        <d v="2023-08-04T00:00:00"/>
        <d v="2023-01-26T00:00:00"/>
        <d v="2024-10-17T00:00:00"/>
        <d v="2024-05-19T00:00:00"/>
        <d v="2023-09-18T00:00:00"/>
        <d v="2025-02-25T00:00:00"/>
        <d v="2023-03-17T00:00:00"/>
        <d v="2023-02-19T00:00:00"/>
        <d v="2024-06-03T00:00:00"/>
        <d v="2024-05-27T00:00:00"/>
        <d v="2025-08-13T00:00:00"/>
        <d v="2023-03-19T00:00:00"/>
        <d v="2025-07-14T00:00:00"/>
        <d v="2024-02-11T00:00:00"/>
        <d v="2024-08-14T00:00:00"/>
        <d v="2025-03-03T00:00:00"/>
        <d v="2024-10-02T00:00:00"/>
        <d v="2024-06-15T00:00:00"/>
        <d v="2024-09-14T00:00:00"/>
        <d v="2023-11-15T00:00:00"/>
        <d v="2025-05-15T00:00:00"/>
        <d v="2023-07-10T00:00:00"/>
        <d v="2024-08-27T00:00:00"/>
        <d v="2024-01-11T00:00:00"/>
        <d v="2025-08-21T00:00:00"/>
        <d v="2023-12-29T00:00:00"/>
        <d v="2023-04-22T00:00:00"/>
        <d v="2023-03-13T00:00:00"/>
        <d v="2025-05-29T00:00:00"/>
        <d v="2023-05-29T00:00:00"/>
        <d v="2025-05-18T00:00:00"/>
        <d v="2023-08-25T00:00:00"/>
        <d v="2023-01-30T00:00:00"/>
        <d v="2024-02-06T00:00:00"/>
        <d v="2023-03-23T00:00:00"/>
        <d v="2024-11-22T00:00:00"/>
        <d v="2024-12-05T00:00:00"/>
        <d v="2023-06-05T00:00:00"/>
        <d v="2023-11-19T00:00:00"/>
        <d v="2023-12-03T00:00:00"/>
        <d v="2023-02-05T00:00:00"/>
        <d v="2024-10-16T00:00:00"/>
        <d v="2025-04-11T00:00:00"/>
        <d v="2023-05-27T00:00:00"/>
        <d v="2023-01-07T00:00:00"/>
        <d v="2025-04-06T00:00:00"/>
        <d v="2024-03-13T00:00:00"/>
        <d v="2024-01-20T00:00:00"/>
        <d v="2025-01-21T00:00:00"/>
        <d v="2024-10-27T00:00:00"/>
        <d v="2024-09-19T00:00:00"/>
        <d v="2025-07-23T00:00:00"/>
        <d v="2024-03-15T00:00:00"/>
        <d v="2024-10-14T00:00:00"/>
        <d v="2024-11-20T00:00:00"/>
        <d v="2024-09-23T00:00:00"/>
        <d v="2024-08-18T00:00:00"/>
        <d v="2024-04-12T00:00:00"/>
        <d v="2024-03-30T00:00:00"/>
        <d v="2023-12-06T00:00:00"/>
        <d v="2024-12-20T00:00:00"/>
        <d v="2023-08-12T00:00:00"/>
        <d v="2023-10-22T00:00:00"/>
        <d v="2023-03-07T00:00:00"/>
        <d v="2025-03-06T00:00:00"/>
        <d v="2023-12-20T00:00:00"/>
        <d v="2024-05-04T00:00:00"/>
        <d v="2024-10-30T00:00:00"/>
        <d v="2023-10-04T00:00:00"/>
        <d v="2023-03-27T00:00:00"/>
        <d v="2024-07-28T00:00:00"/>
        <d v="2024-01-01T00:00:00"/>
        <d v="2024-01-16T00:00:00"/>
        <d v="2024-08-31T00:00:00"/>
        <d v="2025-04-01T00:00:00"/>
        <d v="2025-01-13T00:00:00"/>
        <d v="2025-07-22T00:00:00"/>
        <d v="2024-11-27T00:00:00"/>
        <d v="2025-01-10T00:00:00"/>
        <d v="2024-09-10T00:00:00"/>
        <d v="2023-08-24T00:00:00"/>
        <d v="2024-06-29T00:00:00"/>
        <d v="2023-12-18T00:00:00"/>
        <d v="2024-06-09T00:00:00"/>
        <d v="2023-07-16T00:00:00"/>
        <d v="2024-03-16T00:00:00"/>
        <d v="2025-02-21T00:00:00"/>
        <d v="2025-08-14T00:00:00"/>
        <d v="2024-06-11T00:00:00"/>
        <d v="2023-05-24T00:00:00"/>
        <d v="2024-08-28T00:00:00"/>
        <d v="2024-02-27T00:00:00"/>
        <d v="2024-08-10T00:00:00"/>
        <d v="2024-04-21T00:00:00"/>
        <d v="2023-06-03T00:00:00"/>
        <d v="2023-04-14T00:00:00"/>
        <d v="2024-10-04T00:00:00"/>
        <d v="2025-02-16T00:00:00"/>
        <d v="2024-10-11T00:00:00"/>
        <d v="2025-09-01T00:00:00"/>
        <d v="2023-06-22T00:00:00"/>
        <d v="2023-03-06T00:00:00"/>
        <d v="2024-12-14T00:00:00"/>
        <d v="2023-10-15T00:00:00"/>
        <d v="2024-02-29T00:00:00"/>
        <d v="2023-04-18T00:00:00"/>
        <d v="2023-07-02T00:00:00"/>
        <d v="2023-07-26T00:00:00"/>
        <d v="2024-03-10T00:00:00"/>
        <d v="2023-08-23T00:00:00"/>
        <d v="2025-08-25T00:00:00"/>
        <d v="2025-02-02T00:00:00"/>
        <d v="2024-10-09T00:00:00"/>
        <d v="2024-11-21T00:00:00"/>
      </sharedItems>
      <fieldGroup par="34"/>
    </cacheField>
    <cacheField name="RequiredDate" numFmtId="14">
      <sharedItems containsSemiMixedTypes="0" containsNonDate="0" containsDate="1" containsString="0" minDate="2023-01-05T00:00:00" maxDate="2025-10-06T00:00:00"/>
    </cacheField>
    <cacheField name="Corrected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2" maxValue="30"/>
    </cacheField>
    <cacheField name="CorrectedLeadTimeDays" numFmtId="2">
      <sharedItems containsSemiMixedTypes="0" containsString="0" containsNumber="1" containsInteger="1" minValue="0" maxValue="30"/>
    </cacheField>
    <cacheField name="OnTimeFlag" numFmtId="2">
      <sharedItems containsSemiMixedTypes="0" containsString="0" containsNumber="1" containsInteger="1" minValue="0" maxValue="1"/>
    </cacheField>
    <cacheField name="MonthOrderDate" numFmtId="2">
      <sharedItems/>
    </cacheField>
    <cacheField name="Quarter" numFmtId="2">
      <sharedItems/>
    </cacheField>
    <cacheField name="FirstYearMonth" numFmtId="2">
      <sharedItems count="2">
        <s v="2023-01"/>
        <s v="2023-03"/>
      </sharedItems>
    </cacheField>
    <cacheField name="CountryFirstMonth" numFmtId="14">
      <sharedItems containsSemiMixedTypes="0" containsNonDate="0" containsDate="1" containsString="0" minDate="2023-01-02T00:00:00" maxDate="2023-03-04T00:00:00" count="11">
        <d v="2023-01-02T00:00:00"/>
        <d v="2023-01-29T00:00:00"/>
        <d v="2023-01-13T00:00:00"/>
        <d v="2023-03-03T00:00:00"/>
        <d v="2023-01-19T00:00:00"/>
        <d v="2023-01-15T00:00:00"/>
        <d v="2023-01-07T00:00:00"/>
        <d v="2023-01-12T00:00:00"/>
        <d v="2023-01-10T00:00:00"/>
        <d v="2023-01-20T00:00:00"/>
        <d v="2023-01-22T00:00:00"/>
      </sharedItems>
      <fieldGroup par="31"/>
    </cacheField>
    <cacheField name="Region" numFmtId="0">
      <sharedItems count="4">
        <s v="Americas"/>
        <s v="Asia"/>
        <s v="Europe"/>
        <s v="Africa"/>
      </sharedItems>
    </cacheField>
    <cacheField name="Country" numFmtId="0">
      <sharedItems count="12">
        <s v="Canada"/>
        <s v="Brazil"/>
        <s v="USA"/>
        <s v="Japan"/>
        <s v="United Kingdom"/>
        <s v="Nigeria"/>
        <s v="South Africa"/>
        <s v="China"/>
        <s v="France"/>
        <s v="Kenya"/>
        <s v="Germany"/>
        <s v="India"/>
      </sharedItems>
    </cacheField>
    <cacheField name="City" numFmtId="0">
      <sharedItems containsBlank="1"/>
    </cacheField>
    <cacheField name="CustomerSegment" numFmtId="0">
      <sharedItems/>
    </cacheField>
    <cacheField name="Channel" numFmtId="0">
      <sharedItems containsBlank="1" count="6">
        <s v="Distributor"/>
        <s v="Direct"/>
        <s v="Marketplace"/>
        <s v="Online"/>
        <s v="Retail"/>
        <m/>
      </sharedItems>
    </cacheField>
    <cacheField name="Salesperson" numFmtId="0">
      <sharedItems containsBlank="1" count="16">
        <s v="F. Müller"/>
        <s v="M. Rossi"/>
        <s v="G. Dubois"/>
        <s v="A. Patel"/>
        <s v="O. Wang"/>
        <s v="L. Okafor"/>
        <s v="N. Brown"/>
        <s v="E. Garcia"/>
        <s v="H. Kim"/>
        <s v="D. Smith"/>
        <s v="J. Njeri"/>
        <s v="B. Chen"/>
        <s v="K. Singh"/>
        <s v="I. Johnson"/>
        <s v="C. Otieno"/>
        <m/>
      </sharedItems>
    </cacheField>
    <cacheField name="MonthsSinceFirstSale" numFmtId="0">
      <sharedItems containsSemiMixedTypes="0" containsString="0" containsNumber="1" containsInteger="1" minValue="0" maxValue="32" count="33">
        <n v="28"/>
        <n v="18"/>
        <n v="3"/>
        <n v="16"/>
        <n v="31"/>
        <n v="0"/>
        <n v="17"/>
        <n v="5"/>
        <n v="15"/>
        <n v="27"/>
        <n v="19"/>
        <n v="1"/>
        <n v="9"/>
        <n v="25"/>
        <n v="4"/>
        <n v="21"/>
        <n v="6"/>
        <n v="10"/>
        <n v="11"/>
        <n v="12"/>
        <n v="13"/>
        <n v="22"/>
        <n v="24"/>
        <n v="26"/>
        <n v="20"/>
        <n v="30"/>
        <n v="23"/>
        <n v="8"/>
        <n v="2"/>
        <n v="29"/>
        <n v="7"/>
        <n v="14"/>
        <n v="32"/>
      </sharedItems>
    </cacheField>
    <cacheField name="ProductCategory" numFmtId="0">
      <sharedItems count="7">
        <s v="Printers"/>
        <s v="Monitors"/>
        <s v="Networking"/>
        <s v="Laptops"/>
        <s v="Accessories"/>
        <s v="Phones"/>
        <s v="Components"/>
      </sharedItems>
    </cacheField>
    <cacheField name="SKU" numFmtId="0">
      <sharedItems count="630">
        <s v="PRN-2407"/>
        <s v="MON-2849"/>
        <s v="NET-1816"/>
        <s v="LAP-4483"/>
        <s v="LAP-3385"/>
        <s v="ACC-5177"/>
        <s v="ACC-4483"/>
        <s v="PRN-6276"/>
        <s v="ACC-9162"/>
        <s v="LAP-7099"/>
        <s v="ACC-2903"/>
        <s v="PHN-9107"/>
        <s v="MON-2993"/>
        <s v="CMP-1559"/>
        <s v="CMP-9392"/>
        <s v="CMP-8604"/>
        <s v="PRN-8175"/>
        <s v="CMP-5065"/>
        <s v="CMP-5208"/>
        <s v="PRN-9322"/>
        <s v="NET-4735"/>
        <s v="NET-1282"/>
        <s v="LAP-1525"/>
        <s v="NET-4554"/>
        <s v="CMP-1470"/>
        <s v="MON-3371"/>
        <s v="NET-5195"/>
        <s v="NET-9575"/>
        <s v="PHN-7852"/>
        <s v="LAP-1698"/>
        <s v="PRN-6490"/>
        <s v="MON-2537"/>
        <s v="LAP-9815"/>
        <s v="PRN-2301"/>
        <s v="LAP-3581"/>
        <s v="CMP-2335"/>
        <s v="ACC-1021"/>
        <s v="ACC-5422"/>
        <s v="PHN-4566"/>
        <s v="MON-9733"/>
        <s v="ACC-5334"/>
        <s v="ACC-2735"/>
        <s v="PRN-4906"/>
        <s v="NET-9177"/>
        <s v="MON-8697"/>
        <s v="NET-9835"/>
        <s v="PHN-6854"/>
        <s v="ACC-3989"/>
        <s v="ACC-4587"/>
        <s v="CMP-4945"/>
        <s v="NET-2628"/>
        <s v="MON-9227"/>
        <s v="CMP-8127"/>
        <s v="PRN-2293"/>
        <s v="ACC-9533"/>
        <s v="NET-1612"/>
        <s v="LAP-9230"/>
        <s v="CMP-5911"/>
        <s v="LAP-4607"/>
        <s v="CMP-6495"/>
        <s v="CMP-1156"/>
        <s v="CMP-4531"/>
        <s v="PHN-7274"/>
        <s v="CMP-4807"/>
        <s v="ACC-5780"/>
        <s v="LAP-1989"/>
        <s v="ACC-8242"/>
        <s v="NET-8329"/>
        <s v="PHN-8891"/>
        <s v="PRN-4432"/>
        <s v="ACC-7838"/>
        <s v="MON-4373"/>
        <s v="PRN-1271"/>
        <s v="CMP-5820"/>
        <s v="ACC-6223"/>
        <s v="PRN-6131"/>
        <s v="MON-8688"/>
        <s v="PRN-2829"/>
        <s v="ACC-3567"/>
        <s v="CMP-6971"/>
        <s v="NET-8856"/>
        <s v="ACC-4124"/>
        <s v="PHN-7379"/>
        <s v="ACC-8620"/>
        <s v="LAP-7056"/>
        <s v="NET-9989"/>
        <s v="CMP-2410"/>
        <s v="LAP-8910"/>
        <s v="ACC-1731"/>
        <s v="NET-5018"/>
        <s v="PHN-4346"/>
        <s v="ACC-3721"/>
        <s v="PRN-5591"/>
        <s v="LAP-5763"/>
        <s v="MON-1118"/>
        <s v="CMP-2015"/>
        <s v="ACC-9644"/>
        <s v="PRN-1725"/>
        <s v="ACC-2761"/>
        <s v="MON-2828"/>
        <s v="ACC-2867"/>
        <s v="MON-5276"/>
        <s v="MON-2990"/>
        <s v="LAP-8555"/>
        <s v="ACC-6777"/>
        <s v="PRN-3917"/>
        <s v="CMP-6529"/>
        <s v="PRN-1654"/>
        <s v="NET-1145"/>
        <s v="PRN-6585"/>
        <s v="NET-1699"/>
        <s v="PHN-4556"/>
        <s v="LAP-9782"/>
        <s v="LAP-3220"/>
        <s v="CMP-4159"/>
        <s v="NET-2502"/>
        <s v="NET-9716"/>
        <s v="MON-2465"/>
        <s v="CMP-8675"/>
        <s v="MON-8973"/>
        <s v="ACC-7354"/>
        <s v="PHN-5445"/>
        <s v="LAP-7136"/>
        <s v="MON-5517"/>
        <s v="NET-3728"/>
        <s v="ACC-3068"/>
        <s v="NET-5987"/>
        <s v="PRN-5753"/>
        <s v="PRN-4788"/>
        <s v="PHN-9677"/>
        <s v="NET-1846"/>
        <s v="LAP-7819"/>
        <s v="LAP-9100"/>
        <s v="NET-2894"/>
        <s v="MON-3043"/>
        <s v="CMP-4093"/>
        <s v="CMP-2693"/>
        <s v="PRN-1141"/>
        <s v="LAP-4987"/>
        <s v="ACC-7671"/>
        <s v="CMP-8851"/>
        <s v="PRN-9624"/>
        <s v="PHN-5683"/>
        <s v="LAP-8214"/>
        <s v="LAP-4828"/>
        <s v="PHN-3159"/>
        <s v="PRN-8657"/>
        <s v="ACC-9445"/>
        <s v="CMP-7563"/>
        <s v="CMP-8101"/>
        <s v="PRN-4893"/>
        <s v="NET-5196"/>
        <s v="LAP-7009"/>
        <s v="PHN-2875"/>
        <s v="PHN-3819"/>
        <s v="LAP-1066"/>
        <s v="LAP-1969"/>
        <s v="ACC-4766"/>
        <s v="ACC-9820"/>
        <s v="LAP-3904"/>
        <s v="PHN-6506"/>
        <s v="MON-1018"/>
        <s v="MON-8758"/>
        <s v="PRN-6429"/>
        <s v="LAP-4666"/>
        <s v="LAP-8119"/>
        <s v="ACC-4511"/>
        <s v="LAP-3565"/>
        <s v="PRN-6536"/>
        <s v="PRN-9249"/>
        <s v="PHN-1924"/>
        <s v="ACC-3551"/>
        <s v="ACC-6626"/>
        <s v="MON-7207"/>
        <s v="PHN-6131"/>
        <s v="LAP-7553"/>
        <s v="PRN-9557"/>
        <s v="PHN-7488"/>
        <s v="NET-4155"/>
        <s v="LAP-8347"/>
        <s v="PHN-1197"/>
        <s v="PHN-3014"/>
        <s v="NET-1645"/>
        <s v="PRN-9488"/>
        <s v="ACC-1375"/>
        <s v="PRN-8763"/>
        <s v="PHN-1671"/>
        <s v="MON-5424"/>
        <s v="MON-7626"/>
        <s v="PRN-5492"/>
        <s v="LAP-2942"/>
        <s v="PHN-2337"/>
        <s v="ACC-1770"/>
        <s v="NET-2394"/>
        <s v="ACC-6594"/>
        <s v="CMP-6346"/>
        <s v="CMP-8141"/>
        <s v="PRN-1882"/>
        <s v="MON-6341"/>
        <s v="NET-5482"/>
        <s v="PRN-1276"/>
        <s v="PHN-7132"/>
        <s v="MON-4789"/>
        <s v="PHN-3803"/>
        <s v="NET-5270"/>
        <s v="MON-1663"/>
        <s v="ACC-2902"/>
        <s v="PHN-2447"/>
        <s v="PRN-1086"/>
        <s v="LAP-2218"/>
        <s v="CMP-6898"/>
        <s v="LAP-5078"/>
        <s v="PHN-2859"/>
        <s v="LAP-3490"/>
        <s v="LAP-4899"/>
        <s v="NET-7924"/>
        <s v="MON-2842"/>
        <s v="MON-5444"/>
        <s v="PRN-3159"/>
        <s v="ACC-1075"/>
        <s v="CMP-2865"/>
        <s v="NET-6533"/>
        <s v="PRN-2542"/>
        <s v="PHN-7974"/>
        <s v="LAP-7320"/>
        <s v="MON-9194"/>
        <s v="CMP-6649"/>
        <s v="LAP-3017"/>
        <s v="PHN-1234"/>
        <s v="CMP-5006"/>
        <s v="LAP-3393"/>
        <s v="NET-2062"/>
        <s v="ACC-3951"/>
        <s v="LAP-8825"/>
        <s v="PHN-4395"/>
        <s v="PRN-1371"/>
        <s v="CMP-9498"/>
        <s v="MON-5259"/>
        <s v="PRN-2641"/>
        <s v="NET-7998"/>
        <s v="LAP-9016"/>
        <s v="PRN-2409"/>
        <s v="PHN-3800"/>
        <s v="PRN-3785"/>
        <s v="ACC-2252"/>
        <s v="LAP-5689"/>
        <s v="PRN-8008"/>
        <s v="MON-9906"/>
        <s v="PRN-5813"/>
        <s v="ACC-7938"/>
        <s v="NET-8957"/>
        <s v="ACC-1249"/>
        <s v="PHN-8014"/>
        <s v="PHN-1670"/>
        <s v="MON-7869"/>
        <s v="ACC-1028"/>
        <s v="NET-9003"/>
        <s v="PHN-6307"/>
        <s v="PRN-4097"/>
        <s v="PHN-2787"/>
        <s v="ACC-1604"/>
        <s v="MON-8422"/>
        <s v="ACC-7047"/>
        <s v="CMP-2854"/>
        <s v="MON-3350"/>
        <s v="PRN-4892"/>
        <s v="PRN-2991"/>
        <s v="CMP-5946"/>
        <s v="LAP-8633"/>
        <s v="ACC-9283"/>
        <s v="MON-6065"/>
        <s v="NET-1893"/>
        <s v="ACC-4815"/>
        <s v="NET-3785"/>
        <s v="NET-2932"/>
        <s v="CMP-3313"/>
        <s v="PRN-7410"/>
        <s v="PRN-6776"/>
        <s v="CMP-1632"/>
        <s v="PHN-6866"/>
        <s v="ACC-3349"/>
        <s v="NET-7901"/>
        <s v="MON-8867"/>
        <s v="NET-7966"/>
        <s v="PHN-5366"/>
        <s v="NET-6036"/>
        <s v="PRN-5384"/>
        <s v="NET-2365"/>
        <s v="NET-3535"/>
        <s v="MON-4830"/>
        <s v="PRN-8850"/>
        <s v="MON-4278"/>
        <s v="NET-1166"/>
        <s v="MON-6310"/>
        <s v="NET-1228"/>
        <s v="ACC-5144"/>
        <s v="PRN-7976"/>
        <s v="CMP-8658"/>
        <s v="MON-7511"/>
        <s v="NET-9569"/>
        <s v="CMP-3259"/>
        <s v="PHN-4356"/>
        <s v="PRN-1641"/>
        <s v="CMP-2136"/>
        <s v="PRN-9793"/>
        <s v="LAP-6750"/>
        <s v="ACC-8683"/>
        <s v="NET-5523"/>
        <s v="LAP-7523"/>
        <s v="PHN-5675"/>
        <s v="PRN-7089"/>
        <s v="LAP-4932"/>
        <s v="MON-6870"/>
        <s v="PHN-5383"/>
        <s v="CMP-6811"/>
        <s v="MON-5891"/>
        <s v="ACC-3645"/>
        <s v="ACC-3961"/>
        <s v="CMP-7063"/>
        <s v="PRN-5107"/>
        <s v="PRN-9975"/>
        <s v="NET-8430"/>
        <s v="PRN-5067"/>
        <s v="NET-3033"/>
        <s v="MON-1822"/>
        <s v="MON-1564"/>
        <s v="LAP-2378"/>
        <s v="LAP-9901"/>
        <s v="PHN-3007"/>
        <s v="MON-5188"/>
        <s v="MON-2266"/>
        <s v="PHN-4915"/>
        <s v="PHN-3482"/>
        <s v="PRN-6308"/>
        <s v="LAP-5531"/>
        <s v="ACC-8098"/>
        <s v="CMP-4792"/>
        <s v="NET-4104"/>
        <s v="MON-6190"/>
        <s v="PRN-6660"/>
        <s v="CMP-8230"/>
        <s v="PHN-5316"/>
        <s v="ACC-8178"/>
        <s v="ACC-6348"/>
        <s v="CMP-8390"/>
        <s v="MON-5179"/>
        <s v="MON-1389"/>
        <s v="NET-8610"/>
        <s v="PRN-5264"/>
        <s v="PHN-1717"/>
        <s v="MON-7602"/>
        <s v="NET-3689"/>
        <s v="CMP-2096"/>
        <s v="MON-8651"/>
        <s v="LAP-6499"/>
        <s v="CMP-9307"/>
        <s v="PHN-6832"/>
        <s v="PRN-7303"/>
        <s v="MON-5086"/>
        <s v="NET-7349"/>
        <s v="PRN-1923"/>
        <s v="MON-4317"/>
        <s v="ACC-8999"/>
        <s v="PHN-8478"/>
        <s v="PHN-8072"/>
        <s v="PRN-8604"/>
        <s v="PHN-3398"/>
        <s v="MON-5749"/>
        <s v="NET-6269"/>
        <s v="NET-3255"/>
        <s v="NET-1966"/>
        <s v="LAP-2774"/>
        <s v="LAP-3278"/>
        <s v="LAP-3604"/>
        <s v="CMP-5138"/>
        <s v="CMP-5633"/>
        <s v="NET-6218"/>
        <s v="NET-3828"/>
        <s v="LAP-1739"/>
        <s v="NET-3850"/>
        <s v="CMP-7617"/>
        <s v="MON-1436"/>
        <s v="CMP-6925"/>
        <s v="LAP-9766"/>
        <s v="NET-3432"/>
        <s v="CMP-9264"/>
        <s v="CMP-4630"/>
        <s v="ACC-5260"/>
        <s v="NET-6578"/>
        <s v="MON-8129"/>
        <s v="MON-7099"/>
        <s v="MON-2998"/>
        <s v="MON-4326"/>
        <s v="LAP-1990"/>
        <s v="MON-8629"/>
        <s v="NET-2439"/>
        <s v="CMP-2040"/>
        <s v="CMP-3731"/>
        <s v="PHN-8804"/>
        <s v="PHN-1919"/>
        <s v="CMP-7055"/>
        <s v="MON-2296"/>
        <s v="PHN-8368"/>
        <s v="CMP-6919"/>
        <s v="NET-4491"/>
        <s v="ACC-8557"/>
        <s v="LAP-4551"/>
        <s v="CMP-8196"/>
        <s v="CMP-5435"/>
        <s v="PRN-9960"/>
        <s v="PHN-8057"/>
        <s v="PRN-5005"/>
        <s v="MON-6053"/>
        <s v="NET-2499"/>
        <s v="CMP-7371"/>
        <s v="CMP-5211"/>
        <s v="CMP-5658"/>
        <s v="MON-6962"/>
        <s v="PHN-8776"/>
        <s v="LAP-6160"/>
        <s v="PHN-4741"/>
        <s v="PHN-7815"/>
        <s v="NET-9832"/>
        <s v="LAP-1308"/>
        <s v="MON-3307"/>
        <s v="PHN-7019"/>
        <s v="LAP-3679"/>
        <s v="LAP-6342"/>
        <s v="MON-7622"/>
        <s v="MON-5249"/>
        <s v="LAP-5009"/>
        <s v="PRN-3143"/>
        <s v="PHN-9234"/>
        <s v="ACC-6543"/>
        <s v="PRN-2098"/>
        <s v="CMP-1220"/>
        <s v="LAP-6989"/>
        <s v="LAP-9932"/>
        <s v="NET-9125"/>
        <s v="NET-8787"/>
        <s v="MON-9216"/>
        <s v="NET-5423"/>
        <s v="LAP-1946"/>
        <s v="ACC-8094"/>
        <s v="MON-4330"/>
        <s v="MON-4271"/>
        <s v="CMP-1009"/>
        <s v="PHN-1044"/>
        <s v="PHN-6954"/>
        <s v="NET-8761"/>
        <s v="PHN-8483"/>
        <s v="MON-6699"/>
        <s v="MON-5386"/>
        <s v="PRN-7079"/>
        <s v="ACC-7240"/>
        <s v="PRN-8970"/>
        <s v="PHN-9465"/>
        <s v="ACC-9150"/>
        <s v="MON-7868"/>
        <s v="PHN-5082"/>
        <s v="PHN-2341"/>
        <s v="MON-4959"/>
        <s v="MON-6287"/>
        <s v="CMP-3223"/>
        <s v="ACC-4056"/>
        <s v="PHN-2462"/>
        <s v="PHN-9399"/>
        <s v="CMP-3978"/>
        <s v="PRN-4453"/>
        <s v="LAP-6577"/>
        <s v="LAP-5150"/>
        <s v="ACC-1060"/>
        <s v="PHN-6480"/>
        <s v="LAP-7979"/>
        <s v="PRN-1504"/>
        <s v="PHN-9789"/>
        <s v="CMP-3875"/>
        <s v="PRN-7816"/>
        <s v="PRN-8137"/>
        <s v="CMP-9801"/>
        <s v="PHN-7924"/>
        <s v="ACC-2364"/>
        <s v="NET-5941"/>
        <s v="ACC-7713"/>
        <s v="CMP-2574"/>
        <s v="PRN-9787"/>
        <s v="MON-2100"/>
        <s v="CMP-8545"/>
        <s v="NET-3749"/>
        <s v="PHN-3971"/>
        <s v="NET-3460"/>
        <s v="NET-1412"/>
        <s v="PRN-3014"/>
        <s v="MON-2462"/>
        <s v="ACC-2988"/>
        <s v="CMP-3938"/>
        <s v="ACC-2386"/>
        <s v="MON-9967"/>
        <s v="PHN-2013"/>
        <s v="NET-6370"/>
        <s v="PRN-3690"/>
        <s v="PHN-7636"/>
        <s v="CMP-5311"/>
        <s v="NET-2460"/>
        <s v="NET-7166"/>
        <s v="PHN-4644"/>
        <s v="CMP-8659"/>
        <s v="LAP-9931"/>
        <s v="PHN-2036"/>
        <s v="LAP-3905"/>
        <s v="NET-6387"/>
        <s v="CMP-3743"/>
        <s v="ACC-1882"/>
        <s v="PRN-1060"/>
        <s v="PRN-4787"/>
        <s v="MON-4925"/>
        <s v="MON-9662"/>
        <s v="CMP-9001"/>
        <s v="PRN-9669"/>
        <s v="PRN-8392"/>
        <s v="ACC-1659"/>
        <s v="MON-3745"/>
        <s v="MON-8939"/>
        <s v="ACC-3415"/>
        <s v="PRN-2749"/>
        <s v="PRN-5876"/>
        <s v="MON-4361"/>
        <s v="NET-5268"/>
        <s v="PHN-4677"/>
        <s v="PRN-4911"/>
        <s v="PHN-4568"/>
        <s v="PHN-3077"/>
        <s v="LAP-8489"/>
        <s v="CMP-1555"/>
        <s v="LAP-2846"/>
        <s v="PRN-8041"/>
        <s v="PRN-9378"/>
        <s v="CMP-6352"/>
        <s v="NET-9666"/>
        <s v="LAP-9024"/>
        <s v="PRN-7049"/>
        <s v="CMP-3693"/>
        <s v="MON-1572"/>
        <s v="NET-4228"/>
        <s v="MON-6892"/>
        <s v="PRN-5815"/>
        <s v="CMP-4610"/>
        <s v="ACC-5079"/>
        <s v="PRN-9867"/>
        <s v="PRN-4506"/>
        <s v="NET-4675"/>
        <s v="ACC-1238"/>
        <s v="ACC-3103"/>
        <s v="CMP-1940"/>
        <s v="MON-4195"/>
        <s v="PHN-6111"/>
        <s v="LAP-3779"/>
        <s v="MON-9319"/>
        <s v="PRN-6520"/>
        <s v="CMP-8270"/>
        <s v="LAP-1619"/>
        <s v="MON-1593"/>
        <s v="PHN-8970"/>
        <s v="NET-1804"/>
        <s v="PRN-5569"/>
        <s v="MON-9274"/>
        <s v="ACC-7906"/>
        <s v="LAP-7353"/>
        <s v="LAP-4517"/>
        <s v="PRN-6068"/>
        <s v="ACC-1596"/>
        <s v="MON-3773"/>
        <s v="PRN-4732"/>
        <s v="NET-4241"/>
        <s v="NET-8561"/>
        <s v="NET-6014"/>
        <s v="ACC-3833"/>
        <s v="PHN-6818"/>
        <s v="PRN-6911"/>
        <s v="CMP-6392"/>
        <s v="LAP-1178"/>
        <s v="PRN-8758"/>
        <s v="PHN-5887"/>
        <s v="PRN-9490"/>
        <s v="PHN-2436"/>
        <s v="MON-6882"/>
        <s v="ACC-4490"/>
        <s v="PHN-8350"/>
        <s v="MON-3504"/>
        <s v="LAP-8469"/>
        <s v="PRN-1183"/>
        <s v="ACC-2990"/>
        <s v="CMP-1223"/>
        <s v="PRN-6791"/>
        <s v="PRN-7019"/>
        <s v="ACC-9038"/>
        <s v="ACC-5150"/>
        <s v="ACC-5206"/>
        <s v="PRN-3775"/>
        <s v="PRN-5666"/>
        <s v="ACC-1663"/>
        <s v="ACC-3385"/>
        <s v="CMP-3093"/>
        <s v="MON-2073"/>
        <s v="CMP-3720"/>
        <s v="PRN-4983"/>
        <s v="NET-7588"/>
        <s v="LAP-1482"/>
        <s v="CMP-7256"/>
        <s v="LAP-2806"/>
        <s v="MON-4215"/>
        <s v="PRN-1786"/>
        <s v="ACC-4631"/>
        <s v="MON-7106"/>
        <s v="ACC-7078"/>
        <s v="CMP-8002"/>
        <s v="PHN-4854"/>
        <s v="PRN-6178"/>
        <s v="ACC-1492"/>
        <s v="NET-1336"/>
        <s v="CMP-4970"/>
        <s v="PHN-5938"/>
        <s v="PRN-4170"/>
        <s v="PHN-1784"/>
        <s v="PHN-9184"/>
        <s v="CMP-5825"/>
        <s v="ACC-9591"/>
        <s v="PHN-3854"/>
        <s v="CMP-1072"/>
        <s v="MON-7943"/>
      </sharedItems>
    </cacheField>
    <cacheField name="UnitCost" numFmtId="2">
      <sharedItems containsSemiMixedTypes="0" containsString="0" containsNumber="1" minValue="5.34" maxValue="1495.79"/>
    </cacheField>
    <cacheField name="CostofGoods" numFmtId="2">
      <sharedItems containsSemiMixedTypes="0" containsString="0" containsNumber="1" minValue="22" maxValue="83258.290000000008"/>
    </cacheField>
    <cacheField name="UnitPrice" numFmtId="2">
      <sharedItems containsSemiMixedTypes="0" containsString="0" containsNumber="1" minValue="4.22" maxValue="3661.07"/>
    </cacheField>
    <cacheField name="GrossRevenue" numFmtId="2">
      <sharedItems containsSemiMixedTypes="0" containsString="0" containsNumber="1" minValue="18.659839999999999" maxValue="139277.83032000001"/>
    </cacheField>
    <cacheField name="GrossProfit" numFmtId="2">
      <sharedItems containsSemiMixedTypes="0" containsString="0" containsNumber="1" minValue="-68355.013999999996" maxValue="65188.659999999996"/>
    </cacheField>
    <cacheField name="DiscountPct" numFmtId="165">
      <sharedItems containsSemiMixedTypes="0" containsString="0" containsNumber="1" minValue="0" maxValue="0.56499999999999995"/>
    </cacheField>
    <cacheField name="HighDiscPct" numFmtId="165">
      <sharedItems containsSemiMixedTypes="0" containsString="0" containsNumber="1" containsInteger="1" minValue="0" maxValue="1"/>
    </cacheField>
    <cacheField name="Priceband" numFmtId="165">
      <sharedItems/>
    </cacheField>
    <cacheField name="MarginPct" numFmtId="165">
      <sharedItems containsSemiMixedTypes="0" containsString="0" containsNumber="1" minValue="-250.39750756449047" maxValue="0.59672531214528945"/>
    </cacheField>
    <cacheField name="Quantity" numFmtId="1">
      <sharedItems containsSemiMixedTypes="0" containsString="0" containsNumber="1" containsInteger="1" minValue="2" maxValue="61"/>
    </cacheField>
    <cacheField name="Days (CountryFirstMonth)" numFmtId="0" databaseField="0">
      <fieldGroup base="10">
        <rangePr groupBy="days" startDate="2023-01-02T00:00:00" endDate="2023-03-04T00:00:00"/>
        <groupItems count="368">
          <s v="&lt;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4/2023"/>
        </groupItems>
      </fieldGroup>
    </cacheField>
    <cacheField name="Months (CountryFirstMonth)" numFmtId="0" databaseField="0">
      <fieldGroup base="10">
        <rangePr groupBy="months" startDate="2023-01-02T00:00:00" endDate="2023-03-04T00:00:00"/>
        <groupItems count="14">
          <s v="&lt;1/2/2023"/>
          <s v="Jan"/>
          <s v="Feb"/>
          <s v="Mar"/>
          <s v="Apr"/>
          <s v="May"/>
          <s v="Jun"/>
          <s v="Jul"/>
          <s v="Aug"/>
          <s v="Sep"/>
          <s v="Oct"/>
          <s v="Nov"/>
          <s v="Dec"/>
          <s v="&gt;3/4/2023"/>
        </groupItems>
      </fieldGroup>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587709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5-05-12T00:00:00"/>
    <d v="2025-05-28T00:00:00"/>
    <n v="-2"/>
    <n v="14"/>
    <n v="0"/>
    <s v="May"/>
    <s v="Q2-2025"/>
    <x v="0"/>
    <x v="0"/>
    <x v="0"/>
    <x v="0"/>
    <s v="Vancouver"/>
    <s v="Non-Profit"/>
    <x v="0"/>
    <x v="0"/>
    <x v="0"/>
    <x v="0"/>
    <x v="0"/>
    <n v="883.5"/>
    <n v="23854.5"/>
    <n v="1978.91"/>
    <n v="50545.319219999998"/>
    <n v="26690.819219999998"/>
    <n v="5.3999999999999999E-2"/>
    <n v="0"/>
    <s v="High"/>
    <n v="0.52805718970390547"/>
    <n v="27"/>
  </r>
  <r>
    <x v="1"/>
    <x v="1"/>
    <d v="2024-08-15T00:00:00"/>
    <d v="2024-08-31T00:00:00"/>
    <n v="-2"/>
    <n v="14"/>
    <n v="0"/>
    <s v="August"/>
    <s v="Q3-2024"/>
    <x v="0"/>
    <x v="1"/>
    <x v="0"/>
    <x v="1"/>
    <s v="Rio de Janeiro"/>
    <s v="Consumer"/>
    <x v="1"/>
    <x v="1"/>
    <x v="1"/>
    <x v="1"/>
    <x v="1"/>
    <n v="165.3"/>
    <n v="4132.5"/>
    <n v="275.07"/>
    <n v="5962.1422499999999"/>
    <n v="1829.6422499999999"/>
    <n v="0.13300000000000001"/>
    <n v="0"/>
    <s v="Low"/>
    <n v="0.30687665159280625"/>
    <n v="25"/>
  </r>
  <r>
    <x v="2"/>
    <x v="2"/>
    <d v="2023-04-11T00:00:00"/>
    <d v="2023-04-27T00:00:00"/>
    <n v="-2"/>
    <n v="14"/>
    <n v="0"/>
    <s v="April"/>
    <s v="Q2-2023"/>
    <x v="0"/>
    <x v="2"/>
    <x v="0"/>
    <x v="2"/>
    <s v="San Francisco"/>
    <s v="Education"/>
    <x v="2"/>
    <x v="2"/>
    <x v="2"/>
    <x v="2"/>
    <x v="2"/>
    <n v="32.1"/>
    <n v="706.2"/>
    <n v="70.599999999999994"/>
    <n v="1115.1975999999997"/>
    <n v="408.99759999999969"/>
    <n v="0.28199999999999997"/>
    <n v="1"/>
    <s v="Low"/>
    <n v="0.36674899587301818"/>
    <n v="22"/>
  </r>
  <r>
    <x v="3"/>
    <x v="3"/>
    <d v="2024-09-04T00:00:00"/>
    <d v="2024-09-20T00:00:00"/>
    <n v="-2"/>
    <n v="14"/>
    <n v="0"/>
    <s v="September"/>
    <s v="Q3-2024"/>
    <x v="1"/>
    <x v="3"/>
    <x v="1"/>
    <x v="3"/>
    <s v="Osaka"/>
    <s v="Corporate"/>
    <x v="1"/>
    <x v="3"/>
    <x v="1"/>
    <x v="3"/>
    <x v="3"/>
    <n v="1368.17"/>
    <n v="28731.57"/>
    <n v="2307.75"/>
    <n v="40563.321749999996"/>
    <n v="11831.751749999996"/>
    <n v="0.16300000000000001"/>
    <n v="0"/>
    <s v="High"/>
    <n v="0.29168596750831921"/>
    <n v="21"/>
  </r>
  <r>
    <x v="4"/>
    <x v="4"/>
    <d v="2025-05-19T00:00:00"/>
    <d v="2025-06-04T00:00:00"/>
    <n v="-2"/>
    <n v="14"/>
    <n v="0"/>
    <s v="May"/>
    <s v="Q2-2025"/>
    <x v="0"/>
    <x v="4"/>
    <x v="2"/>
    <x v="4"/>
    <s v="Birmingham"/>
    <s v="Enterprise"/>
    <x v="3"/>
    <x v="1"/>
    <x v="0"/>
    <x v="3"/>
    <x v="4"/>
    <n v="1015.16"/>
    <n v="19288.04"/>
    <n v="2148.14"/>
    <n v="39263.702919999996"/>
    <n v="19975.662919999995"/>
    <n v="3.7999999999999999E-2"/>
    <n v="0"/>
    <s v="High"/>
    <n v="0.50875647059322227"/>
    <n v="19"/>
  </r>
  <r>
    <x v="5"/>
    <x v="5"/>
    <d v="2024-05-26T00:00:00"/>
    <d v="2024-06-11T00:00:00"/>
    <n v="-2"/>
    <n v="14"/>
    <n v="0"/>
    <s v="May"/>
    <s v="Q2-2024"/>
    <x v="0"/>
    <x v="5"/>
    <x v="3"/>
    <x v="5"/>
    <s v="Abuja"/>
    <s v="Enterprise"/>
    <x v="3"/>
    <x v="0"/>
    <x v="3"/>
    <x v="4"/>
    <x v="5"/>
    <n v="1227.08"/>
    <n v="22087.439999999999"/>
    <n v="1896.62"/>
    <n v="34139.159999999996"/>
    <n v="12051.719999999998"/>
    <n v="0"/>
    <n v="0"/>
    <s v="High"/>
    <n v="0.353017473189147"/>
    <n v="18"/>
  </r>
  <r>
    <x v="6"/>
    <x v="6"/>
    <d v="2025-08-26T00:00:00"/>
    <d v="2025-09-11T00:00:00"/>
    <n v="-2"/>
    <n v="14"/>
    <n v="0"/>
    <s v="August"/>
    <s v="Q3-2025"/>
    <x v="0"/>
    <x v="5"/>
    <x v="3"/>
    <x v="5"/>
    <s v="Port Harcourt"/>
    <s v="Small Business"/>
    <x v="4"/>
    <x v="3"/>
    <x v="4"/>
    <x v="4"/>
    <x v="6"/>
    <n v="521.05999999999995"/>
    <n v="9379.0799999999981"/>
    <n v="1240.31"/>
    <n v="19066.045319999997"/>
    <n v="9686.9653199999993"/>
    <n v="0.14599999999999999"/>
    <n v="0"/>
    <s v="High"/>
    <n v="0.50807417885650974"/>
    <n v="18"/>
  </r>
  <r>
    <x v="7"/>
    <x v="7"/>
    <d v="2023-01-13T00:00:00"/>
    <d v="2023-01-29T00:00:00"/>
    <n v="-2"/>
    <n v="14"/>
    <n v="0"/>
    <s v="January"/>
    <s v="Q1-2023"/>
    <x v="0"/>
    <x v="5"/>
    <x v="3"/>
    <x v="5"/>
    <s v="Abuja"/>
    <s v="Education"/>
    <x v="3"/>
    <x v="4"/>
    <x v="5"/>
    <x v="0"/>
    <x v="7"/>
    <n v="28.38"/>
    <n v="510.84"/>
    <n v="47.22"/>
    <n v="685.06776000000002"/>
    <n v="174.22776000000005"/>
    <n v="0.19400000000000001"/>
    <n v="0"/>
    <s v="Low"/>
    <n v="0.25432193743871417"/>
    <n v="18"/>
  </r>
  <r>
    <x v="8"/>
    <x v="8"/>
    <d v="2024-06-28T00:00:00"/>
    <d v="2024-07-14T00:00:00"/>
    <n v="-2"/>
    <n v="14"/>
    <n v="0"/>
    <s v="June"/>
    <s v="Q2-2024"/>
    <x v="0"/>
    <x v="1"/>
    <x v="0"/>
    <x v="1"/>
    <s v="Rio de Janeiro"/>
    <s v="Small Business"/>
    <x v="1"/>
    <x v="5"/>
    <x v="6"/>
    <x v="4"/>
    <x v="8"/>
    <n v="1112.98"/>
    <n v="18920.66"/>
    <n v="2095.73"/>
    <n v="33062.236480000007"/>
    <n v="14141.576480000007"/>
    <n v="7.1999999999999995E-2"/>
    <n v="0"/>
    <s v="High"/>
    <n v="0.42772594916724777"/>
    <n v="17"/>
  </r>
  <r>
    <x v="9"/>
    <x v="4"/>
    <d v="2025-05-19T00:00:00"/>
    <d v="2025-06-04T00:00:00"/>
    <n v="-2"/>
    <n v="14"/>
    <n v="0"/>
    <s v="May"/>
    <s v="Q2-2025"/>
    <x v="0"/>
    <x v="6"/>
    <x v="3"/>
    <x v="6"/>
    <s v="Johannesburg"/>
    <s v="Non-Profit"/>
    <x v="0"/>
    <x v="4"/>
    <x v="0"/>
    <x v="3"/>
    <x v="9"/>
    <n v="1263.8399999999999"/>
    <n v="18957.599999999999"/>
    <n v="2281.7199999999998"/>
    <n v="31556.187599999997"/>
    <n v="12598.587599999999"/>
    <n v="7.8E-2"/>
    <n v="0"/>
    <s v="High"/>
    <n v="0.39924301882398494"/>
    <n v="15"/>
  </r>
  <r>
    <x v="10"/>
    <x v="9"/>
    <d v="2023-06-22T00:00:00"/>
    <d v="2023-07-08T00:00:00"/>
    <n v="-2"/>
    <n v="14"/>
    <n v="0"/>
    <s v="June"/>
    <s v="Q2-2023"/>
    <x v="0"/>
    <x v="0"/>
    <x v="0"/>
    <x v="0"/>
    <s v="Toronto"/>
    <s v="Non-Profit"/>
    <x v="4"/>
    <x v="1"/>
    <x v="7"/>
    <x v="4"/>
    <x v="10"/>
    <n v="471.42"/>
    <n v="7071.3"/>
    <n v="824.81"/>
    <n v="11283.400799999999"/>
    <n v="4212.1007999999993"/>
    <n v="8.7999999999999995E-2"/>
    <n v="0"/>
    <s v="High"/>
    <n v="0.37330064531608231"/>
    <n v="15"/>
  </r>
  <r>
    <x v="11"/>
    <x v="10"/>
    <d v="2024-04-24T00:00:00"/>
    <d v="2024-05-10T00:00:00"/>
    <n v="-2"/>
    <n v="14"/>
    <n v="0"/>
    <s v="April"/>
    <s v="Q2-2024"/>
    <x v="0"/>
    <x v="4"/>
    <x v="2"/>
    <x v="4"/>
    <s v="London"/>
    <s v="Non-Profit"/>
    <x v="0"/>
    <x v="6"/>
    <x v="8"/>
    <x v="5"/>
    <x v="11"/>
    <n v="1232.77"/>
    <n v="12327.7"/>
    <n v="891.73"/>
    <n v="7428.1108999999988"/>
    <n v="-4899.589100000002"/>
    <n v="0.16700000000000001"/>
    <n v="0"/>
    <s v="High"/>
    <n v="-0.65960096260813805"/>
    <n v="10"/>
  </r>
  <r>
    <x v="12"/>
    <x v="11"/>
    <d v="2025-05-17T00:00:00"/>
    <d v="2025-06-02T00:00:00"/>
    <n v="-2"/>
    <n v="14"/>
    <n v="0"/>
    <s v="May"/>
    <s v="Q2-2025"/>
    <x v="0"/>
    <x v="1"/>
    <x v="0"/>
    <x v="1"/>
    <s v="São Paulo"/>
    <s v="Small Business"/>
    <x v="0"/>
    <x v="5"/>
    <x v="9"/>
    <x v="1"/>
    <x v="12"/>
    <n v="383.77"/>
    <n v="3837.7"/>
    <n v="952.56"/>
    <n v="6229.7423999999992"/>
    <n v="2392.0423999999994"/>
    <n v="0.34599999999999997"/>
    <n v="1"/>
    <s v="High"/>
    <n v="0.38397131797937578"/>
    <n v="10"/>
  </r>
  <r>
    <x v="13"/>
    <x v="12"/>
    <d v="2024-08-21T00:00:00"/>
    <d v="2024-09-06T00:00:00"/>
    <n v="-2"/>
    <n v="14"/>
    <n v="0"/>
    <s v="August"/>
    <s v="Q3-2024"/>
    <x v="0"/>
    <x v="6"/>
    <x v="3"/>
    <x v="6"/>
    <s v="Johannesburg"/>
    <s v="Education"/>
    <x v="4"/>
    <x v="7"/>
    <x v="10"/>
    <x v="6"/>
    <x v="13"/>
    <n v="1432.52"/>
    <n v="12892.68"/>
    <n v="3036.87"/>
    <n v="27331.829999999998"/>
    <n v="14439.149999999998"/>
    <n v="0"/>
    <n v="0"/>
    <s v="High"/>
    <n v="0.52829064135112791"/>
    <n v="9"/>
  </r>
  <r>
    <x v="14"/>
    <x v="13"/>
    <d v="2023-05-05T00:00:00"/>
    <d v="2023-05-21T00:00:00"/>
    <n v="-2"/>
    <n v="14"/>
    <n v="0"/>
    <s v="May"/>
    <s v="Q2-2023"/>
    <x v="0"/>
    <x v="5"/>
    <x v="3"/>
    <x v="5"/>
    <s v="Port Harcourt"/>
    <s v="Non-Profit"/>
    <x v="2"/>
    <x v="3"/>
    <x v="2"/>
    <x v="6"/>
    <x v="14"/>
    <n v="1269.6500000000001"/>
    <n v="10157.200000000001"/>
    <n v="2462.77"/>
    <n v="17594.028880000002"/>
    <n v="7436.8288800000009"/>
    <n v="0.107"/>
    <n v="0"/>
    <s v="High"/>
    <n v="0.42269050089225502"/>
    <n v="8"/>
  </r>
  <r>
    <x v="15"/>
    <x v="14"/>
    <d v="2023-04-19T00:00:00"/>
    <d v="2023-05-05T00:00:00"/>
    <n v="-2"/>
    <n v="14"/>
    <n v="0"/>
    <s v="April"/>
    <s v="Q2-2023"/>
    <x v="1"/>
    <x v="3"/>
    <x v="1"/>
    <x v="3"/>
    <s v="Nagoya"/>
    <s v="Small Business"/>
    <x v="1"/>
    <x v="1"/>
    <x v="11"/>
    <x v="6"/>
    <x v="15"/>
    <n v="607.04"/>
    <n v="4249.28"/>
    <n v="1229.3399999999999"/>
    <n v="7340.3891399999993"/>
    <n v="3091.1091399999996"/>
    <n v="0.14699999999999999"/>
    <n v="0"/>
    <s v="High"/>
    <n v="0.42110970972310058"/>
    <n v="7"/>
  </r>
  <r>
    <x v="16"/>
    <x v="15"/>
    <d v="2023-12-05T00:00:00"/>
    <d v="2023-12-21T00:00:00"/>
    <n v="-2"/>
    <n v="14"/>
    <n v="0"/>
    <s v="December"/>
    <s v="Q4-2023"/>
    <x v="1"/>
    <x v="3"/>
    <x v="1"/>
    <x v="3"/>
    <s v="Tokyo"/>
    <s v="Non-Profit"/>
    <x v="2"/>
    <x v="8"/>
    <x v="12"/>
    <x v="0"/>
    <x v="16"/>
    <n v="1097.5899999999999"/>
    <n v="6585.5399999999991"/>
    <n v="845.55"/>
    <n v="4139.8127999999997"/>
    <n v="-2445.7271999999994"/>
    <n v="0.184"/>
    <n v="0"/>
    <s v="High"/>
    <n v="-0.59078207594314402"/>
    <n v="6"/>
  </r>
  <r>
    <x v="17"/>
    <x v="16"/>
    <d v="2025-02-15T00:00:00"/>
    <d v="2025-03-03T00:00:00"/>
    <n v="-2"/>
    <n v="14"/>
    <n v="0"/>
    <s v="February"/>
    <s v="Q1-2025"/>
    <x v="0"/>
    <x v="0"/>
    <x v="0"/>
    <x v="0"/>
    <s v="Toronto"/>
    <s v="Small Business"/>
    <x v="4"/>
    <x v="9"/>
    <x v="13"/>
    <x v="6"/>
    <x v="17"/>
    <n v="1133.47"/>
    <n v="5667.35"/>
    <n v="1698.75"/>
    <n v="8128.5187499999993"/>
    <n v="2461.1687499999989"/>
    <n v="4.2999999999999997E-2"/>
    <n v="0"/>
    <s v="High"/>
    <n v="0.30278194904821976"/>
    <n v="5"/>
  </r>
  <r>
    <x v="18"/>
    <x v="17"/>
    <d v="2023-05-18T00:00:00"/>
    <d v="2023-06-03T00:00:00"/>
    <n v="-2"/>
    <n v="14"/>
    <n v="0"/>
    <s v="May"/>
    <s v="Q2-2023"/>
    <x v="0"/>
    <x v="6"/>
    <x v="3"/>
    <x v="6"/>
    <s v="Durban"/>
    <s v="Corporate"/>
    <x v="0"/>
    <x v="3"/>
    <x v="14"/>
    <x v="6"/>
    <x v="18"/>
    <n v="917.88"/>
    <n v="4589.3999999999996"/>
    <n v="1347.92"/>
    <n v="4427.9172000000008"/>
    <n v="-161.48279999999886"/>
    <n v="0.34300000000000003"/>
    <n v="1"/>
    <s v="High"/>
    <n v="-3.6469245630880096E-2"/>
    <n v="5"/>
  </r>
  <r>
    <x v="19"/>
    <x v="18"/>
    <d v="2024-10-22T00:00:00"/>
    <d v="2024-11-06T00:00:00"/>
    <n v="-1"/>
    <n v="14"/>
    <n v="0"/>
    <s v="October"/>
    <s v="Q4-2024"/>
    <x v="0"/>
    <x v="5"/>
    <x v="3"/>
    <x v="5"/>
    <s v="Port Harcourt"/>
    <s v="Education"/>
    <x v="3"/>
    <x v="10"/>
    <x v="15"/>
    <x v="0"/>
    <x v="19"/>
    <n v="1084.3900000000001"/>
    <n v="33616.090000000004"/>
    <n v="759.33"/>
    <n v="17960.432489999999"/>
    <n v="-15655.657510000005"/>
    <n v="0.23699999999999999"/>
    <n v="1"/>
    <s v="Low"/>
    <n v="-0.87167486187856302"/>
    <n v="31"/>
  </r>
  <r>
    <x v="20"/>
    <x v="19"/>
    <d v="2023-08-02T00:00:00"/>
    <d v="2023-08-17T00:00:00"/>
    <n v="-1"/>
    <n v="14"/>
    <n v="0"/>
    <s v="August"/>
    <s v="Q3-2023"/>
    <x v="0"/>
    <x v="7"/>
    <x v="1"/>
    <x v="7"/>
    <s v="Shanghai"/>
    <s v="Non-Profit"/>
    <x v="1"/>
    <x v="10"/>
    <x v="16"/>
    <x v="2"/>
    <x v="20"/>
    <n v="1021.97"/>
    <n v="26571.22"/>
    <n v="2296.25"/>
    <n v="50090.397499999999"/>
    <n v="23519.177499999998"/>
    <n v="0.161"/>
    <n v="0"/>
    <s v="High"/>
    <n v="0.46953465482081669"/>
    <n v="26"/>
  </r>
  <r>
    <x v="21"/>
    <x v="20"/>
    <d v="2023-02-26T00:00:00"/>
    <d v="2023-03-13T00:00:00"/>
    <n v="-1"/>
    <n v="14"/>
    <n v="0"/>
    <s v="February"/>
    <s v="Q1-2023"/>
    <x v="0"/>
    <x v="2"/>
    <x v="0"/>
    <x v="2"/>
    <s v="San Francisco"/>
    <s v="Non-Profit"/>
    <x v="3"/>
    <x v="5"/>
    <x v="11"/>
    <x v="2"/>
    <x v="21"/>
    <n v="1015.91"/>
    <n v="26413.66"/>
    <n v="2331.48"/>
    <n v="51768.181920000003"/>
    <n v="25354.521920000003"/>
    <n v="0.14599999999999999"/>
    <n v="0"/>
    <s v="High"/>
    <n v="0.48977037592669626"/>
    <n v="26"/>
  </r>
  <r>
    <x v="22"/>
    <x v="21"/>
    <d v="2023-11-29T00:00:00"/>
    <d v="2023-12-14T00:00:00"/>
    <n v="-1"/>
    <n v="14"/>
    <n v="0"/>
    <s v="November"/>
    <s v="Q4-2023"/>
    <x v="0"/>
    <x v="6"/>
    <x v="3"/>
    <x v="6"/>
    <s v="Durban"/>
    <s v="Small Business"/>
    <x v="2"/>
    <x v="7"/>
    <x v="17"/>
    <x v="3"/>
    <x v="22"/>
    <n v="275.56"/>
    <n v="6337.88"/>
    <n v="630.72"/>
    <n v="12954.358080000002"/>
    <n v="6616.4780800000017"/>
    <n v="0.107"/>
    <n v="0"/>
    <s v="Low"/>
    <n v="0.5107530638831933"/>
    <n v="23"/>
  </r>
  <r>
    <x v="23"/>
    <x v="22"/>
    <d v="2024-01-01T00:00:00"/>
    <d v="2024-01-16T00:00:00"/>
    <n v="-1"/>
    <n v="14"/>
    <n v="0"/>
    <s v="January"/>
    <s v="Q1-2024"/>
    <x v="0"/>
    <x v="2"/>
    <x v="0"/>
    <x v="2"/>
    <s v="Chicago"/>
    <s v="Education"/>
    <x v="2"/>
    <x v="11"/>
    <x v="18"/>
    <x v="2"/>
    <x v="23"/>
    <n v="404.77"/>
    <n v="8904.9399999999987"/>
    <n v="433.88"/>
    <n v="7493.1076000000012"/>
    <n v="-1411.8323999999975"/>
    <n v="0.215"/>
    <n v="1"/>
    <s v="Low"/>
    <n v="-0.18841747314558746"/>
    <n v="22"/>
  </r>
  <r>
    <x v="24"/>
    <x v="23"/>
    <d v="2024-01-27T00:00:00"/>
    <d v="2024-02-11T00:00:00"/>
    <n v="-1"/>
    <n v="14"/>
    <n v="0"/>
    <s v="January"/>
    <s v="Q1-2024"/>
    <x v="0"/>
    <x v="6"/>
    <x v="3"/>
    <x v="6"/>
    <s v="Cape Town"/>
    <s v="Enterprise"/>
    <x v="1"/>
    <x v="4"/>
    <x v="19"/>
    <x v="6"/>
    <x v="24"/>
    <n v="109.75"/>
    <n v="2085.25"/>
    <n v="124.25"/>
    <n v="2077.46"/>
    <n v="-7.7899999999999636"/>
    <n v="0.12"/>
    <n v="0"/>
    <s v="Low"/>
    <n v="-3.7497713554051405E-3"/>
    <n v="19"/>
  </r>
  <r>
    <x v="25"/>
    <x v="24"/>
    <d v="2025-04-22T00:00:00"/>
    <d v="2025-05-07T00:00:00"/>
    <n v="-1"/>
    <n v="14"/>
    <n v="0"/>
    <s v="April"/>
    <s v="Q2-2025"/>
    <x v="0"/>
    <x v="2"/>
    <x v="0"/>
    <x v="2"/>
    <s v="San Francisco"/>
    <s v="Non-Profit"/>
    <x v="0"/>
    <x v="9"/>
    <x v="9"/>
    <x v="1"/>
    <x v="25"/>
    <n v="23.24"/>
    <n v="348.59999999999997"/>
    <n v="44.57"/>
    <n v="524.81174999999996"/>
    <n v="176.21174999999999"/>
    <n v="0.215"/>
    <n v="1"/>
    <s v="Low"/>
    <n v="0.33576182316802167"/>
    <n v="15"/>
  </r>
  <r>
    <x v="26"/>
    <x v="25"/>
    <d v="2023-02-27T00:00:00"/>
    <d v="2023-03-14T00:00:00"/>
    <n v="-1"/>
    <n v="14"/>
    <n v="0"/>
    <s v="February"/>
    <s v="Q1-2023"/>
    <x v="0"/>
    <x v="8"/>
    <x v="2"/>
    <x v="8"/>
    <s v="Marseille"/>
    <s v="Corporate"/>
    <x v="4"/>
    <x v="12"/>
    <x v="11"/>
    <x v="2"/>
    <x v="26"/>
    <n v="1299.81"/>
    <n v="18197.34"/>
    <n v="3149.13"/>
    <n v="39546.774539999999"/>
    <n v="21349.434539999998"/>
    <n v="0.10299999999999999"/>
    <n v="0"/>
    <s v="High"/>
    <n v="0.53985273864511729"/>
    <n v="14"/>
  </r>
  <r>
    <x v="27"/>
    <x v="26"/>
    <d v="2024-07-12T00:00:00"/>
    <d v="2024-07-27T00:00:00"/>
    <n v="-1"/>
    <n v="14"/>
    <n v="0"/>
    <s v="July"/>
    <s v="Q3-2024"/>
    <x v="1"/>
    <x v="3"/>
    <x v="1"/>
    <x v="3"/>
    <s v="Nagoya"/>
    <s v="Small Business"/>
    <x v="2"/>
    <x v="0"/>
    <x v="3"/>
    <x v="2"/>
    <x v="27"/>
    <n v="105.13"/>
    <n v="1471.82"/>
    <n v="244.13"/>
    <n v="3175.1547799999998"/>
    <n v="1703.3347799999999"/>
    <n v="7.0999999999999994E-2"/>
    <n v="0"/>
    <s v="Low"/>
    <n v="0.53645724319618837"/>
    <n v="14"/>
  </r>
  <r>
    <x v="28"/>
    <x v="27"/>
    <d v="2024-02-29T00:00:00"/>
    <d v="2024-03-15T00:00:00"/>
    <n v="-1"/>
    <n v="14"/>
    <n v="0"/>
    <s v="March"/>
    <s v="Q1-2024"/>
    <x v="0"/>
    <x v="1"/>
    <x v="0"/>
    <x v="1"/>
    <s v="São Paulo"/>
    <s v="Non-Profit"/>
    <x v="1"/>
    <x v="13"/>
    <x v="20"/>
    <x v="5"/>
    <x v="28"/>
    <n v="5.34"/>
    <n v="53.4"/>
    <n v="12.69"/>
    <n v="110.14919999999999"/>
    <n v="56.749199999999995"/>
    <n v="0.13200000000000001"/>
    <n v="0"/>
    <s v="Low"/>
    <n v="0.51520301554618642"/>
    <n v="10"/>
  </r>
  <r>
    <x v="29"/>
    <x v="28"/>
    <d v="2023-04-22T00:00:00"/>
    <d v="2023-05-07T00:00:00"/>
    <n v="-1"/>
    <n v="14"/>
    <n v="0"/>
    <s v="April"/>
    <s v="Q2-2023"/>
    <x v="0"/>
    <x v="9"/>
    <x v="3"/>
    <x v="9"/>
    <s v="Nairobi"/>
    <s v="Small Business"/>
    <x v="1"/>
    <x v="7"/>
    <x v="2"/>
    <x v="3"/>
    <x v="29"/>
    <n v="756.51"/>
    <n v="6808.59"/>
    <n v="850.8"/>
    <n v="7090.5672000000004"/>
    <n v="281.97720000000027"/>
    <n v="7.3999999999999996E-2"/>
    <n v="0"/>
    <s v="High"/>
    <n v="3.9767932810791252E-2"/>
    <n v="9"/>
  </r>
  <r>
    <x v="30"/>
    <x v="9"/>
    <d v="2023-06-23T00:00:00"/>
    <d v="2023-07-08T00:00:00"/>
    <n v="-1"/>
    <n v="14"/>
    <n v="0"/>
    <s v="June"/>
    <s v="Q2-2023"/>
    <x v="0"/>
    <x v="1"/>
    <x v="0"/>
    <x v="1"/>
    <s v="Rio de Janeiro"/>
    <s v="Non-Profit"/>
    <x v="4"/>
    <x v="7"/>
    <x v="14"/>
    <x v="0"/>
    <x v="30"/>
    <n v="804.01"/>
    <n v="6432.08"/>
    <n v="1405.07"/>
    <n v="10161.46624"/>
    <n v="3729.3862399999998"/>
    <n v="9.6000000000000002E-2"/>
    <n v="0"/>
    <s v="High"/>
    <n v="0.36701260939287439"/>
    <n v="8"/>
  </r>
  <r>
    <x v="31"/>
    <x v="29"/>
    <d v="2023-01-21T00:00:00"/>
    <d v="2023-02-05T00:00:00"/>
    <n v="-1"/>
    <n v="14"/>
    <n v="0"/>
    <s v="January"/>
    <s v="Q1-2023"/>
    <x v="0"/>
    <x v="10"/>
    <x v="2"/>
    <x v="10"/>
    <s v="Munich"/>
    <s v="Corporate"/>
    <x v="1"/>
    <x v="0"/>
    <x v="5"/>
    <x v="1"/>
    <x v="31"/>
    <n v="150.86000000000001"/>
    <n v="1206.8800000000001"/>
    <n v="346.96"/>
    <n v="2231.6467200000002"/>
    <n v="1024.7667200000001"/>
    <n v="0.19600000000000001"/>
    <n v="0"/>
    <s v="Low"/>
    <n v="0.45919755614365343"/>
    <n v="8"/>
  </r>
  <r>
    <x v="32"/>
    <x v="30"/>
    <d v="2024-07-24T00:00:00"/>
    <d v="2024-08-08T00:00:00"/>
    <n v="-1"/>
    <n v="14"/>
    <n v="0"/>
    <s v="July"/>
    <s v="Q3-2024"/>
    <x v="0"/>
    <x v="9"/>
    <x v="3"/>
    <x v="9"/>
    <s v="Mombasa"/>
    <s v="Non-Profit"/>
    <x v="1"/>
    <x v="10"/>
    <x v="1"/>
    <x v="3"/>
    <x v="32"/>
    <n v="1494.4"/>
    <n v="10460.800000000001"/>
    <n v="3661.07"/>
    <n v="23782.310720000001"/>
    <n v="13321.51072"/>
    <n v="7.1999999999999995E-2"/>
    <n v="0"/>
    <s v="High"/>
    <n v="0.56014366630897339"/>
    <n v="7"/>
  </r>
  <r>
    <x v="33"/>
    <x v="31"/>
    <d v="2023-07-21T00:00:00"/>
    <d v="2023-08-05T00:00:00"/>
    <n v="-1"/>
    <n v="14"/>
    <n v="0"/>
    <s v="July"/>
    <s v="Q3-2023"/>
    <x v="0"/>
    <x v="1"/>
    <x v="1"/>
    <x v="11"/>
    <s v="Delhi"/>
    <s v="Small Business"/>
    <x v="0"/>
    <x v="7"/>
    <x v="7"/>
    <x v="0"/>
    <x v="33"/>
    <n v="946.99"/>
    <n v="6628.93"/>
    <n v="2132.19"/>
    <n v="12462.65055"/>
    <n v="5833.72055"/>
    <n v="0.16500000000000001"/>
    <n v="0"/>
    <s v="High"/>
    <n v="0.46809629513362228"/>
    <n v="7"/>
  </r>
  <r>
    <x v="34"/>
    <x v="22"/>
    <d v="2024-01-02T00:00:00"/>
    <d v="2024-01-02T00:00:00"/>
    <n v="0"/>
    <n v="0"/>
    <n v="1"/>
    <s v="January"/>
    <s v="Q1-2024"/>
    <x v="0"/>
    <x v="0"/>
    <x v="0"/>
    <x v="0"/>
    <s v="Vancouver"/>
    <s v="Education"/>
    <x v="1"/>
    <x v="3"/>
    <x v="19"/>
    <x v="3"/>
    <x v="34"/>
    <n v="444.41"/>
    <n v="14221.12"/>
    <n v="754.24"/>
    <n v="19139.594240000002"/>
    <n v="4918.4742400000014"/>
    <n v="0.20699999999999999"/>
    <n v="1"/>
    <s v="Low"/>
    <n v="0.25697902360546598"/>
    <n v="32"/>
  </r>
  <r>
    <x v="35"/>
    <x v="32"/>
    <d v="2024-12-08T00:00:00"/>
    <d v="2024-12-08T00:00:00"/>
    <n v="0"/>
    <n v="0"/>
    <n v="1"/>
    <s v="December"/>
    <s v="Q4-2024"/>
    <x v="0"/>
    <x v="8"/>
    <x v="2"/>
    <x v="8"/>
    <s v="Lyon"/>
    <s v="Enterprise"/>
    <x v="4"/>
    <x v="8"/>
    <x v="21"/>
    <x v="6"/>
    <x v="35"/>
    <n v="257.44"/>
    <n v="5921.12"/>
    <n v="290.33"/>
    <n v="6063.2517199999993"/>
    <n v="142.1317199999994"/>
    <n v="9.1999999999999998E-2"/>
    <n v="0"/>
    <s v="Low"/>
    <n v="2.3441500792581216E-2"/>
    <n v="23"/>
  </r>
  <r>
    <x v="36"/>
    <x v="33"/>
    <d v="2024-02-14T00:00:00"/>
    <d v="2024-02-14T00:00:00"/>
    <n v="0"/>
    <n v="0"/>
    <n v="1"/>
    <s v="February"/>
    <s v="Q1-2024"/>
    <x v="0"/>
    <x v="7"/>
    <x v="1"/>
    <x v="7"/>
    <s v="Beijing"/>
    <s v="Corporate"/>
    <x v="0"/>
    <x v="5"/>
    <x v="20"/>
    <x v="4"/>
    <x v="36"/>
    <n v="65.930000000000007"/>
    <n v="1516.39"/>
    <n v="84.9"/>
    <n v="1446.9507000000001"/>
    <n v="-69.439300000000003"/>
    <n v="0.25900000000000001"/>
    <n v="1"/>
    <s v="Low"/>
    <n v="-4.7990093926489688E-2"/>
    <n v="23"/>
  </r>
  <r>
    <x v="37"/>
    <x v="34"/>
    <d v="2025-01-22T00:00:00"/>
    <d v="2025-01-22T00:00:00"/>
    <n v="0"/>
    <n v="0"/>
    <n v="1"/>
    <s v="January"/>
    <s v="Q1-2025"/>
    <x v="0"/>
    <x v="8"/>
    <x v="2"/>
    <x v="8"/>
    <s v="Lyon"/>
    <s v="Small Business"/>
    <x v="3"/>
    <x v="11"/>
    <x v="22"/>
    <x v="4"/>
    <x v="37"/>
    <n v="591.72"/>
    <n v="13017.84"/>
    <n v="577.24"/>
    <n v="12699.28"/>
    <n v="-318.55999999999949"/>
    <n v="0"/>
    <n v="0"/>
    <s v="Low"/>
    <n v="-2.5084886702238195E-2"/>
    <n v="22"/>
  </r>
  <r>
    <x v="38"/>
    <x v="35"/>
    <d v="2025-04-17T00:00:00"/>
    <d v="2025-04-17T00:00:00"/>
    <n v="0"/>
    <n v="0"/>
    <n v="1"/>
    <s v="April"/>
    <s v="Q2-2025"/>
    <x v="0"/>
    <x v="1"/>
    <x v="0"/>
    <x v="1"/>
    <s v="São Paulo"/>
    <s v="Corporate"/>
    <x v="0"/>
    <x v="5"/>
    <x v="23"/>
    <x v="5"/>
    <x v="38"/>
    <n v="719.41"/>
    <n v="15107.609999999999"/>
    <n v="1125.99"/>
    <n v="22676.312610000001"/>
    <n v="7568.7026100000021"/>
    <n v="4.1000000000000002E-2"/>
    <n v="0"/>
    <s v="High"/>
    <n v="0.33377131194876403"/>
    <n v="21"/>
  </r>
  <r>
    <x v="39"/>
    <x v="36"/>
    <d v="2024-10-08T00:00:00"/>
    <d v="2024-10-08T00:00:00"/>
    <n v="0"/>
    <n v="0"/>
    <n v="1"/>
    <s v="October"/>
    <s v="Q4-2024"/>
    <x v="0"/>
    <x v="4"/>
    <x v="2"/>
    <x v="4"/>
    <s v="London"/>
    <s v="Corporate"/>
    <x v="3"/>
    <x v="7"/>
    <x v="24"/>
    <x v="1"/>
    <x v="39"/>
    <n v="1108.1099999999999"/>
    <n v="21054.089999999997"/>
    <n v="2503.79"/>
    <n v="38818.760160000005"/>
    <n v="17764.670160000009"/>
    <n v="0.184"/>
    <n v="0"/>
    <s v="High"/>
    <n v="0.45763105485025896"/>
    <n v="19"/>
  </r>
  <r>
    <x v="40"/>
    <x v="37"/>
    <d v="2023-07-14T00:00:00"/>
    <d v="2023-07-14T00:00:00"/>
    <n v="0"/>
    <n v="0"/>
    <n v="1"/>
    <s v="July"/>
    <s v="Q3-2023"/>
    <x v="0"/>
    <x v="5"/>
    <x v="3"/>
    <x v="5"/>
    <s v="Lagos"/>
    <s v="Education"/>
    <x v="4"/>
    <x v="13"/>
    <x v="7"/>
    <x v="4"/>
    <x v="40"/>
    <n v="956.38"/>
    <n v="18171.22"/>
    <n v="1454.22"/>
    <n v="26552.60298"/>
    <n v="8381.3829799999985"/>
    <n v="3.9E-2"/>
    <n v="0"/>
    <s v="High"/>
    <n v="0.31565202802576603"/>
    <n v="19"/>
  </r>
  <r>
    <x v="41"/>
    <x v="38"/>
    <d v="2024-07-15T00:00:00"/>
    <d v="2024-07-15T00:00:00"/>
    <n v="0"/>
    <n v="0"/>
    <n v="1"/>
    <s v="July"/>
    <s v="Q3-2024"/>
    <x v="1"/>
    <x v="3"/>
    <x v="1"/>
    <x v="3"/>
    <s v="Tokyo"/>
    <s v="Small Business"/>
    <x v="2"/>
    <x v="2"/>
    <x v="3"/>
    <x v="4"/>
    <x v="41"/>
    <n v="801.77"/>
    <n v="12828.32"/>
    <n v="1218.92"/>
    <n v="14549.029120000001"/>
    <n v="1720.7091200000013"/>
    <n v="0.254"/>
    <n v="1"/>
    <s v="High"/>
    <n v="0.11826968698788344"/>
    <n v="16"/>
  </r>
  <r>
    <x v="42"/>
    <x v="39"/>
    <d v="2024-02-01T00:00:00"/>
    <d v="2024-02-01T00:00:00"/>
    <n v="0"/>
    <n v="0"/>
    <n v="1"/>
    <s v="February"/>
    <s v="Q1-2024"/>
    <x v="0"/>
    <x v="2"/>
    <x v="0"/>
    <x v="2"/>
    <s v="Austin"/>
    <s v="Consumer"/>
    <x v="0"/>
    <x v="8"/>
    <x v="19"/>
    <x v="0"/>
    <x v="42"/>
    <n v="714.43"/>
    <n v="10002.019999999999"/>
    <n v="1595.52"/>
    <n v="18003.847679999999"/>
    <n v="8001.8276800000003"/>
    <n v="0.19400000000000001"/>
    <n v="0"/>
    <s v="High"/>
    <n v="0.44445097638151093"/>
    <n v="14"/>
  </r>
  <r>
    <x v="43"/>
    <x v="40"/>
    <d v="2024-02-20T00:00:00"/>
    <d v="2024-02-20T00:00:00"/>
    <n v="0"/>
    <n v="0"/>
    <n v="1"/>
    <s v="February"/>
    <s v="Q1-2024"/>
    <x v="0"/>
    <x v="2"/>
    <x v="0"/>
    <x v="2"/>
    <s v="New York"/>
    <s v="Enterprise"/>
    <x v="3"/>
    <x v="14"/>
    <x v="20"/>
    <x v="2"/>
    <x v="43"/>
    <n v="1407.05"/>
    <n v="16884.599999999999"/>
    <n v="2858.93"/>
    <n v="34307.159999999996"/>
    <n v="17422.559999999998"/>
    <n v="0"/>
    <n v="0"/>
    <s v="High"/>
    <n v="0.50784034586366222"/>
    <n v="12"/>
  </r>
  <r>
    <x v="44"/>
    <x v="41"/>
    <d v="2023-10-21T00:00:00"/>
    <d v="2023-10-21T00:00:00"/>
    <n v="0"/>
    <n v="0"/>
    <n v="1"/>
    <s v="October"/>
    <s v="Q4-2023"/>
    <x v="0"/>
    <x v="4"/>
    <x v="2"/>
    <x v="4"/>
    <s v="Manchester"/>
    <s v="Enterprise"/>
    <x v="0"/>
    <x v="10"/>
    <x v="12"/>
    <x v="1"/>
    <x v="44"/>
    <n v="384.19"/>
    <n v="3841.9"/>
    <n v="278.35000000000002"/>
    <n v="2627.6239999999998"/>
    <n v="-1214.2760000000003"/>
    <n v="5.6000000000000001E-2"/>
    <n v="0"/>
    <s v="Low"/>
    <n v="-0.46211938998882657"/>
    <n v="10"/>
  </r>
  <r>
    <x v="45"/>
    <x v="42"/>
    <d v="2024-09-07T00:00:00"/>
    <d v="2024-09-07T00:00:00"/>
    <n v="0"/>
    <n v="0"/>
    <n v="1"/>
    <s v="September"/>
    <s v="Q3-2024"/>
    <x v="0"/>
    <x v="1"/>
    <x v="1"/>
    <x v="11"/>
    <s v="Mumbai"/>
    <s v="Education"/>
    <x v="0"/>
    <x v="11"/>
    <x v="10"/>
    <x v="2"/>
    <x v="45"/>
    <n v="1066.6500000000001"/>
    <n v="9599.85"/>
    <n v="2569.77"/>
    <n v="20028.787380000002"/>
    <n v="10428.937380000001"/>
    <n v="0.13400000000000001"/>
    <n v="0"/>
    <s v="High"/>
    <n v="0.52069739331368348"/>
    <n v="9"/>
  </r>
  <r>
    <x v="46"/>
    <x v="43"/>
    <d v="2024-07-19T00:00:00"/>
    <d v="2024-07-19T00:00:00"/>
    <n v="0"/>
    <n v="0"/>
    <n v="1"/>
    <s v="July"/>
    <s v="Q3-2024"/>
    <x v="0"/>
    <x v="9"/>
    <x v="3"/>
    <x v="9"/>
    <s v="Kisumu"/>
    <s v="Small Business"/>
    <x v="4"/>
    <x v="3"/>
    <x v="6"/>
    <x v="5"/>
    <x v="46"/>
    <n v="857.24"/>
    <n v="5143.4400000000005"/>
    <n v="758.23"/>
    <n v="3980.7075"/>
    <n v="-1162.7325000000005"/>
    <n v="0.125"/>
    <n v="0"/>
    <s v="Low"/>
    <n v="-0.29209192084572921"/>
    <n v="6"/>
  </r>
  <r>
    <x v="47"/>
    <x v="44"/>
    <d v="2025-02-15T00:00:00"/>
    <d v="2025-02-15T00:00:00"/>
    <n v="0"/>
    <n v="0"/>
    <n v="1"/>
    <s v="February"/>
    <s v="Q1-2025"/>
    <x v="0"/>
    <x v="10"/>
    <x v="2"/>
    <x v="10"/>
    <s v="Frankfurt"/>
    <s v="Small Business"/>
    <x v="2"/>
    <x v="5"/>
    <x v="22"/>
    <x v="4"/>
    <x v="47"/>
    <n v="815.83"/>
    <n v="4894.9800000000005"/>
    <n v="1982.18"/>
    <n v="10382.65884"/>
    <n v="5487.6788399999996"/>
    <n v="0.127"/>
    <n v="0"/>
    <s v="High"/>
    <n v="0.52854272923408507"/>
    <n v="6"/>
  </r>
  <r>
    <x v="48"/>
    <x v="45"/>
    <d v="2023-06-01T00:00:00"/>
    <d v="2023-06-01T00:00:00"/>
    <n v="0"/>
    <n v="0"/>
    <n v="1"/>
    <s v="June"/>
    <s v="Q2-2023"/>
    <x v="0"/>
    <x v="1"/>
    <x v="1"/>
    <x v="11"/>
    <s v="Bengaluru"/>
    <s v="Corporate"/>
    <x v="4"/>
    <x v="7"/>
    <x v="14"/>
    <x v="4"/>
    <x v="48"/>
    <n v="669.37"/>
    <n v="3346.85"/>
    <n v="997.2"/>
    <n v="4577.1480000000001"/>
    <n v="1230.2980000000002"/>
    <n v="8.2000000000000003E-2"/>
    <n v="0"/>
    <s v="High"/>
    <n v="0.26879139586484863"/>
    <n v="5"/>
  </r>
  <r>
    <x v="49"/>
    <x v="46"/>
    <d v="2023-04-26T00:00:00"/>
    <d v="2023-04-26T00:00:00"/>
    <n v="0"/>
    <n v="0"/>
    <n v="1"/>
    <s v="April"/>
    <s v="Q2-2023"/>
    <x v="0"/>
    <x v="8"/>
    <x v="2"/>
    <x v="8"/>
    <s v="Marseille"/>
    <s v="Consumer"/>
    <x v="1"/>
    <x v="1"/>
    <x v="2"/>
    <x v="6"/>
    <x v="49"/>
    <n v="81.489999999999995"/>
    <n v="407.45"/>
    <n v="113.08"/>
    <n v="496.98660000000001"/>
    <n v="89.536600000000021"/>
    <n v="0.121"/>
    <n v="0"/>
    <s v="Low"/>
    <n v="0.18015898215364362"/>
    <n v="5"/>
  </r>
  <r>
    <x v="50"/>
    <x v="47"/>
    <d v="2024-11-08T00:00:00"/>
    <d v="2024-11-08T00:00:00"/>
    <n v="0"/>
    <n v="0"/>
    <n v="1"/>
    <s v="November"/>
    <s v="Q4-2024"/>
    <x v="0"/>
    <x v="9"/>
    <x v="3"/>
    <x v="9"/>
    <s v="Nakuru"/>
    <s v="Enterprise"/>
    <x v="2"/>
    <x v="1"/>
    <x v="15"/>
    <x v="2"/>
    <x v="50"/>
    <n v="803.28"/>
    <n v="3213.12"/>
    <n v="1009"/>
    <n v="3592.04"/>
    <n v="378.92000000000007"/>
    <n v="0.11"/>
    <n v="0"/>
    <s v="High"/>
    <n v="0.10548880302001093"/>
    <n v="4"/>
  </r>
  <r>
    <x v="51"/>
    <x v="48"/>
    <d v="2023-03-26T00:00:00"/>
    <d v="2023-03-26T00:00:00"/>
    <n v="1"/>
    <n v="1"/>
    <n v="1"/>
    <s v="March"/>
    <s v="Q1-2023"/>
    <x v="1"/>
    <x v="3"/>
    <x v="1"/>
    <x v="3"/>
    <s v="Osaka"/>
    <s v="Small Business"/>
    <x v="0"/>
    <x v="13"/>
    <x v="5"/>
    <x v="1"/>
    <x v="51"/>
    <n v="135.12"/>
    <n v="6350.64"/>
    <n v="301.7"/>
    <n v="12194.714"/>
    <n v="5844.0739999999996"/>
    <n v="0.14000000000000001"/>
    <n v="0"/>
    <s v="Low"/>
    <n v="0.47923009920527859"/>
    <n v="47"/>
  </r>
  <r>
    <x v="52"/>
    <x v="49"/>
    <d v="2024-10-11T00:00:00"/>
    <d v="2024-10-11T00:00:00"/>
    <n v="1"/>
    <n v="1"/>
    <n v="1"/>
    <s v="October"/>
    <s v="Q4-2024"/>
    <x v="0"/>
    <x v="4"/>
    <x v="2"/>
    <x v="4"/>
    <s v="Manchester"/>
    <s v="Non-Profit"/>
    <x v="0"/>
    <x v="5"/>
    <x v="24"/>
    <x v="6"/>
    <x v="52"/>
    <n v="1389.46"/>
    <n v="45852.18"/>
    <n v="1784.7"/>
    <n v="50296.415399999998"/>
    <n v="4444.2353999999978"/>
    <n v="0.14599999999999999"/>
    <n v="0"/>
    <s v="High"/>
    <n v="8.8360877503011831E-2"/>
    <n v="33"/>
  </r>
  <r>
    <x v="53"/>
    <x v="50"/>
    <d v="2024-11-05T00:00:00"/>
    <d v="2024-11-05T00:00:00"/>
    <n v="1"/>
    <n v="1"/>
    <n v="1"/>
    <s v="November"/>
    <s v="Q4-2024"/>
    <x v="0"/>
    <x v="4"/>
    <x v="2"/>
    <x v="4"/>
    <s v="London"/>
    <s v="Corporate"/>
    <x v="4"/>
    <x v="1"/>
    <x v="15"/>
    <x v="0"/>
    <x v="53"/>
    <n v="840.68"/>
    <n v="22698.359999999997"/>
    <n v="1493.53"/>
    <n v="40325.31"/>
    <n v="17626.95"/>
    <n v="0"/>
    <n v="0"/>
    <s v="High"/>
    <n v="0.43711877230454027"/>
    <n v="27"/>
  </r>
  <r>
    <x v="54"/>
    <x v="51"/>
    <d v="2025-03-26T00:00:00"/>
    <d v="2025-03-26T00:00:00"/>
    <n v="1"/>
    <n v="1"/>
    <n v="1"/>
    <s v="March"/>
    <s v="Q1-2025"/>
    <x v="0"/>
    <x v="5"/>
    <x v="3"/>
    <x v="5"/>
    <s v="Lagos"/>
    <s v="Education"/>
    <x v="0"/>
    <x v="2"/>
    <x v="23"/>
    <x v="4"/>
    <x v="54"/>
    <n v="1450.43"/>
    <n v="34810.32"/>
    <n v="1994.67"/>
    <n v="43084.872000000003"/>
    <n v="8274.5520000000033"/>
    <n v="0.1"/>
    <n v="0"/>
    <s v="High"/>
    <n v="0.19205237513529116"/>
    <n v="24"/>
  </r>
  <r>
    <x v="55"/>
    <x v="52"/>
    <d v="2025-07-17T00:00:00"/>
    <d v="2025-07-17T00:00:00"/>
    <n v="1"/>
    <n v="1"/>
    <n v="1"/>
    <s v="July"/>
    <s v="Q3-2025"/>
    <x v="0"/>
    <x v="6"/>
    <x v="3"/>
    <x v="6"/>
    <s v="Durban"/>
    <s v="Small Business"/>
    <x v="0"/>
    <x v="11"/>
    <x v="25"/>
    <x v="2"/>
    <x v="55"/>
    <n v="1198.9000000000001"/>
    <n v="28773.600000000002"/>
    <n v="2941.2"/>
    <n v="66988.771199999988"/>
    <n v="38215.171199999982"/>
    <n v="5.0999999999999997E-2"/>
    <n v="0"/>
    <s v="High"/>
    <n v="0.57047129713583977"/>
    <n v="24"/>
  </r>
  <r>
    <x v="56"/>
    <x v="53"/>
    <d v="2024-06-11T00:00:00"/>
    <d v="2024-06-11T00:00:00"/>
    <n v="1"/>
    <n v="1"/>
    <n v="1"/>
    <s v="June"/>
    <s v="Q2-2024"/>
    <x v="0"/>
    <x v="4"/>
    <x v="2"/>
    <x v="4"/>
    <s v="Birmingham"/>
    <s v="Small Business"/>
    <x v="2"/>
    <x v="1"/>
    <x v="3"/>
    <x v="3"/>
    <x v="56"/>
    <n v="1187.1300000000001"/>
    <n v="20181.210000000003"/>
    <n v="1795.17"/>
    <n v="30151.675319999998"/>
    <n v="9970.4653199999957"/>
    <n v="1.2E-2"/>
    <n v="0"/>
    <s v="High"/>
    <n v="0.33067699271046663"/>
    <n v="17"/>
  </r>
  <r>
    <x v="57"/>
    <x v="54"/>
    <d v="2024-02-09T00:00:00"/>
    <d v="2024-02-09T00:00:00"/>
    <n v="1"/>
    <n v="1"/>
    <n v="1"/>
    <s v="February"/>
    <s v="Q1-2024"/>
    <x v="0"/>
    <x v="9"/>
    <x v="3"/>
    <x v="9"/>
    <s v="Mombasa"/>
    <s v="Corporate"/>
    <x v="1"/>
    <x v="0"/>
    <x v="19"/>
    <x v="6"/>
    <x v="57"/>
    <n v="1233.52"/>
    <n v="16035.76"/>
    <n v="1543.76"/>
    <n v="17540.201120000002"/>
    <n v="1504.4411200000013"/>
    <n v="0.126"/>
    <n v="0"/>
    <s v="High"/>
    <n v="8.5771030201277493E-2"/>
    <n v="13"/>
  </r>
  <r>
    <x v="58"/>
    <x v="55"/>
    <d v="2024-06-20T00:00:00"/>
    <d v="2024-06-20T00:00:00"/>
    <n v="1"/>
    <n v="1"/>
    <n v="1"/>
    <s v="June"/>
    <s v="Q2-2024"/>
    <x v="0"/>
    <x v="9"/>
    <x v="3"/>
    <x v="9"/>
    <s v="Kisumu"/>
    <s v="Small Business"/>
    <x v="1"/>
    <x v="10"/>
    <x v="3"/>
    <x v="3"/>
    <x v="58"/>
    <n v="231.63"/>
    <n v="2779.56"/>
    <n v="537.39"/>
    <n v="5932.7856000000002"/>
    <n v="3153.2256000000002"/>
    <n v="0.08"/>
    <n v="0"/>
    <s v="Low"/>
    <n v="0.53149158129024587"/>
    <n v="12"/>
  </r>
  <r>
    <x v="59"/>
    <x v="56"/>
    <d v="2025-04-14T00:00:00"/>
    <d v="2025-04-14T00:00:00"/>
    <n v="1"/>
    <n v="1"/>
    <n v="1"/>
    <s v="April"/>
    <s v="Q2-2025"/>
    <x v="1"/>
    <x v="3"/>
    <x v="1"/>
    <x v="3"/>
    <s v="Osaka"/>
    <s v="Enterprise"/>
    <x v="3"/>
    <x v="2"/>
    <x v="13"/>
    <x v="6"/>
    <x v="59"/>
    <n v="138.9"/>
    <n v="1666.8000000000002"/>
    <n v="289.92"/>
    <n v="3378.1478400000001"/>
    <n v="1711.3478399999999"/>
    <n v="2.9000000000000001E-2"/>
    <n v="0"/>
    <s v="Low"/>
    <n v="0.50659353025828491"/>
    <n v="12"/>
  </r>
  <r>
    <x v="60"/>
    <x v="57"/>
    <d v="2025-01-05T00:00:00"/>
    <d v="2025-01-05T00:00:00"/>
    <n v="1"/>
    <n v="1"/>
    <n v="1"/>
    <s v="January"/>
    <s v="Q1-2025"/>
    <x v="0"/>
    <x v="1"/>
    <x v="1"/>
    <x v="11"/>
    <s v="Delhi"/>
    <s v="Education"/>
    <x v="4"/>
    <x v="13"/>
    <x v="26"/>
    <x v="6"/>
    <x v="60"/>
    <n v="1428.33"/>
    <n v="15711.63"/>
    <n v="3028.05"/>
    <n v="33308.550000000003"/>
    <n v="17596.920000000006"/>
    <n v="0"/>
    <n v="0"/>
    <s v="High"/>
    <n v="0.52830039134096207"/>
    <n v="11"/>
  </r>
  <r>
    <x v="61"/>
    <x v="58"/>
    <d v="2023-12-23T00:00:00"/>
    <d v="2023-12-23T00:00:00"/>
    <n v="1"/>
    <n v="1"/>
    <n v="1"/>
    <s v="December"/>
    <s v="Q4-2023"/>
    <x v="0"/>
    <x v="6"/>
    <x v="3"/>
    <x v="6"/>
    <s v="Cape Town"/>
    <s v="Non-Profit"/>
    <x v="2"/>
    <x v="9"/>
    <x v="18"/>
    <x v="6"/>
    <x v="61"/>
    <n v="1186.18"/>
    <n v="13047.980000000001"/>
    <n v="1285.0899999999999"/>
    <n v="13146.470699999998"/>
    <n v="98.49069999999665"/>
    <n v="7.0000000000000007E-2"/>
    <n v="0"/>
    <s v="High"/>
    <n v="7.4917977796121861E-3"/>
    <n v="11"/>
  </r>
  <r>
    <x v="62"/>
    <x v="59"/>
    <d v="2023-12-20T00:00:00"/>
    <d v="2023-12-20T00:00:00"/>
    <n v="1"/>
    <n v="1"/>
    <n v="1"/>
    <s v="December"/>
    <s v="Q4-2023"/>
    <x v="0"/>
    <x v="1"/>
    <x v="0"/>
    <x v="1"/>
    <s v="Rio de Janeiro"/>
    <s v="Consumer"/>
    <x v="0"/>
    <x v="10"/>
    <x v="17"/>
    <x v="5"/>
    <x v="62"/>
    <n v="1080.43"/>
    <n v="10804.300000000001"/>
    <n v="2529.15"/>
    <n v="21573.6495"/>
    <n v="10769.349499999998"/>
    <n v="0.14699999999999999"/>
    <n v="0"/>
    <s v="High"/>
    <n v="0.49918997247081437"/>
    <n v="10"/>
  </r>
  <r>
    <x v="63"/>
    <x v="60"/>
    <d v="2023-10-06T00:00:00"/>
    <d v="2023-10-06T00:00:00"/>
    <n v="1"/>
    <n v="1"/>
    <n v="1"/>
    <s v="October"/>
    <s v="Q4-2023"/>
    <x v="0"/>
    <x v="1"/>
    <x v="1"/>
    <x v="11"/>
    <s v="Bengaluru"/>
    <s v="Non-Profit"/>
    <x v="3"/>
    <x v="13"/>
    <x v="27"/>
    <x v="6"/>
    <x v="63"/>
    <n v="1470.26"/>
    <n v="13232.34"/>
    <n v="2562.5500000000002"/>
    <n v="19073.059649999999"/>
    <n v="5840.7196499999991"/>
    <n v="0.17299999999999999"/>
    <n v="0"/>
    <s v="High"/>
    <n v="0.30622877279157462"/>
    <n v="9"/>
  </r>
  <r>
    <x v="64"/>
    <x v="61"/>
    <d v="2024-12-18T00:00:00"/>
    <d v="2024-12-18T00:00:00"/>
    <n v="1"/>
    <n v="1"/>
    <n v="1"/>
    <s v="December"/>
    <s v="Q4-2024"/>
    <x v="0"/>
    <x v="10"/>
    <x v="2"/>
    <x v="10"/>
    <s v="Munich"/>
    <s v="Education"/>
    <x v="4"/>
    <x v="5"/>
    <x v="21"/>
    <x v="4"/>
    <x v="64"/>
    <n v="346.82"/>
    <n v="2774.56"/>
    <n v="701.95"/>
    <n v="4790.1068000000005"/>
    <n v="2015.5468000000005"/>
    <n v="0.14699999999999999"/>
    <n v="0"/>
    <s v="Low"/>
    <n v="0.42077283120284509"/>
    <n v="8"/>
  </r>
  <r>
    <x v="65"/>
    <x v="62"/>
    <d v="2023-07-09T00:00:00"/>
    <d v="2023-07-09T00:00:00"/>
    <n v="1"/>
    <n v="1"/>
    <n v="1"/>
    <s v="July"/>
    <s v="Q3-2023"/>
    <x v="0"/>
    <x v="9"/>
    <x v="3"/>
    <x v="9"/>
    <s v="Nairobi"/>
    <s v="Consumer"/>
    <x v="3"/>
    <x v="9"/>
    <x v="7"/>
    <x v="3"/>
    <x v="65"/>
    <n v="1258.72"/>
    <n v="8811.0400000000009"/>
    <n v="2797.41"/>
    <n v="19581.87"/>
    <n v="10770.829999999998"/>
    <n v="0"/>
    <n v="0"/>
    <s v="High"/>
    <n v="0.55004093071805704"/>
    <n v="7"/>
  </r>
  <r>
    <x v="66"/>
    <x v="63"/>
    <d v="2023-02-12T00:00:00"/>
    <d v="2023-02-12T00:00:00"/>
    <n v="1"/>
    <n v="1"/>
    <n v="1"/>
    <s v="February"/>
    <s v="Q1-2023"/>
    <x v="0"/>
    <x v="5"/>
    <x v="3"/>
    <x v="5"/>
    <s v="Port Harcourt"/>
    <s v="Non-Profit"/>
    <x v="1"/>
    <x v="9"/>
    <x v="5"/>
    <x v="4"/>
    <x v="66"/>
    <n v="944.61"/>
    <n v="5667.66"/>
    <n v="839.04"/>
    <n v="4737.2198399999997"/>
    <n v="-930.44016000000011"/>
    <n v="5.8999999999999997E-2"/>
    <n v="0"/>
    <s v="High"/>
    <n v="-0.19641059343363726"/>
    <n v="6"/>
  </r>
  <r>
    <x v="67"/>
    <x v="64"/>
    <d v="2025-03-25T00:00:00"/>
    <d v="2025-03-25T00:00:00"/>
    <n v="1"/>
    <n v="1"/>
    <n v="1"/>
    <s v="March"/>
    <s v="Q1-2025"/>
    <x v="0"/>
    <x v="7"/>
    <x v="1"/>
    <x v="7"/>
    <s v="Beijing"/>
    <s v="Non-Profit"/>
    <x v="3"/>
    <x v="2"/>
    <x v="23"/>
    <x v="2"/>
    <x v="67"/>
    <n v="1133.03"/>
    <n v="5665.15"/>
    <n v="1921.51"/>
    <n v="8637.1874499999994"/>
    <n v="2972.0374499999998"/>
    <n v="0.10100000000000001"/>
    <n v="0"/>
    <s v="High"/>
    <n v="0.3440978289755654"/>
    <n v="5"/>
  </r>
  <r>
    <x v="68"/>
    <x v="65"/>
    <d v="2023-10-20T00:00:00"/>
    <d v="2023-10-20T00:00:00"/>
    <n v="2"/>
    <n v="2"/>
    <n v="1"/>
    <s v="October"/>
    <s v="Q4-2023"/>
    <x v="0"/>
    <x v="9"/>
    <x v="3"/>
    <x v="9"/>
    <s v="Kisumu"/>
    <s v="Consumer"/>
    <x v="4"/>
    <x v="10"/>
    <x v="27"/>
    <x v="5"/>
    <x v="68"/>
    <n v="774.12"/>
    <n v="23223.599999999999"/>
    <n v="908.3"/>
    <n v="27249"/>
    <n v="4025.4000000000015"/>
    <n v="0"/>
    <n v="0"/>
    <s v="High"/>
    <n v="0.14772652207420461"/>
    <n v="30"/>
  </r>
  <r>
    <x v="69"/>
    <x v="66"/>
    <d v="2023-09-16T00:00:00"/>
    <d v="2023-09-16T00:00:00"/>
    <n v="2"/>
    <n v="2"/>
    <n v="1"/>
    <s v="September"/>
    <s v="Q3-2023"/>
    <x v="0"/>
    <x v="8"/>
    <x v="2"/>
    <x v="8"/>
    <s v="Lyon"/>
    <s v="Non-Profit"/>
    <x v="1"/>
    <x v="11"/>
    <x v="27"/>
    <x v="0"/>
    <x v="69"/>
    <n v="376.83"/>
    <n v="9420.75"/>
    <n v="732.88"/>
    <n v="14877.464000000002"/>
    <n v="5456.7140000000018"/>
    <n v="0.188"/>
    <n v="0"/>
    <s v="Low"/>
    <n v="0.36677716040852132"/>
    <n v="25"/>
  </r>
  <r>
    <x v="70"/>
    <x v="67"/>
    <d v="2024-06-25T00:00:00"/>
    <d v="2024-06-25T00:00:00"/>
    <n v="2"/>
    <n v="2"/>
    <n v="1"/>
    <s v="June"/>
    <s v="Q2-2024"/>
    <x v="0"/>
    <x v="4"/>
    <x v="2"/>
    <x v="4"/>
    <s v="Birmingham"/>
    <s v="Small Business"/>
    <x v="2"/>
    <x v="5"/>
    <x v="6"/>
    <x v="4"/>
    <x v="70"/>
    <n v="951.44"/>
    <n v="22834.560000000001"/>
    <n v="1646.43"/>
    <n v="35167.7448"/>
    <n v="12333.184799999999"/>
    <n v="0.11"/>
    <n v="0"/>
    <s v="High"/>
    <n v="0.35069592520473475"/>
    <n v="24"/>
  </r>
  <r>
    <x v="71"/>
    <x v="68"/>
    <d v="2023-04-08T00:00:00"/>
    <d v="2023-04-08T00:00:00"/>
    <n v="2"/>
    <n v="2"/>
    <n v="1"/>
    <s v="April"/>
    <s v="Q2-2023"/>
    <x v="0"/>
    <x v="5"/>
    <x v="3"/>
    <x v="5"/>
    <s v="Abuja"/>
    <s v="Small Business"/>
    <x v="2"/>
    <x v="12"/>
    <x v="28"/>
    <x v="1"/>
    <x v="71"/>
    <n v="720.35"/>
    <n v="16568.05"/>
    <n v="1571.66"/>
    <n v="32280.32474"/>
    <n v="15712.274740000001"/>
    <n v="0.107"/>
    <n v="0"/>
    <s v="High"/>
    <n v="0.4867446305622265"/>
    <n v="23"/>
  </r>
  <r>
    <x v="72"/>
    <x v="69"/>
    <d v="2023-05-25T00:00:00"/>
    <d v="2023-05-25T00:00:00"/>
    <n v="2"/>
    <n v="2"/>
    <n v="1"/>
    <s v="May"/>
    <s v="Q2-2023"/>
    <x v="0"/>
    <x v="1"/>
    <x v="0"/>
    <x v="1"/>
    <s v="Rio de Janeiro"/>
    <s v="Enterprise"/>
    <x v="4"/>
    <x v="1"/>
    <x v="2"/>
    <x v="0"/>
    <x v="72"/>
    <n v="690.49"/>
    <n v="15190.78"/>
    <n v="1290.29"/>
    <n v="27194.152039999997"/>
    <n v="12003.372039999997"/>
    <n v="4.2000000000000003E-2"/>
    <n v="0"/>
    <s v="High"/>
    <n v="0.44139534199647718"/>
    <n v="22"/>
  </r>
  <r>
    <x v="73"/>
    <x v="70"/>
    <d v="2023-06-16T00:00:00"/>
    <d v="2023-06-16T00:00:00"/>
    <n v="2"/>
    <n v="2"/>
    <n v="1"/>
    <s v="June"/>
    <s v="Q2-2023"/>
    <x v="0"/>
    <x v="4"/>
    <x v="2"/>
    <x v="4"/>
    <s v="Manchester"/>
    <s v="Non-Profit"/>
    <x v="1"/>
    <x v="12"/>
    <x v="14"/>
    <x v="6"/>
    <x v="73"/>
    <n v="357.36"/>
    <n v="7147.2000000000007"/>
    <n v="703.62"/>
    <n v="10455.7932"/>
    <n v="3308.5931999999993"/>
    <n v="0.25700000000000001"/>
    <n v="1"/>
    <s v="Low"/>
    <n v="0.31643636563125593"/>
    <n v="20"/>
  </r>
  <r>
    <x v="74"/>
    <x v="23"/>
    <d v="2024-01-30T00:00:00"/>
    <d v="2024-01-30T00:00:00"/>
    <n v="2"/>
    <n v="2"/>
    <n v="1"/>
    <s v="January"/>
    <s v="Q1-2024"/>
    <x v="0"/>
    <x v="6"/>
    <x v="3"/>
    <x v="6"/>
    <s v="Cape Town"/>
    <s v="Consumer"/>
    <x v="1"/>
    <x v="0"/>
    <x v="19"/>
    <x v="4"/>
    <x v="74"/>
    <n v="798.45"/>
    <n v="14372.1"/>
    <n v="1592.02"/>
    <n v="26765.040239999998"/>
    <n v="12392.940239999998"/>
    <n v="6.6000000000000003E-2"/>
    <n v="0"/>
    <s v="High"/>
    <n v="0.46302714768494585"/>
    <n v="18"/>
  </r>
  <r>
    <x v="75"/>
    <x v="71"/>
    <d v="2025-05-18T00:00:00"/>
    <d v="2025-05-18T00:00:00"/>
    <n v="2"/>
    <n v="2"/>
    <n v="1"/>
    <s v="May"/>
    <s v="Q2-2025"/>
    <x v="1"/>
    <x v="3"/>
    <x v="1"/>
    <x v="3"/>
    <s v="Tokyo"/>
    <s v="Enterprise"/>
    <x v="4"/>
    <x v="10"/>
    <x v="23"/>
    <x v="0"/>
    <x v="75"/>
    <n v="1144.3800000000001"/>
    <n v="19454.460000000003"/>
    <n v="2755.04"/>
    <n v="39810.328000000001"/>
    <n v="20355.867999999999"/>
    <n v="0.15"/>
    <n v="0"/>
    <s v="High"/>
    <n v="0.51132128326096682"/>
    <n v="17"/>
  </r>
  <r>
    <x v="76"/>
    <x v="72"/>
    <d v="2024-06-09T00:00:00"/>
    <d v="2024-06-09T00:00:00"/>
    <n v="2"/>
    <n v="2"/>
    <n v="1"/>
    <s v="June"/>
    <s v="Q2-2024"/>
    <x v="0"/>
    <x v="7"/>
    <x v="1"/>
    <x v="7"/>
    <s v="Shanghai"/>
    <s v="Corporate"/>
    <x v="4"/>
    <x v="4"/>
    <x v="3"/>
    <x v="1"/>
    <x v="76"/>
    <n v="1370.28"/>
    <n v="21924.48"/>
    <n v="2209.66"/>
    <n v="30652.403519999996"/>
    <n v="8727.9235199999966"/>
    <n v="0.13300000000000001"/>
    <n v="0"/>
    <s v="High"/>
    <n v="0.28473863442079589"/>
    <n v="16"/>
  </r>
  <r>
    <x v="77"/>
    <x v="73"/>
    <d v="2024-07-31T00:00:00"/>
    <d v="2024-07-31T00:00:00"/>
    <n v="2"/>
    <n v="2"/>
    <n v="1"/>
    <s v="July"/>
    <s v="Q3-2024"/>
    <x v="0"/>
    <x v="2"/>
    <x v="0"/>
    <x v="2"/>
    <s v="New York"/>
    <s v="Education"/>
    <x v="2"/>
    <x v="13"/>
    <x v="1"/>
    <x v="0"/>
    <x v="77"/>
    <n v="798.97"/>
    <n v="12783.52"/>
    <n v="1814.06"/>
    <n v="25483.91488"/>
    <n v="12700.39488"/>
    <n v="0.122"/>
    <n v="0"/>
    <s v="High"/>
    <n v="0.49836906691159061"/>
    <n v="16"/>
  </r>
  <r>
    <x v="78"/>
    <x v="74"/>
    <d v="2023-10-13T00:00:00"/>
    <d v="2023-10-13T00:00:00"/>
    <n v="2"/>
    <n v="2"/>
    <n v="1"/>
    <s v="October"/>
    <s v="Q4-2023"/>
    <x v="0"/>
    <x v="1"/>
    <x v="0"/>
    <x v="1"/>
    <s v="Brasília"/>
    <s v="Consumer"/>
    <x v="0"/>
    <x v="15"/>
    <x v="27"/>
    <x v="4"/>
    <x v="78"/>
    <n v="715.94"/>
    <n v="11455.04"/>
    <n v="550.07000000000005"/>
    <n v="7568.9632000000001"/>
    <n v="-3886.0768000000007"/>
    <n v="0.14000000000000001"/>
    <n v="0"/>
    <s v="Low"/>
    <n v="-0.51342260456491595"/>
    <n v="16"/>
  </r>
  <r>
    <x v="79"/>
    <x v="75"/>
    <d v="2025-09-12T00:00:00"/>
    <d v="2025-09-12T00:00:00"/>
    <n v="2"/>
    <n v="2"/>
    <n v="1"/>
    <s v="September"/>
    <s v="Q3-2025"/>
    <x v="1"/>
    <x v="3"/>
    <x v="1"/>
    <x v="3"/>
    <s v="Tokyo"/>
    <s v="Consumer"/>
    <x v="3"/>
    <x v="4"/>
    <x v="25"/>
    <x v="6"/>
    <x v="79"/>
    <n v="1470.15"/>
    <n v="17641.800000000003"/>
    <n v="2593.7800000000002"/>
    <n v="27701.570400000001"/>
    <n v="10059.770399999998"/>
    <n v="0.11"/>
    <n v="0"/>
    <s v="High"/>
    <n v="0.36314801849645306"/>
    <n v="12"/>
  </r>
  <r>
    <x v="80"/>
    <x v="76"/>
    <d v="2023-10-11T00:00:00"/>
    <d v="2023-10-11T00:00:00"/>
    <n v="2"/>
    <n v="2"/>
    <n v="1"/>
    <s v="October"/>
    <s v="Q4-2023"/>
    <x v="0"/>
    <x v="5"/>
    <x v="3"/>
    <x v="5"/>
    <s v="Port Harcourt"/>
    <s v="Education"/>
    <x v="2"/>
    <x v="12"/>
    <x v="27"/>
    <x v="2"/>
    <x v="80"/>
    <n v="391.16"/>
    <n v="4693.92"/>
    <n v="902.47"/>
    <n v="10786.32144"/>
    <n v="6092.4014399999996"/>
    <n v="4.0000000000000001E-3"/>
    <n v="0"/>
    <s v="High"/>
    <n v="0.56482661618139207"/>
    <n v="12"/>
  </r>
  <r>
    <x v="81"/>
    <x v="77"/>
    <d v="2023-11-02T00:00:00"/>
    <d v="2023-11-02T00:00:00"/>
    <n v="2"/>
    <n v="2"/>
    <n v="1"/>
    <s v="October"/>
    <s v="Q4-2023"/>
    <x v="0"/>
    <x v="9"/>
    <x v="3"/>
    <x v="9"/>
    <s v="Kisumu"/>
    <s v="Education"/>
    <x v="4"/>
    <x v="4"/>
    <x v="12"/>
    <x v="4"/>
    <x v="81"/>
    <n v="867.89"/>
    <n v="8678.9"/>
    <n v="1349.94"/>
    <n v="11015.510400000003"/>
    <n v="2336.6104000000032"/>
    <n v="0.184"/>
    <n v="0"/>
    <s v="High"/>
    <n v="0.21212003031652557"/>
    <n v="10"/>
  </r>
  <r>
    <x v="82"/>
    <x v="78"/>
    <d v="2025-06-21T00:00:00"/>
    <d v="2025-06-21T00:00:00"/>
    <n v="2"/>
    <n v="2"/>
    <n v="1"/>
    <s v="June"/>
    <s v="Q2-2025"/>
    <x v="0"/>
    <x v="6"/>
    <x v="3"/>
    <x v="6"/>
    <s v="Johannesburg"/>
    <s v="Small Business"/>
    <x v="5"/>
    <x v="8"/>
    <x v="29"/>
    <x v="5"/>
    <x v="82"/>
    <n v="1466.27"/>
    <n v="13196.43"/>
    <n v="3589.89"/>
    <n v="29175.036029999999"/>
    <n v="15978.606029999999"/>
    <n v="9.7000000000000003E-2"/>
    <n v="0"/>
    <s v="High"/>
    <n v="0.54768076425234147"/>
    <n v="9"/>
  </r>
  <r>
    <x v="83"/>
    <x v="79"/>
    <d v="2024-12-29T00:00:00"/>
    <d v="2024-12-29T00:00:00"/>
    <n v="2"/>
    <n v="2"/>
    <n v="1"/>
    <s v="December"/>
    <s v="Q4-2024"/>
    <x v="0"/>
    <x v="0"/>
    <x v="0"/>
    <x v="0"/>
    <s v="Vancouver"/>
    <s v="Enterprise"/>
    <x v="2"/>
    <x v="14"/>
    <x v="26"/>
    <x v="4"/>
    <x v="83"/>
    <n v="1146.72"/>
    <n v="9173.76"/>
    <n v="2074.34"/>
    <n v="14752.706080000002"/>
    <n v="5578.9460800000015"/>
    <n v="0.111"/>
    <n v="0"/>
    <s v="High"/>
    <n v="0.37816425337472737"/>
    <n v="8"/>
  </r>
  <r>
    <x v="84"/>
    <x v="80"/>
    <d v="2024-01-27T00:00:00"/>
    <d v="2024-01-27T00:00:00"/>
    <n v="2"/>
    <n v="2"/>
    <n v="1"/>
    <s v="January"/>
    <s v="Q1-2024"/>
    <x v="0"/>
    <x v="1"/>
    <x v="0"/>
    <x v="1"/>
    <s v="São Paulo"/>
    <s v="Non-Profit"/>
    <x v="2"/>
    <x v="6"/>
    <x v="18"/>
    <x v="3"/>
    <x v="84"/>
    <n v="1410.97"/>
    <n v="8465.82"/>
    <n v="1650.75"/>
    <n v="8567.3924999999999"/>
    <n v="101.57250000000022"/>
    <n v="0.13500000000000001"/>
    <n v="0"/>
    <s v="High"/>
    <n v="1.1855707556295596E-2"/>
    <n v="6"/>
  </r>
  <r>
    <x v="85"/>
    <x v="81"/>
    <d v="2023-09-01T00:00:00"/>
    <d v="2023-09-01T00:00:00"/>
    <n v="2"/>
    <n v="2"/>
    <n v="1"/>
    <s v="August"/>
    <s v="Q3-2023"/>
    <x v="0"/>
    <x v="10"/>
    <x v="2"/>
    <x v="10"/>
    <s v="Munich"/>
    <s v="Corporate"/>
    <x v="1"/>
    <x v="6"/>
    <x v="30"/>
    <x v="2"/>
    <x v="85"/>
    <n v="44.42"/>
    <n v="266.52"/>
    <n v="41.9"/>
    <n v="215.19839999999996"/>
    <n v="-51.321600000000018"/>
    <n v="0.14399999999999999"/>
    <n v="0"/>
    <s v="Low"/>
    <n v="-0.23848504449847224"/>
    <n v="6"/>
  </r>
  <r>
    <x v="86"/>
    <x v="82"/>
    <d v="2024-01-15T00:00:00"/>
    <d v="2024-01-15T00:00:00"/>
    <n v="2"/>
    <n v="2"/>
    <n v="1"/>
    <s v="January"/>
    <s v="Q1-2024"/>
    <x v="0"/>
    <x v="2"/>
    <x v="0"/>
    <x v="2"/>
    <s v="San Francisco"/>
    <s v="Non-Profit"/>
    <x v="1"/>
    <x v="7"/>
    <x v="19"/>
    <x v="6"/>
    <x v="86"/>
    <n v="1061.3699999999999"/>
    <n v="4245.4799999999996"/>
    <n v="1938.33"/>
    <n v="6435.2555999999995"/>
    <n v="2189.7755999999999"/>
    <n v="0.17"/>
    <n v="0"/>
    <s v="High"/>
    <n v="0.34027795259600879"/>
    <n v="4"/>
  </r>
  <r>
    <x v="87"/>
    <x v="83"/>
    <d v="2025-07-06T00:00:00"/>
    <d v="2025-07-06T00:00:00"/>
    <n v="3"/>
    <n v="3"/>
    <n v="1"/>
    <s v="July"/>
    <s v="Q3-2025"/>
    <x v="0"/>
    <x v="5"/>
    <x v="3"/>
    <x v="5"/>
    <s v="Lagos"/>
    <s v="Consumer"/>
    <x v="3"/>
    <x v="15"/>
    <x v="29"/>
    <x v="3"/>
    <x v="87"/>
    <n v="1313.3"/>
    <n v="55158.6"/>
    <n v="2884.34"/>
    <n v="102122.94203999999"/>
    <n v="46964.342039999996"/>
    <n v="0.157"/>
    <n v="0"/>
    <s v="High"/>
    <n v="0.45988042551305253"/>
    <n v="42"/>
  </r>
  <r>
    <x v="88"/>
    <x v="84"/>
    <d v="2023-04-19T00:00:00"/>
    <d v="2023-04-19T00:00:00"/>
    <n v="3"/>
    <n v="3"/>
    <n v="1"/>
    <s v="April"/>
    <s v="Q2-2023"/>
    <x v="0"/>
    <x v="10"/>
    <x v="2"/>
    <x v="10"/>
    <s v="Munich"/>
    <s v="Corporate"/>
    <x v="1"/>
    <x v="11"/>
    <x v="28"/>
    <x v="4"/>
    <x v="88"/>
    <n v="553.61"/>
    <n v="18269.13"/>
    <n v="699.47"/>
    <n v="22620.859800000002"/>
    <n v="4351.729800000001"/>
    <n v="0.02"/>
    <n v="0"/>
    <s v="Low"/>
    <n v="0.19237685209472014"/>
    <n v="33"/>
  </r>
  <r>
    <x v="89"/>
    <x v="85"/>
    <d v="2023-02-11T00:00:00"/>
    <d v="2023-02-11T00:00:00"/>
    <n v="3"/>
    <n v="3"/>
    <n v="1"/>
    <s v="February"/>
    <s v="Q1-2023"/>
    <x v="0"/>
    <x v="6"/>
    <x v="3"/>
    <x v="6"/>
    <s v="Cape Town"/>
    <s v="Corporate"/>
    <x v="1"/>
    <x v="1"/>
    <x v="11"/>
    <x v="2"/>
    <x v="89"/>
    <n v="1410.05"/>
    <n v="36661.299999999996"/>
    <n v="2763.95"/>
    <n v="60292.805299999993"/>
    <n v="23631.505299999997"/>
    <n v="0.161"/>
    <n v="0"/>
    <s v="High"/>
    <n v="0.39194569206750779"/>
    <n v="26"/>
  </r>
  <r>
    <x v="90"/>
    <x v="86"/>
    <d v="2024-03-26T00:00:00"/>
    <d v="2024-03-26T00:00:00"/>
    <n v="3"/>
    <n v="3"/>
    <n v="1"/>
    <s v="March"/>
    <s v="Q1-2024"/>
    <x v="0"/>
    <x v="1"/>
    <x v="1"/>
    <x v="11"/>
    <s v="Bengaluru"/>
    <s v="Education"/>
    <x v="1"/>
    <x v="2"/>
    <x v="20"/>
    <x v="5"/>
    <x v="90"/>
    <n v="382.21"/>
    <n v="9937.4599999999991"/>
    <n v="571.89"/>
    <n v="12668.50728"/>
    <n v="2731.0472800000007"/>
    <n v="0.14799999999999999"/>
    <n v="0"/>
    <s v="Low"/>
    <n v="0.2155776698578809"/>
    <n v="26"/>
  </r>
  <r>
    <x v="91"/>
    <x v="87"/>
    <d v="2024-07-12T00:00:00"/>
    <d v="2024-07-12T00:00:00"/>
    <n v="3"/>
    <n v="3"/>
    <n v="1"/>
    <s v="July"/>
    <s v="Q3-2024"/>
    <x v="0"/>
    <x v="7"/>
    <x v="1"/>
    <x v="7"/>
    <s v="Shanghai"/>
    <s v="Small Business"/>
    <x v="4"/>
    <x v="9"/>
    <x v="6"/>
    <x v="4"/>
    <x v="91"/>
    <n v="748.39"/>
    <n v="17212.97"/>
    <n v="979.42"/>
    <n v="22526.66"/>
    <n v="5313.6899999999987"/>
    <n v="0"/>
    <n v="0"/>
    <s v="High"/>
    <n v="0.23588450307324738"/>
    <n v="23"/>
  </r>
  <r>
    <x v="92"/>
    <x v="88"/>
    <d v="2024-08-15T00:00:00"/>
    <d v="2024-08-15T00:00:00"/>
    <n v="3"/>
    <n v="3"/>
    <n v="1"/>
    <s v="August"/>
    <s v="Q3-2024"/>
    <x v="0"/>
    <x v="2"/>
    <x v="0"/>
    <x v="2"/>
    <s v="Chicago"/>
    <s v="Corporate"/>
    <x v="2"/>
    <x v="9"/>
    <x v="1"/>
    <x v="0"/>
    <x v="92"/>
    <n v="850.7"/>
    <n v="16163.300000000001"/>
    <n v="1118.56"/>
    <n v="17427.164800000002"/>
    <n v="1263.8648000000012"/>
    <n v="0.18"/>
    <n v="0"/>
    <s v="High"/>
    <n v="7.2522685962090688E-2"/>
    <n v="19"/>
  </r>
  <r>
    <x v="93"/>
    <x v="89"/>
    <d v="2023-10-03T00:00:00"/>
    <d v="2023-10-03T00:00:00"/>
    <n v="3"/>
    <n v="3"/>
    <n v="1"/>
    <s v="September"/>
    <s v="Q3-2023"/>
    <x v="0"/>
    <x v="7"/>
    <x v="1"/>
    <x v="7"/>
    <s v="Beijing"/>
    <s v="Non-Profit"/>
    <x v="4"/>
    <x v="10"/>
    <x v="27"/>
    <x v="3"/>
    <x v="93"/>
    <n v="1019.36"/>
    <n v="17329.12"/>
    <n v="972.91"/>
    <n v="14108.16791"/>
    <n v="-3220.9520899999989"/>
    <n v="0.14699999999999999"/>
    <n v="0"/>
    <s v="High"/>
    <n v="-0.22830406545678819"/>
    <n v="17"/>
  </r>
  <r>
    <x v="94"/>
    <x v="50"/>
    <d v="2024-11-07T00:00:00"/>
    <d v="2024-11-07T00:00:00"/>
    <n v="3"/>
    <n v="3"/>
    <n v="1"/>
    <s v="November"/>
    <s v="Q4-2024"/>
    <x v="0"/>
    <x v="8"/>
    <x v="2"/>
    <x v="8"/>
    <s v="Lyon"/>
    <s v="Corporate"/>
    <x v="3"/>
    <x v="4"/>
    <x v="15"/>
    <x v="1"/>
    <x v="94"/>
    <n v="740.68"/>
    <n v="12591.56"/>
    <n v="1837.19"/>
    <n v="25079.480689999997"/>
    <n v="12487.920689999997"/>
    <n v="0.19700000000000001"/>
    <n v="0"/>
    <s v="High"/>
    <n v="0.4979337827748298"/>
    <n v="17"/>
  </r>
  <r>
    <x v="95"/>
    <x v="90"/>
    <d v="2024-11-08T00:00:00"/>
    <d v="2024-11-08T00:00:00"/>
    <n v="3"/>
    <n v="3"/>
    <n v="1"/>
    <s v="November"/>
    <s v="Q4-2024"/>
    <x v="0"/>
    <x v="0"/>
    <x v="0"/>
    <x v="0"/>
    <s v="Toronto"/>
    <s v="Education"/>
    <x v="2"/>
    <x v="4"/>
    <x v="21"/>
    <x v="6"/>
    <x v="95"/>
    <n v="1020.4"/>
    <n v="16326.4"/>
    <n v="1184.71"/>
    <n v="16946.091840000001"/>
    <n v="619.69184000000132"/>
    <n v="0.106"/>
    <n v="0"/>
    <s v="High"/>
    <n v="3.6568422138328345E-2"/>
    <n v="16"/>
  </r>
  <r>
    <x v="96"/>
    <x v="91"/>
    <d v="2023-12-19T00:00:00"/>
    <d v="2023-12-19T00:00:00"/>
    <n v="3"/>
    <n v="3"/>
    <n v="1"/>
    <s v="December"/>
    <s v="Q4-2023"/>
    <x v="0"/>
    <x v="7"/>
    <x v="1"/>
    <x v="7"/>
    <s v="Beijing"/>
    <s v="Education"/>
    <x v="4"/>
    <x v="3"/>
    <x v="18"/>
    <x v="4"/>
    <x v="96"/>
    <n v="1415.05"/>
    <n v="16980.599999999999"/>
    <n v="1972.38"/>
    <n v="23668.560000000001"/>
    <n v="6687.9600000000028"/>
    <n v="0"/>
    <n v="0"/>
    <s v="High"/>
    <n v="0.28256725377462771"/>
    <n v="12"/>
  </r>
  <r>
    <x v="97"/>
    <x v="92"/>
    <d v="2024-05-21T00:00:00"/>
    <d v="2024-05-21T00:00:00"/>
    <n v="3"/>
    <n v="3"/>
    <n v="1"/>
    <s v="May"/>
    <s v="Q2-2024"/>
    <x v="0"/>
    <x v="8"/>
    <x v="2"/>
    <x v="8"/>
    <s v="Marseille"/>
    <s v="Non-Profit"/>
    <x v="2"/>
    <x v="9"/>
    <x v="3"/>
    <x v="0"/>
    <x v="97"/>
    <n v="663.66"/>
    <n v="7300.2599999999993"/>
    <n v="824.26"/>
    <n v="6899.8804600000003"/>
    <n v="-400.379539999999"/>
    <n v="0.23899999999999999"/>
    <n v="1"/>
    <s v="High"/>
    <n v="-5.8027025587048933E-2"/>
    <n v="11"/>
  </r>
  <r>
    <x v="98"/>
    <x v="93"/>
    <d v="2024-03-21T00:00:00"/>
    <d v="2024-03-21T00:00:00"/>
    <n v="3"/>
    <n v="3"/>
    <n v="1"/>
    <s v="March"/>
    <s v="Q1-2024"/>
    <x v="0"/>
    <x v="10"/>
    <x v="2"/>
    <x v="10"/>
    <s v="Munich"/>
    <s v="Small Business"/>
    <x v="3"/>
    <x v="1"/>
    <x v="20"/>
    <x v="4"/>
    <x v="98"/>
    <n v="910.63"/>
    <n v="8195.67"/>
    <n v="1269.4000000000001"/>
    <n v="10647.727199999999"/>
    <n v="2452.0571999999993"/>
    <n v="6.8000000000000005E-2"/>
    <n v="0"/>
    <s v="High"/>
    <n v="0.23028925834989455"/>
    <n v="9"/>
  </r>
  <r>
    <x v="99"/>
    <x v="94"/>
    <d v="2023-03-05T00:00:00"/>
    <d v="2023-03-05T00:00:00"/>
    <n v="3"/>
    <n v="3"/>
    <n v="1"/>
    <s v="March"/>
    <s v="Q1-2023"/>
    <x v="0"/>
    <x v="1"/>
    <x v="0"/>
    <x v="1"/>
    <s v="Brasília"/>
    <s v="Enterprise"/>
    <x v="1"/>
    <x v="2"/>
    <x v="11"/>
    <x v="1"/>
    <x v="99"/>
    <n v="1473.58"/>
    <n v="11788.64"/>
    <n v="3436.52"/>
    <n v="24523.006720000001"/>
    <n v="12734.366720000002"/>
    <n v="0.108"/>
    <n v="0"/>
    <s v="High"/>
    <n v="0.51928243813652564"/>
    <n v="8"/>
  </r>
  <r>
    <x v="100"/>
    <x v="95"/>
    <d v="2023-10-28T00:00:00"/>
    <d v="2023-10-28T00:00:00"/>
    <n v="3"/>
    <n v="3"/>
    <n v="1"/>
    <s v="October"/>
    <s v="Q4-2023"/>
    <x v="0"/>
    <x v="1"/>
    <x v="0"/>
    <x v="1"/>
    <s v="Brasília"/>
    <s v="Corporate"/>
    <x v="0"/>
    <x v="5"/>
    <x v="27"/>
    <x v="4"/>
    <x v="100"/>
    <n v="509.31"/>
    <n v="4074.48"/>
    <n v="1145.9000000000001"/>
    <n v="8644.6696000000011"/>
    <n v="4570.1896000000015"/>
    <n v="5.7000000000000002E-2"/>
    <n v="0"/>
    <s v="High"/>
    <n v="0.52867140231709964"/>
    <n v="8"/>
  </r>
  <r>
    <x v="101"/>
    <x v="96"/>
    <d v="2025-04-12T00:00:00"/>
    <d v="2025-04-12T00:00:00"/>
    <n v="3"/>
    <n v="3"/>
    <n v="1"/>
    <s v="April"/>
    <s v="Q2-2025"/>
    <x v="0"/>
    <x v="8"/>
    <x v="2"/>
    <x v="8"/>
    <s v="Lyon"/>
    <s v="Small Business"/>
    <x v="0"/>
    <x v="8"/>
    <x v="23"/>
    <x v="1"/>
    <x v="101"/>
    <n v="86.68"/>
    <n v="693.44"/>
    <n v="213.32"/>
    <n v="1641.7107199999998"/>
    <n v="948.27071999999976"/>
    <n v="3.7999999999999999E-2"/>
    <n v="0"/>
    <s v="Low"/>
    <n v="0.57761133459614611"/>
    <n v="8"/>
  </r>
  <r>
    <x v="102"/>
    <x v="97"/>
    <d v="2023-07-02T00:00:00"/>
    <d v="2023-07-02T00:00:00"/>
    <n v="3"/>
    <n v="3"/>
    <n v="1"/>
    <s v="June"/>
    <s v="Q2-2023"/>
    <x v="1"/>
    <x v="3"/>
    <x v="1"/>
    <x v="3"/>
    <s v="Nagoya"/>
    <s v="Education"/>
    <x v="2"/>
    <x v="0"/>
    <x v="2"/>
    <x v="1"/>
    <x v="102"/>
    <n v="55.65"/>
    <n v="445.2"/>
    <n v="83.57"/>
    <n v="624.43503999999996"/>
    <n v="179.23503999999997"/>
    <n v="6.6000000000000003E-2"/>
    <n v="0"/>
    <s v="Low"/>
    <n v="0.2870355257449998"/>
    <n v="8"/>
  </r>
  <r>
    <x v="103"/>
    <x v="98"/>
    <d v="2023-01-05T00:00:00"/>
    <d v="2023-01-05T00:00:00"/>
    <n v="3"/>
    <n v="3"/>
    <n v="1"/>
    <s v="January"/>
    <s v="Q1-2023"/>
    <x v="0"/>
    <x v="0"/>
    <x v="0"/>
    <x v="0"/>
    <s v="Toronto"/>
    <s v="Corporate"/>
    <x v="0"/>
    <x v="11"/>
    <x v="5"/>
    <x v="3"/>
    <x v="103"/>
    <n v="315.87"/>
    <n v="2211.09"/>
    <n v="591.67999999999995"/>
    <n v="4141.7599999999993"/>
    <n v="1930.6699999999992"/>
    <n v="0"/>
    <n v="0"/>
    <s v="Low"/>
    <n v="0.46614724175229844"/>
    <n v="7"/>
  </r>
  <r>
    <x v="104"/>
    <x v="99"/>
    <d v="2025-09-18T00:00:00"/>
    <d v="2025-09-18T00:00:00"/>
    <n v="3"/>
    <n v="3"/>
    <n v="1"/>
    <s v="September"/>
    <s v="Q3-2025"/>
    <x v="0"/>
    <x v="1"/>
    <x v="0"/>
    <x v="1"/>
    <s v="Rio de Janeiro"/>
    <s v="Non-Profit"/>
    <x v="1"/>
    <x v="5"/>
    <x v="4"/>
    <x v="4"/>
    <x v="104"/>
    <n v="5.5"/>
    <n v="22"/>
    <n v="5.92"/>
    <n v="18.659839999999999"/>
    <n v="-3.3401600000000009"/>
    <n v="0.21199999999999999"/>
    <n v="1"/>
    <s v="Low"/>
    <n v="-0.17900260666758133"/>
    <n v="4"/>
  </r>
  <r>
    <x v="105"/>
    <x v="100"/>
    <d v="2024-09-07T00:00:00"/>
    <d v="2024-09-07T00:00:00"/>
    <n v="4"/>
    <n v="4"/>
    <n v="1"/>
    <s v="September"/>
    <s v="Q3-2024"/>
    <x v="1"/>
    <x v="3"/>
    <x v="1"/>
    <x v="3"/>
    <s v="Tokyo"/>
    <s v="Small Business"/>
    <x v="0"/>
    <x v="6"/>
    <x v="1"/>
    <x v="0"/>
    <x v="105"/>
    <n v="43.23"/>
    <n v="2377.6499999999996"/>
    <n v="94.78"/>
    <n v="4738.5261"/>
    <n v="2360.8761000000004"/>
    <n v="9.0999999999999998E-2"/>
    <n v="0"/>
    <s v="Low"/>
    <n v="0.49823005090127082"/>
    <n v="55"/>
  </r>
  <r>
    <x v="106"/>
    <x v="101"/>
    <d v="2024-04-09T00:00:00"/>
    <d v="2024-04-09T00:00:00"/>
    <n v="4"/>
    <n v="4"/>
    <n v="1"/>
    <s v="April"/>
    <s v="Q2-2024"/>
    <x v="0"/>
    <x v="5"/>
    <x v="3"/>
    <x v="5"/>
    <s v="Lagos"/>
    <s v="Non-Profit"/>
    <x v="1"/>
    <x v="12"/>
    <x v="31"/>
    <x v="6"/>
    <x v="106"/>
    <n v="395.07"/>
    <n v="15012.66"/>
    <n v="970.27"/>
    <n v="32335.21802"/>
    <n v="17322.55802"/>
    <n v="0.123"/>
    <n v="0"/>
    <s v="High"/>
    <n v="0.53571799049833657"/>
    <n v="38"/>
  </r>
  <r>
    <x v="107"/>
    <x v="102"/>
    <d v="2024-01-01T00:00:00"/>
    <d v="2024-01-01T00:00:00"/>
    <n v="4"/>
    <n v="4"/>
    <n v="1"/>
    <s v="December"/>
    <s v="Q4-2023"/>
    <x v="0"/>
    <x v="6"/>
    <x v="3"/>
    <x v="6"/>
    <s v="Cape Town"/>
    <s v="Education"/>
    <x v="0"/>
    <x v="3"/>
    <x v="18"/>
    <x v="0"/>
    <x v="107"/>
    <n v="1141.8"/>
    <n v="36537.599999999999"/>
    <n v="2318.7399999999998"/>
    <n v="66260.314239999992"/>
    <n v="29722.714239999994"/>
    <n v="0.107"/>
    <n v="0"/>
    <s v="High"/>
    <n v="0.44857490612468304"/>
    <n v="32"/>
  </r>
  <r>
    <x v="108"/>
    <x v="103"/>
    <d v="2024-09-13T00:00:00"/>
    <d v="2024-09-13T00:00:00"/>
    <n v="4"/>
    <n v="4"/>
    <n v="1"/>
    <s v="September"/>
    <s v="Q3-2024"/>
    <x v="0"/>
    <x v="4"/>
    <x v="2"/>
    <x v="4"/>
    <s v="London"/>
    <s v="Consumer"/>
    <x v="2"/>
    <x v="0"/>
    <x v="10"/>
    <x v="2"/>
    <x v="108"/>
    <n v="1133.08"/>
    <n v="30593.159999999996"/>
    <n v="976.17"/>
    <n v="25249.613219999999"/>
    <n v="-5343.5467799999969"/>
    <n v="4.2000000000000003E-2"/>
    <n v="0"/>
    <s v="High"/>
    <n v="-0.21162885678452373"/>
    <n v="27"/>
  </r>
  <r>
    <x v="109"/>
    <x v="104"/>
    <d v="2024-01-12T00:00:00"/>
    <d v="2024-01-12T00:00:00"/>
    <n v="4"/>
    <n v="4"/>
    <n v="1"/>
    <s v="January"/>
    <s v="Q1-2024"/>
    <x v="0"/>
    <x v="1"/>
    <x v="1"/>
    <x v="11"/>
    <s v="Bengaluru"/>
    <s v="Corporate"/>
    <x v="1"/>
    <x v="7"/>
    <x v="18"/>
    <x v="0"/>
    <x v="109"/>
    <n v="802.32"/>
    <n v="20058"/>
    <n v="602.34"/>
    <n v="13251.48"/>
    <n v="-6806.52"/>
    <n v="0.12"/>
    <n v="0"/>
    <s v="Low"/>
    <n v="-0.51364224977134632"/>
    <n v="25"/>
  </r>
  <r>
    <x v="110"/>
    <x v="105"/>
    <d v="2023-07-22T00:00:00"/>
    <d v="2023-07-22T00:00:00"/>
    <n v="4"/>
    <n v="4"/>
    <n v="1"/>
    <s v="July"/>
    <s v="Q3-2023"/>
    <x v="0"/>
    <x v="1"/>
    <x v="0"/>
    <x v="1"/>
    <s v="São Paulo"/>
    <s v="Consumer"/>
    <x v="1"/>
    <x v="0"/>
    <x v="7"/>
    <x v="2"/>
    <x v="110"/>
    <n v="1269.55"/>
    <n v="27930.1"/>
    <n v="2071.1"/>
    <n v="39686.4182"/>
    <n v="11756.318200000002"/>
    <n v="0.129"/>
    <n v="0"/>
    <s v="High"/>
    <n v="0.29623026549672354"/>
    <n v="22"/>
  </r>
  <r>
    <x v="111"/>
    <x v="106"/>
    <d v="2025-04-02T00:00:00"/>
    <d v="2025-04-02T00:00:00"/>
    <n v="4"/>
    <n v="4"/>
    <n v="1"/>
    <s v="March"/>
    <s v="Q1-2025"/>
    <x v="0"/>
    <x v="5"/>
    <x v="3"/>
    <x v="5"/>
    <s v="Lagos"/>
    <s v="Non-Profit"/>
    <x v="2"/>
    <x v="2"/>
    <x v="23"/>
    <x v="5"/>
    <x v="111"/>
    <n v="259.93"/>
    <n v="5718.46"/>
    <n v="255.94"/>
    <n v="5225.2710400000005"/>
    <n v="-493.1889599999995"/>
    <n v="7.1999999999999995E-2"/>
    <n v="0"/>
    <s v="Low"/>
    <n v="-9.4385335463861311E-2"/>
    <n v="22"/>
  </r>
  <r>
    <x v="112"/>
    <x v="107"/>
    <d v="2023-01-31T00:00:00"/>
    <d v="2023-01-31T00:00:00"/>
    <n v="4"/>
    <n v="4"/>
    <n v="1"/>
    <s v="January"/>
    <s v="Q1-2023"/>
    <x v="0"/>
    <x v="4"/>
    <x v="2"/>
    <x v="4"/>
    <s v="Manchester"/>
    <s v="Enterprise"/>
    <x v="3"/>
    <x v="6"/>
    <x v="5"/>
    <x v="3"/>
    <x v="112"/>
    <n v="941.2"/>
    <n v="15059.2"/>
    <n v="668.02"/>
    <n v="8336.8896000000004"/>
    <n v="-6722.3104000000003"/>
    <n v="0.22"/>
    <n v="1"/>
    <s v="Low"/>
    <n v="-0.80633314371825193"/>
    <n v="16"/>
  </r>
  <r>
    <x v="113"/>
    <x v="108"/>
    <d v="2025-09-03T00:00:00"/>
    <d v="2025-09-03T00:00:00"/>
    <n v="4"/>
    <n v="4"/>
    <n v="1"/>
    <s v="August"/>
    <s v="Q3-2025"/>
    <x v="0"/>
    <x v="8"/>
    <x v="2"/>
    <x v="8"/>
    <s v="Marseille"/>
    <s v="Small Business"/>
    <x v="2"/>
    <x v="10"/>
    <x v="4"/>
    <x v="3"/>
    <x v="113"/>
    <n v="1286.56"/>
    <n v="19298.399999999998"/>
    <n v="2777.35"/>
    <n v="36161.097000000002"/>
    <n v="16862.697000000004"/>
    <n v="0.13200000000000001"/>
    <n v="0"/>
    <s v="High"/>
    <n v="0.46632150014696744"/>
    <n v="15"/>
  </r>
  <r>
    <x v="114"/>
    <x v="109"/>
    <d v="2025-06-05T00:00:00"/>
    <d v="2025-06-05T00:00:00"/>
    <n v="4"/>
    <n v="4"/>
    <n v="1"/>
    <s v="June"/>
    <s v="Q2-2025"/>
    <x v="0"/>
    <x v="10"/>
    <x v="2"/>
    <x v="10"/>
    <s v="Munich"/>
    <s v="Enterprise"/>
    <x v="1"/>
    <x v="1"/>
    <x v="0"/>
    <x v="6"/>
    <x v="114"/>
    <n v="1171.42"/>
    <n v="17571.300000000003"/>
    <n v="2187.8000000000002"/>
    <n v="25269.09"/>
    <n v="7697.7899999999972"/>
    <n v="0.23"/>
    <n v="1"/>
    <s v="High"/>
    <n v="0.30463265594447592"/>
    <n v="15"/>
  </r>
  <r>
    <x v="115"/>
    <x v="110"/>
    <d v="2025-02-08T00:00:00"/>
    <d v="2025-02-08T00:00:00"/>
    <n v="4"/>
    <n v="4"/>
    <n v="1"/>
    <s v="February"/>
    <s v="Q1-2025"/>
    <x v="0"/>
    <x v="4"/>
    <x v="2"/>
    <x v="4"/>
    <s v="Manchester"/>
    <s v="Enterprise"/>
    <x v="2"/>
    <x v="5"/>
    <x v="22"/>
    <x v="2"/>
    <x v="115"/>
    <n v="586.21"/>
    <n v="8793.1500000000015"/>
    <n v="727.22"/>
    <n v="10166.535600000001"/>
    <n v="1373.3855999999996"/>
    <n v="6.8000000000000005E-2"/>
    <n v="0"/>
    <s v="Low"/>
    <n v="0.13508884973559721"/>
    <n v="15"/>
  </r>
  <r>
    <x v="116"/>
    <x v="111"/>
    <d v="2025-04-11T00:00:00"/>
    <d v="2025-04-11T00:00:00"/>
    <n v="4"/>
    <n v="4"/>
    <n v="1"/>
    <s v="April"/>
    <s v="Q2-2025"/>
    <x v="0"/>
    <x v="8"/>
    <x v="2"/>
    <x v="8"/>
    <s v="Lyon"/>
    <s v="Education"/>
    <x v="4"/>
    <x v="7"/>
    <x v="23"/>
    <x v="2"/>
    <x v="116"/>
    <n v="754.77"/>
    <n v="10566.779999999999"/>
    <n v="1666.18"/>
    <n v="20084.133720000002"/>
    <n v="9517.3537200000028"/>
    <n v="0.13900000000000001"/>
    <n v="0"/>
    <s v="High"/>
    <n v="0.47387424584424653"/>
    <n v="14"/>
  </r>
  <r>
    <x v="117"/>
    <x v="112"/>
    <d v="2023-05-14T00:00:00"/>
    <d v="2023-05-14T00:00:00"/>
    <n v="4"/>
    <n v="4"/>
    <n v="1"/>
    <s v="May"/>
    <s v="Q2-2023"/>
    <x v="0"/>
    <x v="1"/>
    <x v="1"/>
    <x v="11"/>
    <s v="Delhi"/>
    <s v="Non-Profit"/>
    <x v="0"/>
    <x v="14"/>
    <x v="2"/>
    <x v="1"/>
    <x v="117"/>
    <n v="622.6"/>
    <n v="8716.4"/>
    <n v="833.69"/>
    <n v="9232.2830599999998"/>
    <n v="515.88306000000011"/>
    <n v="0.20899999999999999"/>
    <n v="1"/>
    <s v="High"/>
    <n v="5.5878167582959715E-2"/>
    <n v="14"/>
  </r>
  <r>
    <x v="118"/>
    <x v="113"/>
    <d v="2023-03-18T00:00:00"/>
    <d v="2023-03-18T00:00:00"/>
    <n v="4"/>
    <n v="4"/>
    <n v="1"/>
    <s v="March"/>
    <s v="Q1-2023"/>
    <x v="0"/>
    <x v="10"/>
    <x v="2"/>
    <x v="10"/>
    <s v="Frankfurt"/>
    <s v="Enterprise"/>
    <x v="1"/>
    <x v="3"/>
    <x v="11"/>
    <x v="6"/>
    <x v="118"/>
    <n v="472.33"/>
    <n v="6612.62"/>
    <n v="360.34"/>
    <n v="4212.3745999999992"/>
    <n v="-2400.2454000000007"/>
    <n v="0.16500000000000001"/>
    <n v="0"/>
    <s v="Low"/>
    <n v="-0.56980815523861561"/>
    <n v="14"/>
  </r>
  <r>
    <x v="119"/>
    <x v="114"/>
    <d v="2024-01-25T00:00:00"/>
    <d v="2024-01-25T00:00:00"/>
    <n v="4"/>
    <n v="4"/>
    <n v="1"/>
    <s v="January"/>
    <s v="Q1-2024"/>
    <x v="0"/>
    <x v="1"/>
    <x v="1"/>
    <x v="11"/>
    <s v="Delhi"/>
    <s v="Consumer"/>
    <x v="1"/>
    <x v="14"/>
    <x v="18"/>
    <x v="1"/>
    <x v="119"/>
    <n v="523.70000000000005"/>
    <n v="5760.7000000000007"/>
    <n v="1109.92"/>
    <n v="11842.8464"/>
    <n v="6082.1463999999996"/>
    <n v="0.03"/>
    <n v="0"/>
    <s v="High"/>
    <n v="0.51357133197302973"/>
    <n v="11"/>
  </r>
  <r>
    <x v="120"/>
    <x v="92"/>
    <d v="2024-05-22T00:00:00"/>
    <d v="2024-05-22T00:00:00"/>
    <n v="4"/>
    <n v="4"/>
    <n v="1"/>
    <s v="May"/>
    <s v="Q2-2024"/>
    <x v="0"/>
    <x v="9"/>
    <x v="3"/>
    <x v="9"/>
    <s v="Nairobi"/>
    <s v="Corporate"/>
    <x v="1"/>
    <x v="8"/>
    <x v="8"/>
    <x v="4"/>
    <x v="120"/>
    <n v="857.42"/>
    <n v="7716.78"/>
    <n v="1658.92"/>
    <n v="13108.78584"/>
    <n v="5392.0058400000007"/>
    <n v="0.122"/>
    <n v="0"/>
    <s v="High"/>
    <n v="0.41132763215544305"/>
    <n v="9"/>
  </r>
  <r>
    <x v="121"/>
    <x v="115"/>
    <d v="2024-04-07T00:00:00"/>
    <d v="2024-04-07T00:00:00"/>
    <n v="4"/>
    <n v="4"/>
    <n v="1"/>
    <s v="April"/>
    <s v="Q2-2024"/>
    <x v="0"/>
    <x v="1"/>
    <x v="0"/>
    <x v="1"/>
    <s v="Brasília"/>
    <s v="Non-Profit"/>
    <x v="1"/>
    <x v="6"/>
    <x v="31"/>
    <x v="5"/>
    <x v="121"/>
    <n v="1023.27"/>
    <n v="7162.8899999999994"/>
    <n v="1343.64"/>
    <n v="8154.5511600000009"/>
    <n v="991.66116000000147"/>
    <n v="0.13300000000000001"/>
    <n v="0"/>
    <s v="High"/>
    <n v="0.12160830688810116"/>
    <n v="7"/>
  </r>
  <r>
    <x v="122"/>
    <x v="116"/>
    <d v="2025-04-04T00:00:00"/>
    <d v="2025-04-04T00:00:00"/>
    <n v="4"/>
    <n v="4"/>
    <n v="1"/>
    <s v="March"/>
    <s v="Q1-2025"/>
    <x v="0"/>
    <x v="9"/>
    <x v="3"/>
    <x v="9"/>
    <s v="Nakuru"/>
    <s v="Corporate"/>
    <x v="1"/>
    <x v="14"/>
    <x v="23"/>
    <x v="3"/>
    <x v="122"/>
    <n v="862.08"/>
    <n v="6034.56"/>
    <n v="1952.83"/>
    <n v="13669.81"/>
    <n v="7635.2499999999991"/>
    <n v="0"/>
    <n v="0"/>
    <s v="High"/>
    <n v="0.5585483631447693"/>
    <n v="7"/>
  </r>
  <r>
    <x v="123"/>
    <x v="117"/>
    <d v="2023-08-23T00:00:00"/>
    <d v="2023-08-23T00:00:00"/>
    <n v="4"/>
    <n v="4"/>
    <n v="1"/>
    <s v="August"/>
    <s v="Q3-2023"/>
    <x v="0"/>
    <x v="5"/>
    <x v="3"/>
    <x v="5"/>
    <s v="Abuja"/>
    <s v="Small Business"/>
    <x v="3"/>
    <x v="10"/>
    <x v="30"/>
    <x v="1"/>
    <x v="123"/>
    <n v="790.63"/>
    <n v="5534.41"/>
    <n v="1382.31"/>
    <n v="8698.8768300000011"/>
    <n v="3164.4668300000012"/>
    <n v="0.10100000000000001"/>
    <n v="0"/>
    <s v="High"/>
    <n v="0.36377878338116448"/>
    <n v="7"/>
  </r>
  <r>
    <x v="124"/>
    <x v="118"/>
    <d v="2024-10-28T00:00:00"/>
    <d v="2024-10-28T00:00:00"/>
    <n v="4"/>
    <n v="4"/>
    <n v="1"/>
    <s v="October"/>
    <s v="Q4-2024"/>
    <x v="0"/>
    <x v="7"/>
    <x v="1"/>
    <x v="7"/>
    <s v="Shanghai"/>
    <s v="Small Business"/>
    <x v="0"/>
    <x v="13"/>
    <x v="15"/>
    <x v="2"/>
    <x v="124"/>
    <n v="1331.77"/>
    <n v="7990.62"/>
    <n v="2606.11"/>
    <n v="15323.926799999999"/>
    <n v="7333.3067999999994"/>
    <n v="0.02"/>
    <n v="0"/>
    <s v="High"/>
    <n v="0.47855271665745619"/>
    <n v="6"/>
  </r>
  <r>
    <x v="125"/>
    <x v="81"/>
    <d v="2023-09-03T00:00:00"/>
    <d v="2023-09-03T00:00:00"/>
    <n v="4"/>
    <n v="4"/>
    <n v="1"/>
    <s v="August"/>
    <s v="Q3-2023"/>
    <x v="0"/>
    <x v="1"/>
    <x v="1"/>
    <x v="11"/>
    <s v="Delhi"/>
    <s v="Small Business"/>
    <x v="2"/>
    <x v="5"/>
    <x v="30"/>
    <x v="4"/>
    <x v="125"/>
    <n v="1082.25"/>
    <n v="4329"/>
    <n v="2433.34"/>
    <n v="7105.3528000000006"/>
    <n v="2776.3528000000006"/>
    <n v="0.27"/>
    <n v="1"/>
    <s v="High"/>
    <n v="0.3907410199251472"/>
    <n v="4"/>
  </r>
  <r>
    <x v="126"/>
    <x v="119"/>
    <d v="2024-06-30T00:00:00"/>
    <d v="2024-06-30T00:00:00"/>
    <n v="5"/>
    <n v="5"/>
    <n v="1"/>
    <s v="June"/>
    <s v="Q2-2024"/>
    <x v="0"/>
    <x v="9"/>
    <x v="3"/>
    <x v="9"/>
    <s v="Kisumu"/>
    <s v="Education"/>
    <x v="1"/>
    <x v="1"/>
    <x v="6"/>
    <x v="2"/>
    <x v="126"/>
    <n v="1323.55"/>
    <n v="34412.299999999996"/>
    <n v="3230.35"/>
    <n v="82141.339799999987"/>
    <n v="47729.039799999991"/>
    <n v="2.1999999999999999E-2"/>
    <n v="0"/>
    <s v="High"/>
    <n v="0.58105991351263542"/>
    <n v="26"/>
  </r>
  <r>
    <x v="127"/>
    <x v="120"/>
    <d v="2025-07-16T00:00:00"/>
    <d v="2025-07-16T00:00:00"/>
    <n v="5"/>
    <n v="5"/>
    <n v="1"/>
    <s v="July"/>
    <s v="Q3-2025"/>
    <x v="0"/>
    <x v="4"/>
    <x v="2"/>
    <x v="4"/>
    <s v="London"/>
    <s v="Enterprise"/>
    <x v="3"/>
    <x v="12"/>
    <x v="29"/>
    <x v="0"/>
    <x v="127"/>
    <n v="930.03"/>
    <n v="24180.78"/>
    <n v="1086.68"/>
    <n v="25174.028880000002"/>
    <n v="993.24888000000283"/>
    <n v="0.109"/>
    <n v="0"/>
    <s v="High"/>
    <n v="3.9455300728168656E-2"/>
    <n v="26"/>
  </r>
  <r>
    <x v="128"/>
    <x v="121"/>
    <d v="2024-12-26T00:00:00"/>
    <d v="2024-12-26T00:00:00"/>
    <n v="5"/>
    <n v="5"/>
    <n v="1"/>
    <s v="December"/>
    <s v="Q4-2024"/>
    <x v="0"/>
    <x v="2"/>
    <x v="0"/>
    <x v="2"/>
    <s v="San Francisco"/>
    <s v="Consumer"/>
    <x v="2"/>
    <x v="1"/>
    <x v="26"/>
    <x v="0"/>
    <x v="128"/>
    <n v="699.57"/>
    <n v="18188.82"/>
    <n v="572.71"/>
    <n v="12031.491680000001"/>
    <n v="-6157.3283199999987"/>
    <n v="0.192"/>
    <n v="0"/>
    <s v="Low"/>
    <n v="-0.51176765805651114"/>
    <n v="26"/>
  </r>
  <r>
    <x v="129"/>
    <x v="122"/>
    <d v="2024-06-21T00:00:00"/>
    <d v="2024-06-21T00:00:00"/>
    <n v="5"/>
    <n v="5"/>
    <n v="1"/>
    <s v="June"/>
    <s v="Q2-2024"/>
    <x v="1"/>
    <x v="3"/>
    <x v="1"/>
    <x v="3"/>
    <s v="Tokyo"/>
    <s v="Small Business"/>
    <x v="0"/>
    <x v="0"/>
    <x v="8"/>
    <x v="5"/>
    <x v="129"/>
    <n v="1367.13"/>
    <n v="34178.25"/>
    <n v="3062.01"/>
    <n v="68665.574250000005"/>
    <n v="34487.324250000005"/>
    <n v="0.10299999999999999"/>
    <n v="0"/>
    <s v="High"/>
    <n v="0.50225057645971705"/>
    <n v="25"/>
  </r>
  <r>
    <x v="130"/>
    <x v="123"/>
    <d v="2024-12-20T00:00:00"/>
    <d v="2024-12-20T00:00:00"/>
    <n v="5"/>
    <n v="5"/>
    <n v="1"/>
    <s v="December"/>
    <s v="Q4-2024"/>
    <x v="0"/>
    <x v="7"/>
    <x v="1"/>
    <x v="7"/>
    <s v="Shenzhen"/>
    <s v="Small Business"/>
    <x v="1"/>
    <x v="10"/>
    <x v="26"/>
    <x v="2"/>
    <x v="130"/>
    <n v="717.55"/>
    <n v="12915.9"/>
    <n v="546.42999999999995"/>
    <n v="9373.460219999999"/>
    <n v="-3542.4397800000006"/>
    <n v="4.7E-2"/>
    <n v="0"/>
    <s v="Low"/>
    <n v="-0.37792231437026369"/>
    <n v="18"/>
  </r>
  <r>
    <x v="131"/>
    <x v="124"/>
    <d v="2023-04-05T00:00:00"/>
    <d v="2023-04-05T00:00:00"/>
    <n v="5"/>
    <n v="5"/>
    <n v="1"/>
    <s v="March"/>
    <s v="Q1-2023"/>
    <x v="0"/>
    <x v="9"/>
    <x v="3"/>
    <x v="9"/>
    <s v="Nakuru"/>
    <s v="Education"/>
    <x v="2"/>
    <x v="11"/>
    <x v="28"/>
    <x v="3"/>
    <x v="131"/>
    <n v="533.26"/>
    <n v="7998.9"/>
    <n v="385.72"/>
    <n v="5785.8"/>
    <n v="-2213.0999999999995"/>
    <n v="0"/>
    <n v="0"/>
    <s v="Low"/>
    <n v="-0.38250544436378708"/>
    <n v="15"/>
  </r>
  <r>
    <x v="132"/>
    <x v="125"/>
    <d v="2024-05-12T00:00:00"/>
    <d v="2024-05-12T00:00:00"/>
    <n v="5"/>
    <n v="5"/>
    <n v="1"/>
    <s v="May"/>
    <s v="Q2-2024"/>
    <x v="0"/>
    <x v="5"/>
    <x v="3"/>
    <x v="5"/>
    <s v="Abuja"/>
    <s v="Non-Profit"/>
    <x v="0"/>
    <x v="5"/>
    <x v="8"/>
    <x v="3"/>
    <x v="132"/>
    <n v="1163.99"/>
    <n v="16295.86"/>
    <n v="1617.85"/>
    <n v="19773.362699999998"/>
    <n v="3477.5026999999973"/>
    <n v="0.127"/>
    <n v="0"/>
    <s v="High"/>
    <n v="0.17586804797749436"/>
    <n v="14"/>
  </r>
  <r>
    <x v="133"/>
    <x v="126"/>
    <d v="2023-08-15T00:00:00"/>
    <d v="2023-08-15T00:00:00"/>
    <n v="5"/>
    <n v="5"/>
    <n v="1"/>
    <s v="August"/>
    <s v="Q3-2023"/>
    <x v="0"/>
    <x v="1"/>
    <x v="0"/>
    <x v="1"/>
    <s v="São Paulo"/>
    <s v="Education"/>
    <x v="1"/>
    <x v="2"/>
    <x v="16"/>
    <x v="2"/>
    <x v="133"/>
    <n v="1307.52"/>
    <n v="16997.759999999998"/>
    <n v="1921.65"/>
    <n v="21908.731650000002"/>
    <n v="4910.9716500000031"/>
    <n v="0.123"/>
    <n v="0"/>
    <s v="High"/>
    <n v="0.22415590863289445"/>
    <n v="13"/>
  </r>
  <r>
    <x v="134"/>
    <x v="127"/>
    <d v="2023-04-17T00:00:00"/>
    <d v="2023-04-17T00:00:00"/>
    <n v="5"/>
    <n v="5"/>
    <n v="1"/>
    <s v="April"/>
    <s v="Q2-2023"/>
    <x v="0"/>
    <x v="8"/>
    <x v="2"/>
    <x v="8"/>
    <s v="Lyon"/>
    <s v="Enterprise"/>
    <x v="1"/>
    <x v="7"/>
    <x v="2"/>
    <x v="1"/>
    <x v="134"/>
    <n v="1087.81"/>
    <n v="14141.529999999999"/>
    <n v="2323.87"/>
    <n v="27370.540859999997"/>
    <n v="13229.010859999999"/>
    <n v="9.4E-2"/>
    <n v="0"/>
    <s v="High"/>
    <n v="0.48333026839572651"/>
    <n v="13"/>
  </r>
  <r>
    <x v="135"/>
    <x v="109"/>
    <d v="2025-06-06T00:00:00"/>
    <d v="2025-06-06T00:00:00"/>
    <n v="5"/>
    <n v="5"/>
    <n v="1"/>
    <s v="June"/>
    <s v="Q2-2025"/>
    <x v="0"/>
    <x v="8"/>
    <x v="2"/>
    <x v="8"/>
    <s v="Paris"/>
    <s v="Consumer"/>
    <x v="0"/>
    <x v="2"/>
    <x v="0"/>
    <x v="6"/>
    <x v="135"/>
    <n v="379.45"/>
    <n v="4932.8499999999995"/>
    <n v="742.23"/>
    <n v="8780.5809000000008"/>
    <n v="3847.7309000000014"/>
    <n v="0.09"/>
    <n v="0"/>
    <s v="Low"/>
    <n v="0.43820915083192286"/>
    <n v="13"/>
  </r>
  <r>
    <x v="136"/>
    <x v="128"/>
    <d v="2023-02-12T00:00:00"/>
    <d v="2023-02-12T00:00:00"/>
    <n v="5"/>
    <n v="5"/>
    <n v="1"/>
    <s v="February"/>
    <s v="Q1-2023"/>
    <x v="0"/>
    <x v="1"/>
    <x v="0"/>
    <x v="1"/>
    <s v="São Paulo"/>
    <s v="Education"/>
    <x v="3"/>
    <x v="6"/>
    <x v="5"/>
    <x v="6"/>
    <x v="136"/>
    <n v="948.55"/>
    <n v="11382.599999999999"/>
    <n v="2089.16"/>
    <n v="24894.430559999997"/>
    <n v="13511.830559999999"/>
    <n v="7.0000000000000001E-3"/>
    <n v="0"/>
    <s v="High"/>
    <n v="0.54276519912492427"/>
    <n v="12"/>
  </r>
  <r>
    <x v="137"/>
    <x v="100"/>
    <d v="2024-09-08T00:00:00"/>
    <d v="2024-09-08T00:00:00"/>
    <n v="5"/>
    <n v="5"/>
    <n v="1"/>
    <s v="September"/>
    <s v="Q3-2024"/>
    <x v="0"/>
    <x v="5"/>
    <x v="3"/>
    <x v="5"/>
    <s v="Lagos"/>
    <s v="Small Business"/>
    <x v="1"/>
    <x v="12"/>
    <x v="10"/>
    <x v="0"/>
    <x v="137"/>
    <n v="197.63"/>
    <n v="1976.3"/>
    <n v="325.79000000000002"/>
    <n v="2879.9836"/>
    <n v="903.68360000000007"/>
    <n v="0.11600000000000001"/>
    <n v="0"/>
    <s v="Low"/>
    <n v="0.31378081458519419"/>
    <n v="10"/>
  </r>
  <r>
    <x v="138"/>
    <x v="92"/>
    <d v="2024-05-23T00:00:00"/>
    <d v="2024-05-23T00:00:00"/>
    <n v="5"/>
    <n v="5"/>
    <n v="1"/>
    <s v="May"/>
    <s v="Q2-2024"/>
    <x v="0"/>
    <x v="2"/>
    <x v="0"/>
    <x v="2"/>
    <s v="Chicago"/>
    <s v="Enterprise"/>
    <x v="4"/>
    <x v="8"/>
    <x v="3"/>
    <x v="3"/>
    <x v="138"/>
    <n v="1274.5899999999999"/>
    <n v="10196.719999999999"/>
    <n v="2553.69"/>
    <n v="20225.2248"/>
    <n v="10028.504800000001"/>
    <n v="0.01"/>
    <n v="0"/>
    <s v="High"/>
    <n v="0.49584145042481803"/>
    <n v="8"/>
  </r>
  <r>
    <x v="139"/>
    <x v="67"/>
    <d v="2024-06-28T00:00:00"/>
    <d v="2024-06-28T00:00:00"/>
    <n v="5"/>
    <n v="5"/>
    <n v="1"/>
    <s v="June"/>
    <s v="Q2-2024"/>
    <x v="0"/>
    <x v="5"/>
    <x v="3"/>
    <x v="5"/>
    <s v="Port Harcourt"/>
    <s v="Non-Profit"/>
    <x v="1"/>
    <x v="1"/>
    <x v="6"/>
    <x v="4"/>
    <x v="139"/>
    <n v="242.31"/>
    <n v="1453.8600000000001"/>
    <n v="587.95000000000005"/>
    <n v="2719.8567000000003"/>
    <n v="1265.9967000000001"/>
    <n v="0.22900000000000001"/>
    <n v="1"/>
    <s v="Low"/>
    <n v="0.46546448568411714"/>
    <n v="6"/>
  </r>
  <r>
    <x v="140"/>
    <x v="129"/>
    <d v="2025-07-23T00:00:00"/>
    <d v="2025-07-23T00:00:00"/>
    <n v="6"/>
    <n v="6"/>
    <n v="1"/>
    <s v="July"/>
    <s v="Q3-2025"/>
    <x v="0"/>
    <x v="0"/>
    <x v="0"/>
    <x v="0"/>
    <s v="Vancouver"/>
    <s v="Consumer"/>
    <x v="3"/>
    <x v="8"/>
    <x v="25"/>
    <x v="6"/>
    <x v="140"/>
    <n v="1364.89"/>
    <n v="83258.290000000008"/>
    <n v="2757.54"/>
    <n v="139277.83032000001"/>
    <n v="56019.54032"/>
    <n v="0.17199999999999999"/>
    <n v="0"/>
    <s v="High"/>
    <n v="0.4022143379983118"/>
    <n v="61"/>
  </r>
  <r>
    <x v="141"/>
    <x v="25"/>
    <d v="2023-03-06T00:00:00"/>
    <d v="2023-03-06T00:00:00"/>
    <n v="6"/>
    <n v="6"/>
    <n v="1"/>
    <s v="February"/>
    <s v="Q1-2023"/>
    <x v="0"/>
    <x v="10"/>
    <x v="2"/>
    <x v="10"/>
    <s v="Frankfurt"/>
    <s v="Small Business"/>
    <x v="2"/>
    <x v="9"/>
    <x v="11"/>
    <x v="0"/>
    <x v="141"/>
    <n v="880.02"/>
    <n v="25520.579999999998"/>
    <n v="1251.21"/>
    <n v="31822.023930000003"/>
    <n v="6301.4439300000049"/>
    <n v="0.123"/>
    <n v="0"/>
    <s v="High"/>
    <n v="0.19802146915172672"/>
    <n v="29"/>
  </r>
  <r>
    <x v="142"/>
    <x v="130"/>
    <d v="2025-05-13T00:00:00"/>
    <d v="2025-05-13T00:00:00"/>
    <n v="6"/>
    <n v="6"/>
    <n v="1"/>
    <s v="May"/>
    <s v="Q2-2025"/>
    <x v="0"/>
    <x v="1"/>
    <x v="1"/>
    <x v="11"/>
    <s v="Bengaluru"/>
    <s v="Enterprise"/>
    <x v="1"/>
    <x v="10"/>
    <x v="9"/>
    <x v="5"/>
    <x v="142"/>
    <n v="935.98"/>
    <n v="22463.52"/>
    <n v="2077.69"/>
    <n v="41138.261999999995"/>
    <n v="18674.741999999995"/>
    <n v="0.17499999999999999"/>
    <n v="0"/>
    <s v="High"/>
    <n v="0.45395067978321491"/>
    <n v="24"/>
  </r>
  <r>
    <x v="143"/>
    <x v="79"/>
    <d v="2025-01-02T00:00:00"/>
    <d v="2025-01-02T00:00:00"/>
    <n v="6"/>
    <n v="6"/>
    <n v="1"/>
    <s v="December"/>
    <s v="Q4-2024"/>
    <x v="0"/>
    <x v="10"/>
    <x v="2"/>
    <x v="10"/>
    <s v="Frankfurt"/>
    <s v="Education"/>
    <x v="1"/>
    <x v="0"/>
    <x v="26"/>
    <x v="3"/>
    <x v="143"/>
    <n v="1391.99"/>
    <n v="32015.77"/>
    <n v="3469.7"/>
    <n v="65119.329599999997"/>
    <n v="33103.559599999993"/>
    <n v="0.184"/>
    <n v="0"/>
    <s v="High"/>
    <n v="0.50835227886006973"/>
    <n v="23"/>
  </r>
  <r>
    <x v="144"/>
    <x v="131"/>
    <d v="2025-08-08T00:00:00"/>
    <d v="2025-08-08T00:00:00"/>
    <n v="6"/>
    <n v="6"/>
    <n v="1"/>
    <s v="August"/>
    <s v="Q3-2025"/>
    <x v="1"/>
    <x v="3"/>
    <x v="1"/>
    <x v="3"/>
    <s v="Osaka"/>
    <s v="Consumer"/>
    <x v="1"/>
    <x v="6"/>
    <x v="0"/>
    <x v="3"/>
    <x v="144"/>
    <n v="1225.94"/>
    <n v="26970.68"/>
    <n v="1793.08"/>
    <n v="34082.864639999993"/>
    <n v="7112.1846399999922"/>
    <n v="0.13600000000000001"/>
    <n v="0"/>
    <s v="High"/>
    <n v="0.20867332353434462"/>
    <n v="22"/>
  </r>
  <r>
    <x v="145"/>
    <x v="132"/>
    <d v="2023-01-19T00:00:00"/>
    <d v="2023-01-19T00:00:00"/>
    <n v="6"/>
    <n v="6"/>
    <n v="1"/>
    <s v="January"/>
    <s v="Q1-2023"/>
    <x v="0"/>
    <x v="2"/>
    <x v="0"/>
    <x v="2"/>
    <s v="Chicago"/>
    <s v="Corporate"/>
    <x v="1"/>
    <x v="8"/>
    <x v="5"/>
    <x v="5"/>
    <x v="145"/>
    <n v="833.57"/>
    <n v="15004.26"/>
    <n v="881.57"/>
    <n v="14963.769179999999"/>
    <n v="-40.490820000000895"/>
    <n v="5.7000000000000002E-2"/>
    <n v="0"/>
    <s v="High"/>
    <n v="-2.7059238560107821E-3"/>
    <n v="18"/>
  </r>
  <r>
    <x v="146"/>
    <x v="133"/>
    <d v="2025-04-10T00:00:00"/>
    <d v="2025-04-10T00:00:00"/>
    <n v="6"/>
    <n v="6"/>
    <n v="1"/>
    <s v="April"/>
    <s v="Q2-2025"/>
    <x v="0"/>
    <x v="4"/>
    <x v="2"/>
    <x v="4"/>
    <s v="Birmingham"/>
    <s v="Non-Profit"/>
    <x v="1"/>
    <x v="6"/>
    <x v="23"/>
    <x v="0"/>
    <x v="146"/>
    <n v="290.14"/>
    <n v="4932.38"/>
    <n v="250.73"/>
    <n v="4117.4880599999997"/>
    <n v="-814.89194000000043"/>
    <n v="3.4000000000000002E-2"/>
    <n v="0"/>
    <s v="Low"/>
    <n v="-0.19790997038131072"/>
    <n v="17"/>
  </r>
  <r>
    <x v="147"/>
    <x v="134"/>
    <d v="2023-07-13T00:00:00"/>
    <d v="2023-07-13T00:00:00"/>
    <n v="6"/>
    <n v="6"/>
    <n v="1"/>
    <s v="July"/>
    <s v="Q3-2023"/>
    <x v="0"/>
    <x v="6"/>
    <x v="3"/>
    <x v="6"/>
    <s v="Cape Town"/>
    <s v="Small Business"/>
    <x v="2"/>
    <x v="11"/>
    <x v="16"/>
    <x v="4"/>
    <x v="147"/>
    <n v="612.59"/>
    <n v="9188.85"/>
    <n v="1424.74"/>
    <n v="20430.771599999996"/>
    <n v="11241.921599999996"/>
    <n v="4.3999999999999997E-2"/>
    <n v="0"/>
    <s v="High"/>
    <n v="0.55024459281802152"/>
    <n v="15"/>
  </r>
  <r>
    <x v="148"/>
    <x v="135"/>
    <d v="2024-09-08T00:00:00"/>
    <d v="2024-09-08T00:00:00"/>
    <n v="6"/>
    <n v="6"/>
    <n v="1"/>
    <s v="September"/>
    <s v="Q3-2024"/>
    <x v="0"/>
    <x v="2"/>
    <x v="0"/>
    <x v="2"/>
    <s v="Austin"/>
    <s v="Consumer"/>
    <x v="1"/>
    <x v="8"/>
    <x v="10"/>
    <x v="6"/>
    <x v="148"/>
    <n v="462.94"/>
    <n v="6481.16"/>
    <n v="1015.7"/>
    <n v="12186.368600000002"/>
    <n v="5705.2086000000018"/>
    <n v="0.14299999999999999"/>
    <n v="0"/>
    <s v="High"/>
    <n v="0.46816314090483041"/>
    <n v="14"/>
  </r>
  <r>
    <x v="149"/>
    <x v="136"/>
    <d v="2024-05-27T00:00:00"/>
    <d v="2024-05-27T00:00:00"/>
    <n v="6"/>
    <n v="6"/>
    <n v="1"/>
    <s v="May"/>
    <s v="Q2-2024"/>
    <x v="0"/>
    <x v="6"/>
    <x v="3"/>
    <x v="6"/>
    <s v="Johannesburg"/>
    <s v="Non-Profit"/>
    <x v="3"/>
    <x v="1"/>
    <x v="3"/>
    <x v="6"/>
    <x v="149"/>
    <n v="1157.51"/>
    <n v="13890.119999999999"/>
    <n v="1394.3"/>
    <n v="12080.215199999999"/>
    <n v="-1809.9048000000003"/>
    <n v="0.27800000000000002"/>
    <n v="1"/>
    <s v="High"/>
    <n v="-0.14982388724333326"/>
    <n v="12"/>
  </r>
  <r>
    <x v="150"/>
    <x v="137"/>
    <d v="2024-11-04T00:00:00"/>
    <d v="2024-11-04T00:00:00"/>
    <n v="6"/>
    <n v="6"/>
    <n v="1"/>
    <s v="October"/>
    <s v="Q4-2024"/>
    <x v="0"/>
    <x v="9"/>
    <x v="3"/>
    <x v="9"/>
    <s v="Nairobi"/>
    <s v="Corporate"/>
    <x v="0"/>
    <x v="1"/>
    <x v="15"/>
    <x v="0"/>
    <x v="150"/>
    <n v="805.81"/>
    <n v="8863.91"/>
    <n v="1823.04"/>
    <n v="20053.439999999999"/>
    <n v="11189.529999999999"/>
    <n v="0"/>
    <n v="0"/>
    <s v="High"/>
    <n v="0.55798556257679477"/>
    <n v="11"/>
  </r>
  <r>
    <x v="151"/>
    <x v="138"/>
    <d v="2025-08-26T00:00:00"/>
    <d v="2025-08-26T00:00:00"/>
    <n v="6"/>
    <n v="6"/>
    <n v="1"/>
    <s v="August"/>
    <s v="Q3-2025"/>
    <x v="0"/>
    <x v="2"/>
    <x v="0"/>
    <x v="2"/>
    <s v="New York"/>
    <s v="Corporate"/>
    <x v="4"/>
    <x v="1"/>
    <x v="4"/>
    <x v="2"/>
    <x v="151"/>
    <n v="1304.95"/>
    <n v="10439.6"/>
    <n v="1712.03"/>
    <n v="10792.637119999999"/>
    <n v="353.03711999999905"/>
    <n v="0.21199999999999999"/>
    <n v="1"/>
    <s v="High"/>
    <n v="3.2710922833287949E-2"/>
    <n v="8"/>
  </r>
  <r>
    <x v="152"/>
    <x v="139"/>
    <d v="2024-09-05T00:00:00"/>
    <d v="2024-09-05T00:00:00"/>
    <n v="6"/>
    <n v="6"/>
    <n v="1"/>
    <s v="August"/>
    <s v="Q3-2024"/>
    <x v="1"/>
    <x v="3"/>
    <x v="1"/>
    <x v="3"/>
    <s v="Nagoya"/>
    <s v="Education"/>
    <x v="3"/>
    <x v="6"/>
    <x v="6"/>
    <x v="3"/>
    <x v="152"/>
    <n v="466.16"/>
    <n v="3729.28"/>
    <n v="876.81"/>
    <n v="5323.9903199999999"/>
    <n v="1594.7103199999997"/>
    <n v="0.24099999999999999"/>
    <n v="1"/>
    <s v="High"/>
    <n v="0.29953291124691594"/>
    <n v="8"/>
  </r>
  <r>
    <x v="153"/>
    <x v="140"/>
    <d v="2025-01-15T00:00:00"/>
    <d v="2025-01-15T00:00:00"/>
    <n v="6"/>
    <n v="6"/>
    <n v="1"/>
    <s v="January"/>
    <s v="Q1-2025"/>
    <x v="0"/>
    <x v="7"/>
    <x v="1"/>
    <x v="7"/>
    <s v="Beijing"/>
    <s v="Education"/>
    <x v="3"/>
    <x v="14"/>
    <x v="26"/>
    <x v="5"/>
    <x v="153"/>
    <n v="304.77999999999997"/>
    <n v="2438.2399999999998"/>
    <n v="537.27"/>
    <n v="3494.4040799999998"/>
    <n v="1056.16408"/>
    <n v="0.187"/>
    <n v="0"/>
    <s v="Low"/>
    <n v="0.3022444044307549"/>
    <n v="8"/>
  </r>
  <r>
    <x v="154"/>
    <x v="141"/>
    <d v="2025-06-27T00:00:00"/>
    <d v="2025-06-27T00:00:00"/>
    <n v="6"/>
    <n v="6"/>
    <n v="1"/>
    <s v="June"/>
    <s v="Q2-2025"/>
    <x v="0"/>
    <x v="6"/>
    <x v="3"/>
    <x v="6"/>
    <s v="Durban"/>
    <s v="Enterprise"/>
    <x v="0"/>
    <x v="6"/>
    <x v="29"/>
    <x v="5"/>
    <x v="154"/>
    <n v="93.91"/>
    <n v="563.46"/>
    <n v="99.04"/>
    <n v="560.36831999999993"/>
    <n v="-3.0916800000001103"/>
    <n v="5.7000000000000002E-2"/>
    <n v="0"/>
    <s v="Low"/>
    <n v="-5.5172283829323376E-3"/>
    <n v="6"/>
  </r>
  <r>
    <x v="155"/>
    <x v="142"/>
    <d v="2024-05-16T00:00:00"/>
    <d v="2024-05-16T00:00:00"/>
    <n v="6"/>
    <n v="6"/>
    <n v="1"/>
    <s v="May"/>
    <s v="Q2-2024"/>
    <x v="0"/>
    <x v="4"/>
    <x v="2"/>
    <x v="4"/>
    <s v="Birmingham"/>
    <s v="Non-Profit"/>
    <x v="1"/>
    <x v="2"/>
    <x v="8"/>
    <x v="3"/>
    <x v="155"/>
    <n v="210.76"/>
    <n v="1053.8"/>
    <n v="221.58"/>
    <n v="1009.2969000000002"/>
    <n v="-44.50309999999979"/>
    <n v="8.8999999999999996E-2"/>
    <n v="0"/>
    <s v="Low"/>
    <n v="-4.4093170205912434E-2"/>
    <n v="5"/>
  </r>
  <r>
    <x v="156"/>
    <x v="143"/>
    <d v="2024-08-09T00:00:00"/>
    <d v="2024-08-09T00:00:00"/>
    <n v="6"/>
    <n v="6"/>
    <n v="1"/>
    <s v="August"/>
    <s v="Q3-2024"/>
    <x v="0"/>
    <x v="9"/>
    <x v="3"/>
    <x v="9"/>
    <s v="Mombasa"/>
    <s v="Consumer"/>
    <x v="2"/>
    <x v="8"/>
    <x v="1"/>
    <x v="3"/>
    <x v="156"/>
    <n v="643.21"/>
    <n v="2572.84"/>
    <n v="1112.81"/>
    <n v="3823.6151599999998"/>
    <n v="1250.7751599999997"/>
    <n v="0.14099999999999999"/>
    <n v="0"/>
    <s v="High"/>
    <n v="0.32711847496702562"/>
    <n v="4"/>
  </r>
  <r>
    <x v="157"/>
    <x v="144"/>
    <d v="2023-09-14T00:00:00"/>
    <d v="2023-09-14T00:00:00"/>
    <n v="6"/>
    <n v="6"/>
    <n v="1"/>
    <s v="September"/>
    <s v="Q3-2023"/>
    <x v="0"/>
    <x v="9"/>
    <x v="3"/>
    <x v="9"/>
    <s v="Nakuru"/>
    <s v="Education"/>
    <x v="1"/>
    <x v="13"/>
    <x v="30"/>
    <x v="4"/>
    <x v="157"/>
    <n v="251.03"/>
    <n v="753.09"/>
    <n v="411.48"/>
    <n v="1030.7574"/>
    <n v="277.66739999999993"/>
    <n v="0.16500000000000001"/>
    <n v="0"/>
    <s v="Low"/>
    <n v="0.26938191275658069"/>
    <n v="3"/>
  </r>
  <r>
    <x v="158"/>
    <x v="145"/>
    <d v="2024-06-08T00:00:00"/>
    <d v="2024-06-08T00:00:00"/>
    <n v="6"/>
    <n v="6"/>
    <n v="1"/>
    <s v="June"/>
    <s v="Q2-2024"/>
    <x v="0"/>
    <x v="9"/>
    <x v="3"/>
    <x v="9"/>
    <s v="Kisumu"/>
    <s v="Consumer"/>
    <x v="2"/>
    <x v="3"/>
    <x v="3"/>
    <x v="4"/>
    <x v="158"/>
    <n v="292.94"/>
    <n v="585.88"/>
    <n v="356.55"/>
    <n v="549.80010000000004"/>
    <n v="-36.079899999999952"/>
    <n v="0.22900000000000001"/>
    <n v="1"/>
    <s v="Low"/>
    <n v="-6.5623669402751925E-2"/>
    <n v="2"/>
  </r>
  <r>
    <x v="159"/>
    <x v="146"/>
    <d v="2023-07-08T00:00:00"/>
    <d v="2023-07-08T00:00:00"/>
    <n v="7"/>
    <n v="7"/>
    <n v="1"/>
    <s v="July"/>
    <s v="Q3-2023"/>
    <x v="0"/>
    <x v="5"/>
    <x v="3"/>
    <x v="5"/>
    <s v="Port Harcourt"/>
    <s v="Corporate"/>
    <x v="4"/>
    <x v="3"/>
    <x v="7"/>
    <x v="3"/>
    <x v="159"/>
    <n v="834.26"/>
    <n v="39210.22"/>
    <n v="1780.56"/>
    <n v="82514.711519999997"/>
    <n v="43304.491519999996"/>
    <n v="1.4E-2"/>
    <n v="0"/>
    <s v="High"/>
    <n v="0.5248093427497933"/>
    <n v="47"/>
  </r>
  <r>
    <x v="160"/>
    <x v="147"/>
    <d v="2023-12-12T00:00:00"/>
    <d v="2023-12-12T00:00:00"/>
    <n v="7"/>
    <n v="7"/>
    <n v="1"/>
    <s v="December"/>
    <s v="Q4-2023"/>
    <x v="0"/>
    <x v="1"/>
    <x v="0"/>
    <x v="1"/>
    <s v="Brasília"/>
    <s v="Corporate"/>
    <x v="1"/>
    <x v="0"/>
    <x v="17"/>
    <x v="5"/>
    <x v="160"/>
    <n v="307.43"/>
    <n v="12912.06"/>
    <n v="495.19"/>
    <n v="20797.98"/>
    <n v="7885.92"/>
    <n v="0"/>
    <n v="0"/>
    <s v="Low"/>
    <n v="0.37916759223732305"/>
    <n v="42"/>
  </r>
  <r>
    <x v="161"/>
    <x v="37"/>
    <d v="2023-07-21T00:00:00"/>
    <d v="2023-07-21T00:00:00"/>
    <n v="7"/>
    <n v="7"/>
    <n v="1"/>
    <s v="July"/>
    <s v="Q3-2023"/>
    <x v="0"/>
    <x v="6"/>
    <x v="3"/>
    <x v="6"/>
    <s v="Durban"/>
    <s v="Enterprise"/>
    <x v="2"/>
    <x v="15"/>
    <x v="16"/>
    <x v="1"/>
    <x v="161"/>
    <n v="620.74"/>
    <n v="17380.72"/>
    <n v="1330.07"/>
    <n v="26106.613960000002"/>
    <n v="8725.8939600000012"/>
    <n v="0.29899999999999999"/>
    <n v="1"/>
    <s v="High"/>
    <n v="0.33424073965967516"/>
    <n v="28"/>
  </r>
  <r>
    <x v="162"/>
    <x v="148"/>
    <d v="2024-10-29T00:00:00"/>
    <d v="2024-10-29T00:00:00"/>
    <n v="7"/>
    <n v="7"/>
    <n v="1"/>
    <s v="October"/>
    <s v="Q4-2024"/>
    <x v="0"/>
    <x v="5"/>
    <x v="3"/>
    <x v="5"/>
    <s v="Port Harcourt"/>
    <s v="Enterprise"/>
    <x v="0"/>
    <x v="1"/>
    <x v="15"/>
    <x v="1"/>
    <x v="162"/>
    <n v="1023.06"/>
    <n v="23530.379999999997"/>
    <n v="1355.61"/>
    <n v="26408.63841"/>
    <n v="2878.2584100000022"/>
    <n v="0.153"/>
    <n v="0"/>
    <s v="High"/>
    <n v="0.10898927711888809"/>
    <n v="23"/>
  </r>
  <r>
    <x v="163"/>
    <x v="149"/>
    <d v="2025-06-10T00:00:00"/>
    <d v="2025-06-10T00:00:00"/>
    <n v="7"/>
    <n v="7"/>
    <n v="1"/>
    <s v="June"/>
    <s v="Q2-2025"/>
    <x v="0"/>
    <x v="0"/>
    <x v="0"/>
    <x v="0"/>
    <s v="Toronto"/>
    <s v="Consumer"/>
    <x v="0"/>
    <x v="4"/>
    <x v="29"/>
    <x v="0"/>
    <x v="163"/>
    <n v="75.180000000000007"/>
    <n v="1278.0600000000002"/>
    <n v="53.45"/>
    <n v="765.99195000000009"/>
    <n v="-512.06805000000008"/>
    <n v="0.157"/>
    <n v="0"/>
    <s v="Low"/>
    <n v="-0.66850317421743144"/>
    <n v="17"/>
  </r>
  <r>
    <x v="164"/>
    <x v="146"/>
    <d v="2023-07-08T00:00:00"/>
    <d v="2023-07-08T00:00:00"/>
    <n v="7"/>
    <n v="7"/>
    <n v="1"/>
    <s v="July"/>
    <s v="Q3-2023"/>
    <x v="0"/>
    <x v="10"/>
    <x v="2"/>
    <x v="10"/>
    <s v="Frankfurt"/>
    <s v="Small Business"/>
    <x v="0"/>
    <x v="6"/>
    <x v="7"/>
    <x v="3"/>
    <x v="164"/>
    <n v="460.21"/>
    <n v="6442.94"/>
    <n v="1139.1500000000001"/>
    <n v="14114.068500000001"/>
    <n v="7671.1285000000016"/>
    <n v="0.115"/>
    <n v="0"/>
    <s v="High"/>
    <n v="0.54350937151821255"/>
    <n v="14"/>
  </r>
  <r>
    <x v="165"/>
    <x v="150"/>
    <d v="2025-03-15T00:00:00"/>
    <d v="2025-03-15T00:00:00"/>
    <n v="7"/>
    <n v="7"/>
    <n v="1"/>
    <s v="March"/>
    <s v="Q1-2025"/>
    <x v="0"/>
    <x v="1"/>
    <x v="1"/>
    <x v="11"/>
    <s v="Bengaluru"/>
    <s v="Corporate"/>
    <x v="0"/>
    <x v="12"/>
    <x v="13"/>
    <x v="3"/>
    <x v="165"/>
    <n v="475.66"/>
    <n v="5232.26"/>
    <n v="529.14"/>
    <n v="4679.7141600000004"/>
    <n v="-552.54583999999977"/>
    <n v="0.19600000000000001"/>
    <n v="0"/>
    <s v="Low"/>
    <n v="-0.11807256193613323"/>
    <n v="11"/>
  </r>
  <r>
    <x v="166"/>
    <x v="151"/>
    <d v="2025-01-24T00:00:00"/>
    <d v="2025-01-24T00:00:00"/>
    <n v="7"/>
    <n v="7"/>
    <n v="1"/>
    <s v="January"/>
    <s v="Q1-2025"/>
    <x v="0"/>
    <x v="2"/>
    <x v="0"/>
    <x v="2"/>
    <s v="Austin"/>
    <s v="Enterprise"/>
    <x v="3"/>
    <x v="2"/>
    <x v="22"/>
    <x v="4"/>
    <x v="166"/>
    <n v="142.09"/>
    <n v="1562.99"/>
    <n v="218.5"/>
    <n v="2117.4834999999998"/>
    <n v="554.49349999999981"/>
    <n v="0.11899999999999999"/>
    <n v="0"/>
    <s v="Low"/>
    <n v="0.26186437816398561"/>
    <n v="11"/>
  </r>
  <r>
    <x v="167"/>
    <x v="2"/>
    <d v="2023-04-20T00:00:00"/>
    <d v="2023-04-20T00:00:00"/>
    <n v="7"/>
    <n v="7"/>
    <n v="1"/>
    <s v="April"/>
    <s v="Q2-2023"/>
    <x v="0"/>
    <x v="8"/>
    <x v="2"/>
    <x v="8"/>
    <s v="Lyon"/>
    <s v="Small Business"/>
    <x v="3"/>
    <x v="3"/>
    <x v="2"/>
    <x v="3"/>
    <x v="167"/>
    <n v="227.02"/>
    <n v="2270.2000000000003"/>
    <n v="434.72"/>
    <n v="3921.1744000000008"/>
    <n v="1650.9744000000005"/>
    <n v="9.8000000000000004E-2"/>
    <n v="0"/>
    <s v="Low"/>
    <n v="0.42104079838938052"/>
    <n v="10"/>
  </r>
  <r>
    <x v="168"/>
    <x v="152"/>
    <d v="2023-06-24T00:00:00"/>
    <d v="2023-06-24T00:00:00"/>
    <n v="7"/>
    <n v="7"/>
    <n v="1"/>
    <s v="June"/>
    <s v="Q2-2023"/>
    <x v="0"/>
    <x v="2"/>
    <x v="0"/>
    <x v="2"/>
    <s v="San Francisco"/>
    <s v="Corporate"/>
    <x v="4"/>
    <x v="13"/>
    <x v="7"/>
    <x v="0"/>
    <x v="168"/>
    <n v="313.99"/>
    <n v="2825.91"/>
    <n v="454.42"/>
    <n v="3562.1983800000003"/>
    <n v="736.28838000000042"/>
    <n v="0.129"/>
    <n v="0"/>
    <s v="Low"/>
    <n v="0.20669493988147858"/>
    <n v="9"/>
  </r>
  <r>
    <x v="169"/>
    <x v="84"/>
    <d v="2023-04-23T00:00:00"/>
    <d v="2023-04-23T00:00:00"/>
    <n v="7"/>
    <n v="7"/>
    <n v="1"/>
    <s v="April"/>
    <s v="Q2-2023"/>
    <x v="0"/>
    <x v="2"/>
    <x v="0"/>
    <x v="2"/>
    <s v="Austin"/>
    <s v="Corporate"/>
    <x v="0"/>
    <x v="4"/>
    <x v="2"/>
    <x v="0"/>
    <x v="169"/>
    <n v="1099.1500000000001"/>
    <n v="8793.2000000000007"/>
    <n v="1431.37"/>
    <n v="10260.060159999999"/>
    <n v="1466.8601599999984"/>
    <n v="0.104"/>
    <n v="0"/>
    <s v="High"/>
    <n v="0.14296798821109433"/>
    <n v="8"/>
  </r>
  <r>
    <x v="170"/>
    <x v="45"/>
    <d v="2023-06-08T00:00:00"/>
    <d v="2023-06-08T00:00:00"/>
    <n v="7"/>
    <n v="7"/>
    <n v="1"/>
    <s v="June"/>
    <s v="Q2-2023"/>
    <x v="0"/>
    <x v="10"/>
    <x v="2"/>
    <x v="10"/>
    <s v="Frankfurt"/>
    <s v="Consumer"/>
    <x v="3"/>
    <x v="3"/>
    <x v="14"/>
    <x v="5"/>
    <x v="170"/>
    <n v="804.17"/>
    <n v="4020.85"/>
    <n v="1072.29"/>
    <n v="5189.8836000000001"/>
    <n v="1169.0336000000002"/>
    <n v="3.2000000000000001E-2"/>
    <n v="0"/>
    <s v="High"/>
    <n v="0.2252523736755869"/>
    <n v="5"/>
  </r>
  <r>
    <x v="171"/>
    <x v="153"/>
    <d v="2023-10-02T00:00:00"/>
    <d v="2023-10-02T00:00:00"/>
    <n v="7"/>
    <n v="7"/>
    <n v="1"/>
    <s v="September"/>
    <s v="Q3-2023"/>
    <x v="0"/>
    <x v="2"/>
    <x v="0"/>
    <x v="2"/>
    <s v="New York"/>
    <s v="Education"/>
    <x v="2"/>
    <x v="13"/>
    <x v="27"/>
    <x v="4"/>
    <x v="171"/>
    <n v="145.58000000000001"/>
    <n v="727.90000000000009"/>
    <n v="228.15"/>
    <n v="908.03700000000003"/>
    <n v="180.13699999999994"/>
    <n v="0.20399999999999999"/>
    <n v="1"/>
    <s v="Low"/>
    <n v="0.19838068272548359"/>
    <n v="5"/>
  </r>
  <r>
    <x v="172"/>
    <x v="30"/>
    <d v="2024-08-02T00:00:00"/>
    <d v="2024-08-02T00:00:00"/>
    <n v="8"/>
    <n v="8"/>
    <n v="0"/>
    <s v="July"/>
    <s v="Q3-2024"/>
    <x v="0"/>
    <x v="0"/>
    <x v="0"/>
    <x v="0"/>
    <s v="Montreal"/>
    <s v="Consumer"/>
    <x v="1"/>
    <x v="10"/>
    <x v="1"/>
    <x v="4"/>
    <x v="172"/>
    <n v="986.81"/>
    <n v="42432.829999999994"/>
    <n v="2050.31"/>
    <n v="79082.507010000001"/>
    <n v="36649.677010000007"/>
    <n v="0.10299999999999999"/>
    <n v="0"/>
    <s v="High"/>
    <n v="0.46343595310358138"/>
    <n v="43"/>
  </r>
  <r>
    <x v="173"/>
    <x v="154"/>
    <d v="2023-02-06T00:00:00"/>
    <d v="2023-02-06T00:00:00"/>
    <n v="8"/>
    <n v="8"/>
    <n v="0"/>
    <s v="January"/>
    <s v="Q1-2023"/>
    <x v="0"/>
    <x v="1"/>
    <x v="0"/>
    <x v="1"/>
    <s v="Brasília"/>
    <s v="Corporate"/>
    <x v="2"/>
    <x v="9"/>
    <x v="5"/>
    <x v="1"/>
    <x v="173"/>
    <n v="41.84"/>
    <n v="1129.68"/>
    <n v="86.2"/>
    <n v="1801.4076000000002"/>
    <n v="671.72760000000017"/>
    <n v="0.22600000000000001"/>
    <n v="1"/>
    <s v="Low"/>
    <n v="0.37289039970742882"/>
    <n v="27"/>
  </r>
  <r>
    <x v="174"/>
    <x v="155"/>
    <d v="2023-05-14T00:00:00"/>
    <d v="2023-05-14T00:00:00"/>
    <n v="8"/>
    <n v="8"/>
    <n v="0"/>
    <s v="May"/>
    <s v="Q2-2023"/>
    <x v="1"/>
    <x v="3"/>
    <x v="1"/>
    <x v="3"/>
    <s v="Osaka"/>
    <s v="Enterprise"/>
    <x v="2"/>
    <x v="11"/>
    <x v="28"/>
    <x v="5"/>
    <x v="174"/>
    <n v="291.18"/>
    <n v="6405.96"/>
    <n v="479.54"/>
    <n v="9062.34692"/>
    <n v="2656.3869199999999"/>
    <n v="0.14099999999999999"/>
    <n v="0"/>
    <s v="Low"/>
    <n v="0.29312350801066001"/>
    <n v="22"/>
  </r>
  <r>
    <x v="175"/>
    <x v="6"/>
    <d v="2025-09-05T00:00:00"/>
    <d v="2025-09-05T00:00:00"/>
    <n v="8"/>
    <n v="8"/>
    <n v="0"/>
    <s v="August"/>
    <s v="Q3-2025"/>
    <x v="0"/>
    <x v="5"/>
    <x v="3"/>
    <x v="5"/>
    <s v="Port Harcourt"/>
    <s v="Small Business"/>
    <x v="2"/>
    <x v="7"/>
    <x v="4"/>
    <x v="3"/>
    <x v="175"/>
    <n v="1271.0999999999999"/>
    <n v="26693.1"/>
    <n v="1932.42"/>
    <n v="30435.614999999998"/>
    <n v="3742.5149999999994"/>
    <n v="0.25"/>
    <n v="1"/>
    <s v="High"/>
    <n v="0.12296498690760807"/>
    <n v="21"/>
  </r>
  <r>
    <x v="176"/>
    <x v="156"/>
    <d v="2024-10-03T00:00:00"/>
    <d v="2024-10-03T00:00:00"/>
    <n v="8"/>
    <n v="8"/>
    <n v="0"/>
    <s v="September"/>
    <s v="Q3-2024"/>
    <x v="0"/>
    <x v="0"/>
    <x v="0"/>
    <x v="0"/>
    <s v="Toronto"/>
    <s v="Consumer"/>
    <x v="3"/>
    <x v="7"/>
    <x v="24"/>
    <x v="0"/>
    <x v="176"/>
    <n v="558.19000000000005"/>
    <n v="11721.990000000002"/>
    <n v="1031.6400000000001"/>
    <n v="21664.440000000002"/>
    <n v="9942.4500000000007"/>
    <n v="0"/>
    <n v="0"/>
    <s v="High"/>
    <n v="0.45892947152107322"/>
    <n v="21"/>
  </r>
  <r>
    <x v="177"/>
    <x v="157"/>
    <d v="2024-10-11T00:00:00"/>
    <d v="2024-10-11T00:00:00"/>
    <n v="8"/>
    <n v="8"/>
    <n v="0"/>
    <s v="October"/>
    <s v="Q4-2024"/>
    <x v="0"/>
    <x v="7"/>
    <x v="1"/>
    <x v="7"/>
    <s v="Beijing"/>
    <s v="Enterprise"/>
    <x v="1"/>
    <x v="11"/>
    <x v="24"/>
    <x v="5"/>
    <x v="177"/>
    <n v="1132.6099999999999"/>
    <n v="22652.199999999997"/>
    <n v="2206.63"/>
    <n v="41352.246200000009"/>
    <n v="18700.046200000012"/>
    <n v="6.3E-2"/>
    <n v="0"/>
    <s v="High"/>
    <n v="0.45221355351671338"/>
    <n v="20"/>
  </r>
  <r>
    <x v="178"/>
    <x v="29"/>
    <d v="2023-01-30T00:00:00"/>
    <d v="2023-01-30T00:00:00"/>
    <n v="8"/>
    <n v="8"/>
    <n v="0"/>
    <s v="January"/>
    <s v="Q1-2023"/>
    <x v="0"/>
    <x v="2"/>
    <x v="0"/>
    <x v="2"/>
    <s v="San Francisco"/>
    <s v="Small Business"/>
    <x v="3"/>
    <x v="3"/>
    <x v="5"/>
    <x v="2"/>
    <x v="178"/>
    <n v="413.52"/>
    <n v="7443.36"/>
    <n v="1004.34"/>
    <n v="16071.44868"/>
    <n v="8628.0886800000007"/>
    <n v="0.111"/>
    <n v="0"/>
    <s v="High"/>
    <n v="0.53685817948304593"/>
    <n v="18"/>
  </r>
  <r>
    <x v="179"/>
    <x v="158"/>
    <d v="2024-12-20T00:00:00"/>
    <d v="2024-12-20T00:00:00"/>
    <n v="8"/>
    <n v="8"/>
    <n v="0"/>
    <s v="December"/>
    <s v="Q4-2024"/>
    <x v="1"/>
    <x v="3"/>
    <x v="1"/>
    <x v="3"/>
    <s v="Tokyo"/>
    <s v="Corporate"/>
    <x v="4"/>
    <x v="11"/>
    <x v="15"/>
    <x v="3"/>
    <x v="179"/>
    <n v="1202.47"/>
    <n v="20441.990000000002"/>
    <n v="1444.72"/>
    <n v="18641.222160000001"/>
    <n v="-1800.7678400000004"/>
    <n v="0.24099999999999999"/>
    <n v="1"/>
    <s v="High"/>
    <n v="-9.6601382921343834E-2"/>
    <n v="17"/>
  </r>
  <r>
    <x v="180"/>
    <x v="159"/>
    <d v="2025-09-16T00:00:00"/>
    <d v="2025-09-16T00:00:00"/>
    <n v="8"/>
    <n v="8"/>
    <n v="0"/>
    <s v="September"/>
    <s v="Q3-2025"/>
    <x v="1"/>
    <x v="3"/>
    <x v="1"/>
    <x v="3"/>
    <s v="Osaka"/>
    <s v="Corporate"/>
    <x v="0"/>
    <x v="14"/>
    <x v="25"/>
    <x v="5"/>
    <x v="180"/>
    <n v="1225.57"/>
    <n v="19609.12"/>
    <n v="2705.57"/>
    <n v="35367.211040000002"/>
    <n v="15758.091040000003"/>
    <n v="0.183"/>
    <n v="0"/>
    <s v="High"/>
    <n v="0.44555650775453404"/>
    <n v="16"/>
  </r>
  <r>
    <x v="181"/>
    <x v="160"/>
    <d v="2024-01-01T00:00:00"/>
    <d v="2024-01-01T00:00:00"/>
    <n v="8"/>
    <n v="8"/>
    <n v="0"/>
    <s v="December"/>
    <s v="Q4-2023"/>
    <x v="0"/>
    <x v="1"/>
    <x v="0"/>
    <x v="1"/>
    <s v="São Paulo"/>
    <s v="Education"/>
    <x v="1"/>
    <x v="14"/>
    <x v="17"/>
    <x v="5"/>
    <x v="181"/>
    <n v="526.49"/>
    <n v="7370.8600000000006"/>
    <n v="496.2"/>
    <n v="6946.8"/>
    <n v="-424.0600000000004"/>
    <n v="0"/>
    <n v="0"/>
    <s v="Low"/>
    <n v="-6.1043933897621985E-2"/>
    <n v="14"/>
  </r>
  <r>
    <x v="182"/>
    <x v="161"/>
    <d v="2023-08-07T00:00:00"/>
    <d v="2023-08-07T00:00:00"/>
    <n v="8"/>
    <n v="8"/>
    <n v="0"/>
    <s v="July"/>
    <s v="Q3-2023"/>
    <x v="1"/>
    <x v="3"/>
    <x v="1"/>
    <x v="3"/>
    <s v="Nagoya"/>
    <s v="Education"/>
    <x v="2"/>
    <x v="3"/>
    <x v="14"/>
    <x v="2"/>
    <x v="182"/>
    <n v="1352.44"/>
    <n v="17581.72"/>
    <n v="2698.01"/>
    <n v="30479.418970000002"/>
    <n v="12897.698970000001"/>
    <n v="0.13100000000000001"/>
    <n v="0"/>
    <s v="High"/>
    <n v="0.42316091992090887"/>
    <n v="13"/>
  </r>
  <r>
    <x v="183"/>
    <x v="162"/>
    <d v="2023-05-22T00:00:00"/>
    <d v="2023-05-22T00:00:00"/>
    <n v="8"/>
    <n v="8"/>
    <n v="0"/>
    <s v="May"/>
    <s v="Q2-2023"/>
    <x v="0"/>
    <x v="9"/>
    <x v="3"/>
    <x v="9"/>
    <s v="Mombasa"/>
    <s v="Small Business"/>
    <x v="0"/>
    <x v="0"/>
    <x v="2"/>
    <x v="0"/>
    <x v="183"/>
    <n v="432.01"/>
    <n v="5184.12"/>
    <n v="913.78"/>
    <n v="10428.057360000001"/>
    <n v="5243.9373600000008"/>
    <n v="4.9000000000000002E-2"/>
    <n v="0"/>
    <s v="High"/>
    <n v="0.50286809699711899"/>
    <n v="12"/>
  </r>
  <r>
    <x v="184"/>
    <x v="163"/>
    <d v="2023-09-28T00:00:00"/>
    <d v="2023-09-28T00:00:00"/>
    <n v="8"/>
    <n v="8"/>
    <n v="0"/>
    <s v="September"/>
    <s v="Q3-2023"/>
    <x v="0"/>
    <x v="1"/>
    <x v="1"/>
    <x v="11"/>
    <m/>
    <s v="Corporate"/>
    <x v="5"/>
    <x v="11"/>
    <x v="30"/>
    <x v="4"/>
    <x v="184"/>
    <n v="1362.06"/>
    <n v="14982.66"/>
    <n v="3398.37"/>
    <n v="31513.085009999999"/>
    <n v="16530.425009999999"/>
    <n v="0.157"/>
    <n v="0"/>
    <s v="High"/>
    <n v="0.52455749745714919"/>
    <n v="11"/>
  </r>
  <r>
    <x v="185"/>
    <x v="164"/>
    <d v="2025-04-07T00:00:00"/>
    <d v="2025-04-07T00:00:00"/>
    <n v="8"/>
    <n v="8"/>
    <n v="0"/>
    <s v="March"/>
    <s v="Q1-2025"/>
    <x v="0"/>
    <x v="1"/>
    <x v="0"/>
    <x v="1"/>
    <s v="São Paulo"/>
    <s v="Non-Profit"/>
    <x v="1"/>
    <x v="5"/>
    <x v="23"/>
    <x v="0"/>
    <x v="185"/>
    <n v="71.62"/>
    <n v="787.82"/>
    <n v="118.37"/>
    <n v="1098.9470800000001"/>
    <n v="311.12708000000009"/>
    <n v="0.156"/>
    <n v="0"/>
    <s v="Low"/>
    <n v="0.28311379652603474"/>
    <n v="11"/>
  </r>
  <r>
    <x v="186"/>
    <x v="165"/>
    <d v="2025-02-06T00:00:00"/>
    <d v="2025-02-06T00:00:00"/>
    <n v="8"/>
    <n v="8"/>
    <n v="0"/>
    <s v="January"/>
    <s v="Q1-2025"/>
    <x v="0"/>
    <x v="9"/>
    <x v="3"/>
    <x v="9"/>
    <s v="Kisumu"/>
    <s v="Education"/>
    <x v="4"/>
    <x v="11"/>
    <x v="22"/>
    <x v="5"/>
    <x v="186"/>
    <n v="1445.27"/>
    <n v="13007.43"/>
    <n v="2691.45"/>
    <n v="24223.05"/>
    <n v="11215.619999999999"/>
    <n v="0"/>
    <n v="0"/>
    <s v="High"/>
    <n v="0.46301436028906351"/>
    <n v="9"/>
  </r>
  <r>
    <x v="187"/>
    <x v="166"/>
    <d v="2023-06-23T00:00:00"/>
    <d v="2023-06-23T00:00:00"/>
    <n v="8"/>
    <n v="8"/>
    <n v="0"/>
    <s v="June"/>
    <s v="Q2-2023"/>
    <x v="0"/>
    <x v="2"/>
    <x v="0"/>
    <x v="2"/>
    <s v="San Francisco"/>
    <s v="Consumer"/>
    <x v="0"/>
    <x v="4"/>
    <x v="7"/>
    <x v="1"/>
    <x v="187"/>
    <n v="1097.0899999999999"/>
    <n v="9873.81"/>
    <n v="2182.31"/>
    <n v="17441.021520000002"/>
    <n v="7567.2115200000026"/>
    <n v="0.112"/>
    <n v="0"/>
    <s v="High"/>
    <n v="0.43387432962699546"/>
    <n v="9"/>
  </r>
  <r>
    <x v="188"/>
    <x v="167"/>
    <d v="2025-07-05T00:00:00"/>
    <d v="2025-07-05T00:00:00"/>
    <n v="8"/>
    <n v="8"/>
    <n v="0"/>
    <s v="June"/>
    <s v="Q2-2025"/>
    <x v="0"/>
    <x v="10"/>
    <x v="2"/>
    <x v="10"/>
    <s v="Munich"/>
    <s v="Small Business"/>
    <x v="1"/>
    <x v="2"/>
    <x v="29"/>
    <x v="1"/>
    <x v="188"/>
    <n v="314.93"/>
    <n v="2519.44"/>
    <n v="687.95"/>
    <n v="4375.3620000000001"/>
    <n v="1855.922"/>
    <n v="0.20499999999999999"/>
    <n v="1"/>
    <s v="Low"/>
    <n v="0.424175645352316"/>
    <n v="8"/>
  </r>
  <r>
    <x v="189"/>
    <x v="168"/>
    <d v="2024-12-12T00:00:00"/>
    <d v="2024-12-12T00:00:00"/>
    <n v="8"/>
    <n v="8"/>
    <n v="0"/>
    <s v="December"/>
    <s v="Q4-2024"/>
    <x v="0"/>
    <x v="10"/>
    <x v="2"/>
    <x v="10"/>
    <s v="Frankfurt"/>
    <s v="Enterprise"/>
    <x v="2"/>
    <x v="11"/>
    <x v="21"/>
    <x v="0"/>
    <x v="189"/>
    <n v="72.06"/>
    <n v="576.48"/>
    <n v="122.74"/>
    <n v="748.22303999999997"/>
    <n v="171.74303999999995"/>
    <n v="0.23799999999999999"/>
    <n v="1"/>
    <s v="Low"/>
    <n v="0.22953455162246802"/>
    <n v="8"/>
  </r>
  <r>
    <x v="190"/>
    <x v="169"/>
    <d v="2024-01-03T00:00:00"/>
    <d v="2024-01-03T00:00:00"/>
    <n v="8"/>
    <n v="8"/>
    <n v="0"/>
    <s v="December"/>
    <s v="Q4-2023"/>
    <x v="0"/>
    <x v="8"/>
    <x v="2"/>
    <x v="8"/>
    <s v="Lyon"/>
    <s v="Small Business"/>
    <x v="4"/>
    <x v="1"/>
    <x v="18"/>
    <x v="3"/>
    <x v="190"/>
    <n v="492.75"/>
    <n v="2956.5"/>
    <n v="731.29"/>
    <n v="4133.25108"/>
    <n v="1176.75108"/>
    <n v="5.8000000000000003E-2"/>
    <n v="0"/>
    <s v="Low"/>
    <n v="0.28470350753528384"/>
    <n v="6"/>
  </r>
  <r>
    <x v="191"/>
    <x v="170"/>
    <d v="2023-06-18T00:00:00"/>
    <d v="2023-06-18T00:00:00"/>
    <n v="8"/>
    <n v="8"/>
    <n v="0"/>
    <s v="June"/>
    <s v="Q2-2023"/>
    <x v="0"/>
    <x v="9"/>
    <x v="3"/>
    <x v="9"/>
    <s v="Nakuru"/>
    <s v="Enterprise"/>
    <x v="1"/>
    <x v="8"/>
    <x v="14"/>
    <x v="5"/>
    <x v="191"/>
    <n v="894.23"/>
    <n v="2682.69"/>
    <n v="1421.55"/>
    <n v="3799.8031499999997"/>
    <n v="1117.1131499999997"/>
    <n v="0.109"/>
    <n v="0"/>
    <s v="High"/>
    <n v="0.29399237431549574"/>
    <n v="3"/>
  </r>
  <r>
    <x v="192"/>
    <x v="171"/>
    <d v="2025-06-18T00:00:00"/>
    <d v="2025-06-18T00:00:00"/>
    <n v="9"/>
    <n v="9"/>
    <n v="0"/>
    <s v="June"/>
    <s v="Q2-2025"/>
    <x v="0"/>
    <x v="8"/>
    <x v="2"/>
    <x v="8"/>
    <s v="Marseille"/>
    <s v="Small Business"/>
    <x v="2"/>
    <x v="8"/>
    <x v="0"/>
    <x v="4"/>
    <x v="192"/>
    <n v="1225.5"/>
    <n v="68628"/>
    <n v="5.27"/>
    <n v="272.98599999999999"/>
    <n v="-68355.013999999996"/>
    <n v="7.4999999999999997E-2"/>
    <n v="0"/>
    <s v="Low"/>
    <n v="-250.39750756449047"/>
    <n v="56"/>
  </r>
  <r>
    <x v="193"/>
    <x v="172"/>
    <d v="2023-07-14T00:00:00"/>
    <d v="2023-07-14T00:00:00"/>
    <n v="9"/>
    <n v="9"/>
    <n v="0"/>
    <s v="July"/>
    <s v="Q3-2023"/>
    <x v="0"/>
    <x v="1"/>
    <x v="0"/>
    <x v="1"/>
    <s v="Brasília"/>
    <s v="Enterprise"/>
    <x v="1"/>
    <x v="11"/>
    <x v="7"/>
    <x v="2"/>
    <x v="193"/>
    <n v="578.85"/>
    <n v="16207.800000000001"/>
    <n v="998.76"/>
    <n v="25672.127039999999"/>
    <n v="9464.3270399999983"/>
    <n v="8.2000000000000003E-2"/>
    <n v="0"/>
    <s v="High"/>
    <n v="0.36866158480960831"/>
    <n v="28"/>
  </r>
  <r>
    <x v="194"/>
    <x v="173"/>
    <d v="2024-01-08T00:00:00"/>
    <d v="2024-01-08T00:00:00"/>
    <n v="9"/>
    <n v="9"/>
    <n v="0"/>
    <s v="December"/>
    <s v="Q4-2023"/>
    <x v="0"/>
    <x v="8"/>
    <x v="2"/>
    <x v="8"/>
    <s v="Marseille"/>
    <s v="Consumer"/>
    <x v="2"/>
    <x v="5"/>
    <x v="18"/>
    <x v="4"/>
    <x v="194"/>
    <n v="861.1"/>
    <n v="20666.400000000001"/>
    <n v="1224.72"/>
    <n v="24278.849280000002"/>
    <n v="3612.4492800000007"/>
    <n v="0.17399999999999999"/>
    <n v="0"/>
    <s v="High"/>
    <n v="0.14878997098827909"/>
    <n v="24"/>
  </r>
  <r>
    <x v="195"/>
    <x v="174"/>
    <d v="2025-08-14T00:00:00"/>
    <d v="2025-08-14T00:00:00"/>
    <n v="9"/>
    <n v="9"/>
    <n v="0"/>
    <s v="August"/>
    <s v="Q3-2025"/>
    <x v="0"/>
    <x v="4"/>
    <x v="2"/>
    <x v="4"/>
    <s v="London"/>
    <s v="Non-Profit"/>
    <x v="1"/>
    <x v="7"/>
    <x v="25"/>
    <x v="6"/>
    <x v="195"/>
    <n v="41.76"/>
    <n v="960.4799999999999"/>
    <n v="45.19"/>
    <n v="853.32276999999988"/>
    <n v="-107.15723000000003"/>
    <n v="0.17899999999999999"/>
    <n v="0"/>
    <s v="Low"/>
    <n v="-0.12557643340514638"/>
    <n v="23"/>
  </r>
  <r>
    <x v="196"/>
    <x v="82"/>
    <d v="2024-01-22T00:00:00"/>
    <d v="2024-01-22T00:00:00"/>
    <n v="9"/>
    <n v="9"/>
    <n v="0"/>
    <s v="January"/>
    <s v="Q1-2024"/>
    <x v="0"/>
    <x v="1"/>
    <x v="1"/>
    <x v="11"/>
    <s v="Mumbai"/>
    <s v="Enterprise"/>
    <x v="2"/>
    <x v="10"/>
    <x v="18"/>
    <x v="6"/>
    <x v="196"/>
    <n v="313.60000000000002"/>
    <n v="6899.2000000000007"/>
    <n v="334.28"/>
    <n v="6324.5775999999996"/>
    <n v="-574.62240000000111"/>
    <n v="0.14000000000000001"/>
    <n v="0"/>
    <s v="Low"/>
    <n v="-9.0855458868905517E-2"/>
    <n v="22"/>
  </r>
  <r>
    <x v="197"/>
    <x v="175"/>
    <d v="2025-02-16T00:00:00"/>
    <d v="2025-02-16T00:00:00"/>
    <n v="9"/>
    <n v="9"/>
    <n v="0"/>
    <s v="February"/>
    <s v="Q1-2025"/>
    <x v="0"/>
    <x v="5"/>
    <x v="3"/>
    <x v="5"/>
    <s v="Lagos"/>
    <s v="Small Business"/>
    <x v="0"/>
    <x v="14"/>
    <x v="22"/>
    <x v="0"/>
    <x v="197"/>
    <n v="90.68"/>
    <n v="1904.2800000000002"/>
    <n v="118.17"/>
    <n v="2146.5580500000001"/>
    <n v="242.27804999999989"/>
    <n v="0.13500000000000001"/>
    <n v="0"/>
    <s v="Low"/>
    <n v="0.11286815653552899"/>
    <n v="21"/>
  </r>
  <r>
    <x v="198"/>
    <x v="176"/>
    <d v="2024-10-01T00:00:00"/>
    <d v="2024-10-01T00:00:00"/>
    <n v="9"/>
    <n v="9"/>
    <n v="0"/>
    <s v="September"/>
    <s v="Q3-2024"/>
    <x v="0"/>
    <x v="1"/>
    <x v="0"/>
    <x v="1"/>
    <s v="São Paulo"/>
    <s v="Non-Profit"/>
    <x v="3"/>
    <x v="12"/>
    <x v="10"/>
    <x v="1"/>
    <x v="198"/>
    <n v="1378.8"/>
    <n v="26197.200000000001"/>
    <n v="1952.04"/>
    <n v="31191.64716"/>
    <n v="4994.4471599999997"/>
    <n v="0.159"/>
    <n v="0"/>
    <s v="High"/>
    <n v="0.16012130216723058"/>
    <n v="19"/>
  </r>
  <r>
    <x v="199"/>
    <x v="177"/>
    <d v="2025-02-15T00:00:00"/>
    <d v="2025-02-15T00:00:00"/>
    <n v="9"/>
    <n v="9"/>
    <n v="0"/>
    <s v="February"/>
    <s v="Q1-2025"/>
    <x v="0"/>
    <x v="1"/>
    <x v="0"/>
    <x v="1"/>
    <s v="São Paulo"/>
    <s v="Non-Profit"/>
    <x v="0"/>
    <x v="0"/>
    <x v="22"/>
    <x v="2"/>
    <x v="199"/>
    <n v="837.39"/>
    <n v="15073.02"/>
    <n v="1905.42"/>
    <n v="33200.038079999998"/>
    <n v="18127.018079999998"/>
    <n v="3.2000000000000001E-2"/>
    <n v="0"/>
    <s v="High"/>
    <n v="0.54599389423350919"/>
    <n v="18"/>
  </r>
  <r>
    <x v="200"/>
    <x v="178"/>
    <d v="2025-09-11T00:00:00"/>
    <d v="2025-09-11T00:00:00"/>
    <n v="9"/>
    <n v="9"/>
    <n v="0"/>
    <s v="September"/>
    <s v="Q3-2025"/>
    <x v="0"/>
    <x v="0"/>
    <x v="0"/>
    <x v="0"/>
    <s v="Toronto"/>
    <s v="Corporate"/>
    <x v="0"/>
    <x v="1"/>
    <x v="32"/>
    <x v="0"/>
    <x v="200"/>
    <n v="1207.6300000000001"/>
    <n v="20529.710000000003"/>
    <n v="921.68"/>
    <n v="12597.52224"/>
    <n v="-7932.1877600000025"/>
    <n v="0.19600000000000001"/>
    <n v="0"/>
    <s v="High"/>
    <n v="-0.62966253274897988"/>
    <n v="17"/>
  </r>
  <r>
    <x v="201"/>
    <x v="179"/>
    <d v="2023-04-28T00:00:00"/>
    <d v="2023-04-28T00:00:00"/>
    <n v="9"/>
    <n v="9"/>
    <n v="0"/>
    <s v="April"/>
    <s v="Q2-2023"/>
    <x v="0"/>
    <x v="1"/>
    <x v="0"/>
    <x v="1"/>
    <s v="Rio de Janeiro"/>
    <s v="Corporate"/>
    <x v="0"/>
    <x v="1"/>
    <x v="28"/>
    <x v="5"/>
    <x v="201"/>
    <n v="1013.54"/>
    <n v="16216.64"/>
    <n v="927.93"/>
    <n v="12248.675999999999"/>
    <n v="-3967.9639999999999"/>
    <n v="0.17499999999999999"/>
    <n v="0"/>
    <s v="High"/>
    <n v="-0.32395044166406234"/>
    <n v="16"/>
  </r>
  <r>
    <x v="202"/>
    <x v="180"/>
    <d v="2024-12-19T00:00:00"/>
    <d v="2024-12-19T00:00:00"/>
    <n v="9"/>
    <n v="9"/>
    <n v="0"/>
    <s v="December"/>
    <s v="Q4-2024"/>
    <x v="0"/>
    <x v="5"/>
    <x v="3"/>
    <x v="5"/>
    <s v="Lagos"/>
    <s v="Corporate"/>
    <x v="4"/>
    <x v="4"/>
    <x v="21"/>
    <x v="1"/>
    <x v="202"/>
    <n v="488.68"/>
    <n v="6841.52"/>
    <n v="984.36"/>
    <n v="12967.958640000001"/>
    <n v="6126.4386400000003"/>
    <n v="5.8999999999999997E-2"/>
    <n v="0"/>
    <s v="High"/>
    <n v="0.47242891576649876"/>
    <n v="14"/>
  </r>
  <r>
    <x v="203"/>
    <x v="133"/>
    <d v="2025-04-13T00:00:00"/>
    <d v="2025-04-13T00:00:00"/>
    <n v="9"/>
    <n v="9"/>
    <n v="0"/>
    <s v="April"/>
    <s v="Q2-2025"/>
    <x v="0"/>
    <x v="10"/>
    <x v="2"/>
    <x v="10"/>
    <s v="Munich"/>
    <s v="Consumer"/>
    <x v="2"/>
    <x v="0"/>
    <x v="23"/>
    <x v="5"/>
    <x v="203"/>
    <n v="7.02"/>
    <n v="98.28"/>
    <n v="6.28"/>
    <n v="76.138720000000006"/>
    <n v="-22.141279999999995"/>
    <n v="0.13400000000000001"/>
    <n v="0"/>
    <s v="Low"/>
    <n v="-0.29080184169106066"/>
    <n v="14"/>
  </r>
  <r>
    <x v="204"/>
    <x v="181"/>
    <d v="2025-04-19T00:00:00"/>
    <d v="2025-04-19T00:00:00"/>
    <n v="9"/>
    <n v="9"/>
    <n v="0"/>
    <s v="April"/>
    <s v="Q2-2025"/>
    <x v="0"/>
    <x v="6"/>
    <x v="3"/>
    <x v="6"/>
    <s v="Durban"/>
    <s v="Enterprise"/>
    <x v="5"/>
    <x v="2"/>
    <x v="9"/>
    <x v="2"/>
    <x v="204"/>
    <n v="113.74"/>
    <n v="1478.62"/>
    <n v="165.7"/>
    <n v="1886.9915999999998"/>
    <n v="408.37159999999994"/>
    <n v="0.124"/>
    <n v="0"/>
    <s v="Low"/>
    <n v="0.21641410592394794"/>
    <n v="13"/>
  </r>
  <r>
    <x v="205"/>
    <x v="179"/>
    <d v="2023-04-28T00:00:00"/>
    <d v="2023-04-28T00:00:00"/>
    <n v="9"/>
    <n v="9"/>
    <n v="0"/>
    <s v="April"/>
    <s v="Q2-2023"/>
    <x v="0"/>
    <x v="10"/>
    <x v="2"/>
    <x v="10"/>
    <s v="Berlin"/>
    <s v="Education"/>
    <x v="3"/>
    <x v="7"/>
    <x v="28"/>
    <x v="1"/>
    <x v="205"/>
    <n v="1178.42"/>
    <n v="12962.62"/>
    <n v="2446.56"/>
    <n v="26131.70736"/>
    <n v="13169.08736"/>
    <n v="2.9000000000000001E-2"/>
    <n v="0"/>
    <s v="High"/>
    <n v="0.5039505141618883"/>
    <n v="11"/>
  </r>
  <r>
    <x v="206"/>
    <x v="182"/>
    <d v="2025-06-14T00:00:00"/>
    <d v="2025-06-14T00:00:00"/>
    <n v="9"/>
    <n v="9"/>
    <n v="0"/>
    <s v="June"/>
    <s v="Q2-2025"/>
    <x v="0"/>
    <x v="1"/>
    <x v="1"/>
    <x v="11"/>
    <s v="Delhi"/>
    <s v="Non-Profit"/>
    <x v="4"/>
    <x v="3"/>
    <x v="0"/>
    <x v="4"/>
    <x v="206"/>
    <n v="618.69000000000005"/>
    <n v="6805.59"/>
    <n v="796.15"/>
    <n v="7969.4615000000003"/>
    <n v="1163.8715000000002"/>
    <n v="0.09"/>
    <n v="0"/>
    <s v="Low"/>
    <n v="0.14604142325049191"/>
    <n v="11"/>
  </r>
  <r>
    <x v="207"/>
    <x v="183"/>
    <d v="2023-12-07T00:00:00"/>
    <d v="2023-12-07T00:00:00"/>
    <n v="9"/>
    <n v="9"/>
    <n v="0"/>
    <s v="November"/>
    <s v="Q4-2023"/>
    <x v="0"/>
    <x v="1"/>
    <x v="1"/>
    <x v="11"/>
    <s v="Delhi"/>
    <s v="Enterprise"/>
    <x v="2"/>
    <x v="5"/>
    <x v="12"/>
    <x v="5"/>
    <x v="207"/>
    <n v="699.33"/>
    <n v="6993.3"/>
    <n v="873.75"/>
    <n v="6684.1875"/>
    <n v="-309.11250000000018"/>
    <n v="0.23499999999999999"/>
    <n v="1"/>
    <s v="High"/>
    <n v="-4.6245336475076469E-2"/>
    <n v="10"/>
  </r>
  <r>
    <x v="208"/>
    <x v="184"/>
    <d v="2024-04-18T00:00:00"/>
    <d v="2024-04-18T00:00:00"/>
    <n v="9"/>
    <n v="9"/>
    <n v="0"/>
    <s v="April"/>
    <s v="Q2-2024"/>
    <x v="0"/>
    <x v="8"/>
    <x v="2"/>
    <x v="8"/>
    <s v="Lyon"/>
    <s v="Consumer"/>
    <x v="3"/>
    <x v="7"/>
    <x v="31"/>
    <x v="0"/>
    <x v="208"/>
    <n v="1288.8499999999999"/>
    <n v="9021.9499999999989"/>
    <n v="2751.84"/>
    <n v="16219.34496"/>
    <n v="7197.3949600000014"/>
    <n v="0.158"/>
    <n v="0"/>
    <s v="High"/>
    <n v="0.44375373837538756"/>
    <n v="7"/>
  </r>
  <r>
    <x v="209"/>
    <x v="185"/>
    <d v="2025-07-18T00:00:00"/>
    <d v="2025-07-18T00:00:00"/>
    <n v="9"/>
    <n v="9"/>
    <n v="0"/>
    <s v="July"/>
    <s v="Q3-2025"/>
    <x v="0"/>
    <x v="0"/>
    <x v="0"/>
    <x v="0"/>
    <s v="Vancouver"/>
    <s v="Education"/>
    <x v="0"/>
    <x v="13"/>
    <x v="25"/>
    <x v="3"/>
    <x v="209"/>
    <n v="57.96"/>
    <n v="405.72"/>
    <n v="88.51"/>
    <n v="592.92849000000001"/>
    <n v="187.20848999999998"/>
    <n v="4.2999999999999997E-2"/>
    <n v="0"/>
    <s v="Low"/>
    <n v="0.3157353595877978"/>
    <n v="7"/>
  </r>
  <r>
    <x v="210"/>
    <x v="186"/>
    <d v="2025-09-23T00:00:00"/>
    <d v="2025-09-23T00:00:00"/>
    <n v="9"/>
    <n v="9"/>
    <n v="0"/>
    <s v="September"/>
    <s v="Q3-2025"/>
    <x v="0"/>
    <x v="6"/>
    <x v="3"/>
    <x v="6"/>
    <s v="Durban"/>
    <s v="Non-Profit"/>
    <x v="3"/>
    <x v="9"/>
    <x v="32"/>
    <x v="6"/>
    <x v="210"/>
    <n v="1310.3"/>
    <n v="6551.5"/>
    <n v="2875.8"/>
    <n v="13185.543"/>
    <n v="6634.0429999999997"/>
    <n v="8.3000000000000004E-2"/>
    <n v="0"/>
    <s v="High"/>
    <n v="0.50313005691157353"/>
    <n v="5"/>
  </r>
  <r>
    <x v="211"/>
    <x v="187"/>
    <d v="2024-11-21T00:00:00"/>
    <d v="2024-11-21T00:00:00"/>
    <n v="9"/>
    <n v="9"/>
    <n v="0"/>
    <s v="November"/>
    <s v="Q4-2024"/>
    <x v="0"/>
    <x v="1"/>
    <x v="1"/>
    <x v="11"/>
    <s v="Mumbai"/>
    <s v="Corporate"/>
    <x v="1"/>
    <x v="8"/>
    <x v="15"/>
    <x v="3"/>
    <x v="211"/>
    <n v="903.41"/>
    <n v="4517.05"/>
    <n v="1860.41"/>
    <n v="8297.4286000000011"/>
    <n v="3780.3786000000009"/>
    <n v="0.108"/>
    <n v="0"/>
    <s v="High"/>
    <n v="0.455608451996803"/>
    <n v="5"/>
  </r>
  <r>
    <x v="212"/>
    <x v="99"/>
    <d v="2025-09-25T00:00:00"/>
    <d v="2025-09-25T00:00:00"/>
    <n v="10"/>
    <n v="10"/>
    <n v="0"/>
    <s v="September"/>
    <s v="Q3-2025"/>
    <x v="0"/>
    <x v="1"/>
    <x v="1"/>
    <x v="11"/>
    <s v="Delhi"/>
    <s v="Consumer"/>
    <x v="4"/>
    <x v="3"/>
    <x v="4"/>
    <x v="5"/>
    <x v="212"/>
    <n v="1488.91"/>
    <n v="35733.840000000004"/>
    <n v="1483.74"/>
    <n v="29627.320319999999"/>
    <n v="-6106.5196800000049"/>
    <n v="0.16800000000000001"/>
    <n v="0"/>
    <s v="High"/>
    <n v="-0.20611110333450519"/>
    <n v="24"/>
  </r>
  <r>
    <x v="213"/>
    <x v="188"/>
    <d v="2025-04-26T00:00:00"/>
    <d v="2025-04-26T00:00:00"/>
    <n v="10"/>
    <n v="10"/>
    <n v="0"/>
    <s v="April"/>
    <s v="Q2-2025"/>
    <x v="0"/>
    <x v="5"/>
    <x v="3"/>
    <x v="5"/>
    <s v="Port Harcourt"/>
    <s v="Enterprise"/>
    <x v="2"/>
    <x v="0"/>
    <x v="9"/>
    <x v="3"/>
    <x v="213"/>
    <n v="1457.44"/>
    <n v="33521.120000000003"/>
    <n v="1996.81"/>
    <n v="40139.874619999995"/>
    <n v="6618.7546199999924"/>
    <n v="0.126"/>
    <n v="0"/>
    <s v="High"/>
    <n v="0.16489225944672353"/>
    <n v="23"/>
  </r>
  <r>
    <x v="214"/>
    <x v="189"/>
    <d v="2024-08-26T00:00:00"/>
    <d v="2024-08-26T00:00:00"/>
    <n v="10"/>
    <n v="10"/>
    <n v="0"/>
    <s v="August"/>
    <s v="Q3-2024"/>
    <x v="0"/>
    <x v="2"/>
    <x v="0"/>
    <x v="2"/>
    <s v="Chicago"/>
    <s v="Corporate"/>
    <x v="0"/>
    <x v="5"/>
    <x v="10"/>
    <x v="3"/>
    <x v="93"/>
    <n v="1291.7"/>
    <n v="27125.7"/>
    <n v="2657.84"/>
    <n v="50958.766320000002"/>
    <n v="23833.066320000002"/>
    <n v="8.6999999999999994E-2"/>
    <n v="0"/>
    <s v="High"/>
    <n v="0.46769315745083367"/>
    <n v="21"/>
  </r>
  <r>
    <x v="215"/>
    <x v="21"/>
    <d v="2023-12-10T00:00:00"/>
    <d v="2023-12-10T00:00:00"/>
    <n v="10"/>
    <n v="10"/>
    <n v="0"/>
    <s v="November"/>
    <s v="Q4-2023"/>
    <x v="0"/>
    <x v="10"/>
    <x v="2"/>
    <x v="10"/>
    <s v="Munich"/>
    <s v="Small Business"/>
    <x v="1"/>
    <x v="0"/>
    <x v="17"/>
    <x v="3"/>
    <x v="214"/>
    <n v="174.74"/>
    <n v="3669.54"/>
    <n v="415.96"/>
    <n v="7643.2649999999994"/>
    <n v="3973.7249999999995"/>
    <n v="0.125"/>
    <n v="0"/>
    <s v="Low"/>
    <n v="0.51989889137691803"/>
    <n v="21"/>
  </r>
  <r>
    <x v="216"/>
    <x v="190"/>
    <d v="2024-08-17T00:00:00"/>
    <d v="2024-08-17T00:00:00"/>
    <n v="10"/>
    <n v="10"/>
    <n v="0"/>
    <s v="August"/>
    <s v="Q3-2024"/>
    <x v="1"/>
    <x v="3"/>
    <x v="1"/>
    <x v="3"/>
    <s v="Osaka"/>
    <s v="Consumer"/>
    <x v="3"/>
    <x v="12"/>
    <x v="6"/>
    <x v="2"/>
    <x v="215"/>
    <n v="436.58"/>
    <n v="8295.02"/>
    <n v="527.48"/>
    <n v="8909.6646800000017"/>
    <n v="614.64468000000124"/>
    <n v="0.111"/>
    <n v="0"/>
    <s v="Low"/>
    <n v="6.8986286473802644E-2"/>
    <n v="19"/>
  </r>
  <r>
    <x v="217"/>
    <x v="191"/>
    <d v="2025-05-02T00:00:00"/>
    <d v="2025-05-02T00:00:00"/>
    <n v="10"/>
    <n v="10"/>
    <n v="0"/>
    <s v="April"/>
    <s v="Q2-2025"/>
    <x v="0"/>
    <x v="10"/>
    <x v="2"/>
    <x v="10"/>
    <s v="Berlin"/>
    <s v="Corporate"/>
    <x v="2"/>
    <x v="14"/>
    <x v="9"/>
    <x v="1"/>
    <x v="216"/>
    <n v="20.149999999999999"/>
    <n v="362.7"/>
    <n v="39.74"/>
    <n v="607.30668000000003"/>
    <n v="244.60668000000004"/>
    <n v="0.151"/>
    <n v="0"/>
    <s v="Low"/>
    <n v="0.4027729120318585"/>
    <n v="18"/>
  </r>
  <r>
    <x v="218"/>
    <x v="192"/>
    <d v="2024-04-05T00:00:00"/>
    <d v="2024-04-05T00:00:00"/>
    <n v="10"/>
    <n v="10"/>
    <n v="0"/>
    <s v="March"/>
    <s v="Q1-2024"/>
    <x v="0"/>
    <x v="2"/>
    <x v="0"/>
    <x v="2"/>
    <s v="Austin"/>
    <s v="Consumer"/>
    <x v="1"/>
    <x v="10"/>
    <x v="31"/>
    <x v="1"/>
    <x v="217"/>
    <n v="5.66"/>
    <n v="101.88"/>
    <n v="4.22"/>
    <n v="66.920760000000001"/>
    <n v="-34.959239999999994"/>
    <n v="0.11899999999999999"/>
    <n v="0"/>
    <s v="Low"/>
    <n v="-0.52239753403876454"/>
    <n v="18"/>
  </r>
  <r>
    <x v="219"/>
    <x v="193"/>
    <d v="2025-04-02T00:00:00"/>
    <d v="2025-04-02T00:00:00"/>
    <n v="10"/>
    <n v="10"/>
    <n v="0"/>
    <s v="March"/>
    <s v="Q1-2025"/>
    <x v="0"/>
    <x v="10"/>
    <x v="2"/>
    <x v="10"/>
    <s v="Berlin"/>
    <s v="Enterprise"/>
    <x v="3"/>
    <x v="7"/>
    <x v="23"/>
    <x v="0"/>
    <x v="218"/>
    <n v="663.61"/>
    <n v="11281.37"/>
    <n v="1002.11"/>
    <n v="16252.219979999998"/>
    <n v="4970.8499799999972"/>
    <n v="4.5999999999999999E-2"/>
    <n v="0"/>
    <s v="High"/>
    <n v="0.30585667595670812"/>
    <n v="17"/>
  </r>
  <r>
    <x v="220"/>
    <x v="194"/>
    <d v="2024-12-10T00:00:00"/>
    <d v="2024-12-10T00:00:00"/>
    <n v="10"/>
    <n v="10"/>
    <n v="0"/>
    <s v="November"/>
    <s v="Q4-2024"/>
    <x v="0"/>
    <x v="1"/>
    <x v="1"/>
    <x v="11"/>
    <s v="Hyderabad"/>
    <s v="Small Business"/>
    <x v="4"/>
    <x v="0"/>
    <x v="21"/>
    <x v="4"/>
    <x v="219"/>
    <n v="851.49"/>
    <n v="13623.84"/>
    <n v="901.79"/>
    <n v="10893.6232"/>
    <n v="-2730.2168000000001"/>
    <n v="0.245"/>
    <n v="1"/>
    <s v="High"/>
    <n v="-0.25062522816100341"/>
    <n v="16"/>
  </r>
  <r>
    <x v="221"/>
    <x v="0"/>
    <d v="2025-05-24T00:00:00"/>
    <d v="2025-05-24T00:00:00"/>
    <n v="10"/>
    <n v="10"/>
    <n v="0"/>
    <s v="May"/>
    <s v="Q2-2025"/>
    <x v="0"/>
    <x v="8"/>
    <x v="2"/>
    <x v="8"/>
    <s v="Paris"/>
    <s v="Small Business"/>
    <x v="2"/>
    <x v="12"/>
    <x v="0"/>
    <x v="6"/>
    <x v="220"/>
    <n v="170.39"/>
    <n v="2555.85"/>
    <n v="388.04"/>
    <n v="5331.6696000000002"/>
    <n v="2775.8196000000003"/>
    <n v="8.4000000000000005E-2"/>
    <n v="0"/>
    <s v="Low"/>
    <n v="0.52062858508711796"/>
    <n v="15"/>
  </r>
  <r>
    <x v="222"/>
    <x v="146"/>
    <d v="2023-07-11T00:00:00"/>
    <d v="2023-07-11T00:00:00"/>
    <n v="10"/>
    <n v="10"/>
    <n v="0"/>
    <s v="July"/>
    <s v="Q3-2023"/>
    <x v="0"/>
    <x v="8"/>
    <x v="2"/>
    <x v="8"/>
    <s v="Paris"/>
    <s v="Corporate"/>
    <x v="1"/>
    <x v="0"/>
    <x v="7"/>
    <x v="2"/>
    <x v="221"/>
    <n v="479.5"/>
    <n v="6713"/>
    <n v="656.66"/>
    <n v="7823.4472399999995"/>
    <n v="1110.4472399999995"/>
    <n v="0.14899999999999999"/>
    <n v="0"/>
    <s v="Low"/>
    <n v="0.14193835606412289"/>
    <n v="14"/>
  </r>
  <r>
    <x v="223"/>
    <x v="195"/>
    <d v="2023-07-03T00:00:00"/>
    <d v="2023-07-03T00:00:00"/>
    <n v="10"/>
    <n v="10"/>
    <n v="0"/>
    <s v="June"/>
    <s v="Q2-2023"/>
    <x v="0"/>
    <x v="5"/>
    <x v="3"/>
    <x v="5"/>
    <s v="Abuja"/>
    <s v="Consumer"/>
    <x v="3"/>
    <x v="10"/>
    <x v="7"/>
    <x v="0"/>
    <x v="222"/>
    <n v="337.75"/>
    <n v="4390.75"/>
    <n v="548.89"/>
    <n v="7135.57"/>
    <n v="2744.8199999999997"/>
    <n v="0"/>
    <n v="0"/>
    <s v="Low"/>
    <n v="0.38466723751571352"/>
    <n v="13"/>
  </r>
  <r>
    <x v="224"/>
    <x v="196"/>
    <d v="2024-05-27T00:00:00"/>
    <d v="2024-05-27T00:00:00"/>
    <n v="10"/>
    <n v="10"/>
    <n v="0"/>
    <s v="May"/>
    <s v="Q2-2024"/>
    <x v="0"/>
    <x v="2"/>
    <x v="0"/>
    <x v="2"/>
    <s v="Austin"/>
    <s v="Non-Profit"/>
    <x v="3"/>
    <x v="14"/>
    <x v="3"/>
    <x v="5"/>
    <x v="223"/>
    <n v="1484.23"/>
    <n v="17810.760000000002"/>
    <n v="3472.81"/>
    <n v="31005.24768"/>
    <n v="13194.487679999998"/>
    <n v="0.25600000000000001"/>
    <n v="1"/>
    <s v="High"/>
    <n v="0.42555659661803413"/>
    <n v="12"/>
  </r>
  <r>
    <x v="225"/>
    <x v="197"/>
    <d v="2023-11-05T00:00:00"/>
    <d v="2023-11-05T00:00:00"/>
    <n v="10"/>
    <n v="10"/>
    <n v="0"/>
    <s v="October"/>
    <s v="Q4-2023"/>
    <x v="0"/>
    <x v="6"/>
    <x v="3"/>
    <x v="6"/>
    <s v="Cape Town"/>
    <s v="Non-Profit"/>
    <x v="3"/>
    <x v="13"/>
    <x v="12"/>
    <x v="3"/>
    <x v="224"/>
    <n v="20.38"/>
    <n v="224.17999999999998"/>
    <n v="42.56"/>
    <n v="434.45248000000004"/>
    <n v="210.27248000000006"/>
    <n v="7.1999999999999995E-2"/>
    <n v="0"/>
    <s v="Low"/>
    <n v="0.48399419885921713"/>
    <n v="11"/>
  </r>
  <r>
    <x v="226"/>
    <x v="198"/>
    <d v="2023-06-19T00:00:00"/>
    <d v="2023-06-19T00:00:00"/>
    <n v="10"/>
    <n v="10"/>
    <n v="0"/>
    <s v="June"/>
    <s v="Q2-2023"/>
    <x v="0"/>
    <x v="7"/>
    <x v="1"/>
    <x v="7"/>
    <s v="Beijing"/>
    <s v="Enterprise"/>
    <x v="4"/>
    <x v="0"/>
    <x v="14"/>
    <x v="1"/>
    <x v="225"/>
    <n v="339.61"/>
    <n v="3396.1000000000004"/>
    <n v="621.02"/>
    <n v="5769.2758000000003"/>
    <n v="2373.1758"/>
    <n v="7.0999999999999994E-2"/>
    <n v="0"/>
    <s v="Low"/>
    <n v="0.41134726129750981"/>
    <n v="10"/>
  </r>
  <r>
    <x v="227"/>
    <x v="199"/>
    <d v="2023-07-19T00:00:00"/>
    <d v="2023-07-19T00:00:00"/>
    <n v="10"/>
    <n v="10"/>
    <n v="0"/>
    <s v="July"/>
    <s v="Q3-2023"/>
    <x v="1"/>
    <x v="3"/>
    <x v="1"/>
    <x v="3"/>
    <s v="Tokyo"/>
    <s v="Enterprise"/>
    <x v="0"/>
    <x v="6"/>
    <x v="14"/>
    <x v="6"/>
    <x v="226"/>
    <n v="141.26"/>
    <n v="1271.3399999999999"/>
    <n v="206.88"/>
    <n v="1662.6945600000001"/>
    <n v="391.35456000000022"/>
    <n v="0.107"/>
    <n v="0"/>
    <s v="Low"/>
    <n v="0.23537369365062469"/>
    <n v="9"/>
  </r>
  <r>
    <x v="228"/>
    <x v="200"/>
    <d v="2025-03-10T00:00:00"/>
    <d v="2025-03-10T00:00:00"/>
    <n v="10"/>
    <n v="10"/>
    <n v="0"/>
    <s v="February"/>
    <s v="Q1-2025"/>
    <x v="1"/>
    <x v="3"/>
    <x v="1"/>
    <x v="3"/>
    <s v="Osaka"/>
    <s v="Education"/>
    <x v="0"/>
    <x v="6"/>
    <x v="26"/>
    <x v="3"/>
    <x v="227"/>
    <n v="51.86"/>
    <n v="363.02"/>
    <n v="45.98"/>
    <n v="266.17821999999995"/>
    <n v="-96.841780000000028"/>
    <n v="0.17299999999999999"/>
    <n v="0"/>
    <s v="Low"/>
    <n v="-0.3638230806412337"/>
    <n v="7"/>
  </r>
  <r>
    <x v="229"/>
    <x v="201"/>
    <d v="2023-08-25T00:00:00"/>
    <d v="2023-08-25T00:00:00"/>
    <n v="10"/>
    <n v="10"/>
    <n v="0"/>
    <s v="August"/>
    <s v="Q3-2023"/>
    <x v="0"/>
    <x v="9"/>
    <x v="3"/>
    <x v="9"/>
    <s v="Nairobi"/>
    <s v="Small Business"/>
    <x v="4"/>
    <x v="6"/>
    <x v="16"/>
    <x v="5"/>
    <x v="228"/>
    <n v="91.85"/>
    <n v="551.09999999999991"/>
    <n v="111.29"/>
    <n v="667.74"/>
    <n v="116.6400000000001"/>
    <n v="0"/>
    <n v="0"/>
    <s v="Low"/>
    <n v="0.17467876718483258"/>
    <n v="6"/>
  </r>
  <r>
    <x v="230"/>
    <x v="202"/>
    <d v="2024-10-24T00:00:00"/>
    <d v="2024-10-24T00:00:00"/>
    <n v="11"/>
    <n v="11"/>
    <n v="0"/>
    <s v="October"/>
    <s v="Q4-2024"/>
    <x v="0"/>
    <x v="8"/>
    <x v="2"/>
    <x v="8"/>
    <s v="Paris"/>
    <s v="Education"/>
    <x v="0"/>
    <x v="0"/>
    <x v="15"/>
    <x v="6"/>
    <x v="229"/>
    <n v="816.7"/>
    <n v="35118.1"/>
    <n v="1010.75"/>
    <n v="41419.524249999995"/>
    <n v="6301.4242499999964"/>
    <n v="4.7E-2"/>
    <n v="0"/>
    <s v="High"/>
    <n v="0.15213656757537472"/>
    <n v="43"/>
  </r>
  <r>
    <x v="231"/>
    <x v="203"/>
    <d v="2023-02-26T00:00:00"/>
    <d v="2023-02-26T00:00:00"/>
    <n v="11"/>
    <n v="11"/>
    <n v="0"/>
    <s v="February"/>
    <s v="Q1-2023"/>
    <x v="0"/>
    <x v="6"/>
    <x v="3"/>
    <x v="6"/>
    <s v="Johannesburg"/>
    <s v="Non-Profit"/>
    <x v="4"/>
    <x v="12"/>
    <x v="11"/>
    <x v="3"/>
    <x v="230"/>
    <n v="498.5"/>
    <n v="19940"/>
    <n v="755.87"/>
    <n v="26304.275999999998"/>
    <n v="6364.275999999998"/>
    <n v="0.13"/>
    <n v="0"/>
    <s v="Low"/>
    <n v="0.24194834330357537"/>
    <n v="40"/>
  </r>
  <r>
    <x v="232"/>
    <x v="179"/>
    <d v="2023-04-30T00:00:00"/>
    <d v="2023-04-30T00:00:00"/>
    <n v="11"/>
    <n v="11"/>
    <n v="0"/>
    <s v="April"/>
    <s v="Q2-2023"/>
    <x v="0"/>
    <x v="1"/>
    <x v="1"/>
    <x v="11"/>
    <s v="Delhi"/>
    <s v="Small Business"/>
    <x v="4"/>
    <x v="3"/>
    <x v="28"/>
    <x v="2"/>
    <x v="231"/>
    <n v="826.55"/>
    <n v="23143.399999999998"/>
    <n v="1397.05"/>
    <n v="32506.559399999998"/>
    <n v="9363.1594000000005"/>
    <n v="0.16900000000000001"/>
    <n v="0"/>
    <s v="High"/>
    <n v="0.28803907804527601"/>
    <n v="28"/>
  </r>
  <r>
    <x v="233"/>
    <x v="19"/>
    <d v="2023-08-14T00:00:00"/>
    <d v="2023-08-14T00:00:00"/>
    <n v="11"/>
    <n v="11"/>
    <n v="0"/>
    <s v="August"/>
    <s v="Q3-2023"/>
    <x v="0"/>
    <x v="1"/>
    <x v="0"/>
    <x v="1"/>
    <s v="Brasília"/>
    <s v="Corporate"/>
    <x v="1"/>
    <x v="10"/>
    <x v="16"/>
    <x v="4"/>
    <x v="232"/>
    <n v="232.73"/>
    <n v="5818.25"/>
    <n v="334.19"/>
    <n v="7235.2134999999998"/>
    <n v="1416.9634999999998"/>
    <n v="0.13400000000000001"/>
    <n v="0"/>
    <s v="Low"/>
    <n v="0.1958426658729559"/>
    <n v="25"/>
  </r>
  <r>
    <x v="234"/>
    <x v="204"/>
    <d v="2025-01-08T00:00:00"/>
    <d v="2025-01-08T00:00:00"/>
    <n v="11"/>
    <n v="11"/>
    <n v="0"/>
    <s v="December"/>
    <s v="Q4-2024"/>
    <x v="0"/>
    <x v="7"/>
    <x v="1"/>
    <x v="7"/>
    <s v="Shenzhen"/>
    <s v="Enterprise"/>
    <x v="3"/>
    <x v="12"/>
    <x v="26"/>
    <x v="3"/>
    <x v="233"/>
    <n v="1201.31"/>
    <n v="25227.51"/>
    <n v="2764.65"/>
    <n v="58057.65"/>
    <n v="32830.14"/>
    <n v="0"/>
    <n v="0"/>
    <s v="High"/>
    <n v="0.56547483406579491"/>
    <n v="21"/>
  </r>
  <r>
    <x v="235"/>
    <x v="64"/>
    <d v="2025-04-04T00:00:00"/>
    <d v="2025-04-04T00:00:00"/>
    <n v="11"/>
    <n v="11"/>
    <n v="0"/>
    <s v="March"/>
    <s v="Q1-2025"/>
    <x v="0"/>
    <x v="1"/>
    <x v="1"/>
    <x v="11"/>
    <s v="Mumbai"/>
    <s v="Education"/>
    <x v="2"/>
    <x v="10"/>
    <x v="13"/>
    <x v="5"/>
    <x v="234"/>
    <n v="23.83"/>
    <n v="452.77"/>
    <n v="47.29"/>
    <n v="841.00536"/>
    <n v="388.23536000000001"/>
    <n v="6.4000000000000001E-2"/>
    <n v="0"/>
    <s v="Low"/>
    <n v="0.46163244429262618"/>
    <n v="19"/>
  </r>
  <r>
    <x v="236"/>
    <x v="205"/>
    <d v="2024-11-28T00:00:00"/>
    <d v="2024-11-28T00:00:00"/>
    <n v="11"/>
    <n v="11"/>
    <n v="0"/>
    <s v="November"/>
    <s v="Q4-2024"/>
    <x v="0"/>
    <x v="0"/>
    <x v="0"/>
    <x v="0"/>
    <m/>
    <s v="Consumer"/>
    <x v="0"/>
    <x v="3"/>
    <x v="21"/>
    <x v="0"/>
    <x v="235"/>
    <n v="1008.16"/>
    <n v="15122.4"/>
    <n v="2077.5"/>
    <n v="28856.475000000002"/>
    <n v="13734.075000000003"/>
    <n v="7.3999999999999996E-2"/>
    <n v="0"/>
    <s v="High"/>
    <n v="0.47594430712691005"/>
    <n v="15"/>
  </r>
  <r>
    <x v="237"/>
    <x v="206"/>
    <d v="2024-11-05T00:00:00"/>
    <d v="2024-11-05T00:00:00"/>
    <n v="11"/>
    <n v="11"/>
    <n v="0"/>
    <s v="October"/>
    <s v="Q4-2024"/>
    <x v="0"/>
    <x v="2"/>
    <x v="0"/>
    <x v="2"/>
    <s v="New York"/>
    <s v="Corporate"/>
    <x v="0"/>
    <x v="6"/>
    <x v="15"/>
    <x v="6"/>
    <x v="236"/>
    <n v="446.66"/>
    <n v="6699.9000000000005"/>
    <n v="527.64"/>
    <n v="6766.9829999999993"/>
    <n v="67.082999999998719"/>
    <n v="0.14499999999999999"/>
    <n v="0"/>
    <s v="Low"/>
    <n v="9.9132804087137105E-3"/>
    <n v="15"/>
  </r>
  <r>
    <x v="238"/>
    <x v="207"/>
    <d v="2023-04-16T00:00:00"/>
    <d v="2023-04-16T00:00:00"/>
    <n v="11"/>
    <n v="11"/>
    <n v="0"/>
    <s v="April"/>
    <s v="Q2-2023"/>
    <x v="0"/>
    <x v="0"/>
    <x v="0"/>
    <x v="0"/>
    <s v="Vancouver"/>
    <s v="Non-Profit"/>
    <x v="3"/>
    <x v="4"/>
    <x v="2"/>
    <x v="1"/>
    <x v="237"/>
    <n v="213.1"/>
    <n v="3196.5"/>
    <n v="501.31"/>
    <n v="7098.5495999999994"/>
    <n v="3902.0495999999994"/>
    <n v="5.6000000000000001E-2"/>
    <n v="0"/>
    <s v="Low"/>
    <n v="0.54969674368409005"/>
    <n v="15"/>
  </r>
  <r>
    <x v="239"/>
    <x v="208"/>
    <d v="2024-04-27T00:00:00"/>
    <d v="2024-04-27T00:00:00"/>
    <n v="11"/>
    <n v="11"/>
    <n v="0"/>
    <s v="April"/>
    <s v="Q2-2024"/>
    <x v="0"/>
    <x v="9"/>
    <x v="3"/>
    <x v="9"/>
    <s v="Nakuru"/>
    <s v="Enterprise"/>
    <x v="3"/>
    <x v="9"/>
    <x v="31"/>
    <x v="0"/>
    <x v="238"/>
    <n v="401.3"/>
    <n v="5216.9000000000005"/>
    <n v="826.47"/>
    <n v="8326.6852500000005"/>
    <n v="3109.7852499999999"/>
    <n v="0.22500000000000001"/>
    <n v="1"/>
    <s v="High"/>
    <n v="0.37347217489696755"/>
    <n v="13"/>
  </r>
  <r>
    <x v="240"/>
    <x v="42"/>
    <d v="2024-09-18T00:00:00"/>
    <d v="2024-09-18T00:00:00"/>
    <n v="11"/>
    <n v="11"/>
    <n v="0"/>
    <s v="September"/>
    <s v="Q3-2024"/>
    <x v="0"/>
    <x v="7"/>
    <x v="1"/>
    <x v="7"/>
    <s v="Beijing"/>
    <s v="Consumer"/>
    <x v="0"/>
    <x v="4"/>
    <x v="10"/>
    <x v="2"/>
    <x v="239"/>
    <n v="181.74"/>
    <n v="2362.62"/>
    <n v="190.84"/>
    <n v="1950.0031200000001"/>
    <n v="-412.61687999999981"/>
    <n v="0.214"/>
    <n v="1"/>
    <s v="Low"/>
    <n v="-0.21159806144310159"/>
    <n v="13"/>
  </r>
  <r>
    <x v="241"/>
    <x v="209"/>
    <d v="2025-05-28T00:00:00"/>
    <d v="2025-05-28T00:00:00"/>
    <n v="11"/>
    <n v="11"/>
    <n v="0"/>
    <s v="May"/>
    <s v="Q2-2025"/>
    <x v="0"/>
    <x v="1"/>
    <x v="1"/>
    <x v="11"/>
    <s v="Bengaluru"/>
    <s v="Corporate"/>
    <x v="0"/>
    <x v="11"/>
    <x v="9"/>
    <x v="3"/>
    <x v="240"/>
    <n v="623.4"/>
    <n v="7480.7999999999993"/>
    <n v="1100.0899999999999"/>
    <n v="11696.156879999999"/>
    <n v="4215.3568799999994"/>
    <n v="0.114"/>
    <n v="0"/>
    <s v="High"/>
    <n v="0.36040529579490388"/>
    <n v="12"/>
  </r>
  <r>
    <x v="242"/>
    <x v="210"/>
    <d v="2024-11-12T00:00:00"/>
    <d v="2024-11-12T00:00:00"/>
    <n v="11"/>
    <n v="11"/>
    <n v="0"/>
    <s v="November"/>
    <s v="Q4-2024"/>
    <x v="0"/>
    <x v="10"/>
    <x v="2"/>
    <x v="10"/>
    <s v="Frankfurt"/>
    <s v="Consumer"/>
    <x v="3"/>
    <x v="11"/>
    <x v="15"/>
    <x v="0"/>
    <x v="241"/>
    <n v="599.84"/>
    <n v="6598.2400000000007"/>
    <n v="1330.85"/>
    <n v="12955.824749999998"/>
    <n v="6357.5847499999973"/>
    <n v="0.115"/>
    <n v="0"/>
    <s v="High"/>
    <n v="0.49071246892252063"/>
    <n v="11"/>
  </r>
  <r>
    <x v="243"/>
    <x v="71"/>
    <d v="2025-05-27T00:00:00"/>
    <d v="2025-05-27T00:00:00"/>
    <n v="11"/>
    <n v="11"/>
    <n v="0"/>
    <s v="May"/>
    <s v="Q2-2025"/>
    <x v="0"/>
    <x v="7"/>
    <x v="1"/>
    <x v="7"/>
    <s v="Beijing"/>
    <s v="Enterprise"/>
    <x v="3"/>
    <x v="0"/>
    <x v="0"/>
    <x v="5"/>
    <x v="242"/>
    <n v="918.12"/>
    <n v="7344.96"/>
    <n v="1337.69"/>
    <n v="9684.8756000000012"/>
    <n v="2339.9156000000012"/>
    <n v="9.5000000000000001E-2"/>
    <n v="0"/>
    <s v="High"/>
    <n v="0.24160512707050164"/>
    <n v="8"/>
  </r>
  <r>
    <x v="244"/>
    <x v="211"/>
    <d v="2024-06-03T00:00:00"/>
    <d v="2024-06-03T00:00:00"/>
    <n v="11"/>
    <n v="11"/>
    <n v="0"/>
    <s v="May"/>
    <s v="Q2-2024"/>
    <x v="0"/>
    <x v="6"/>
    <x v="3"/>
    <x v="6"/>
    <s v="Johannesburg"/>
    <s v="Small Business"/>
    <x v="0"/>
    <x v="0"/>
    <x v="3"/>
    <x v="0"/>
    <x v="243"/>
    <n v="180.89"/>
    <n v="1447.12"/>
    <n v="249.57"/>
    <n v="1952.6356799999999"/>
    <n v="505.51567999999997"/>
    <n v="2.1999999999999999E-2"/>
    <n v="0"/>
    <s v="Low"/>
    <n v="0.25888888806948362"/>
    <n v="8"/>
  </r>
  <r>
    <x v="245"/>
    <x v="212"/>
    <d v="2025-05-13T00:00:00"/>
    <d v="2025-05-13T00:00:00"/>
    <n v="11"/>
    <n v="11"/>
    <n v="0"/>
    <s v="May"/>
    <s v="Q2-2025"/>
    <x v="0"/>
    <x v="9"/>
    <x v="3"/>
    <x v="9"/>
    <s v="Nakuru"/>
    <s v="Small Business"/>
    <x v="3"/>
    <x v="3"/>
    <x v="9"/>
    <x v="4"/>
    <x v="244"/>
    <n v="1057.5999999999999"/>
    <n v="4230.3999999999996"/>
    <n v="1437.06"/>
    <n v="4569.8508000000002"/>
    <n v="339.45080000000053"/>
    <n v="0.20499999999999999"/>
    <n v="1"/>
    <s v="High"/>
    <n v="7.4280499485891424E-2"/>
    <n v="4"/>
  </r>
  <r>
    <x v="246"/>
    <x v="213"/>
    <d v="2024-02-04T00:00:00"/>
    <d v="2024-02-04T00:00:00"/>
    <n v="11"/>
    <n v="11"/>
    <n v="0"/>
    <s v="January"/>
    <s v="Q1-2024"/>
    <x v="0"/>
    <x v="4"/>
    <x v="2"/>
    <x v="4"/>
    <s v="Manchester"/>
    <s v="Consumer"/>
    <x v="4"/>
    <x v="11"/>
    <x v="19"/>
    <x v="3"/>
    <x v="245"/>
    <n v="525.34"/>
    <n v="2101.36"/>
    <n v="1233.79"/>
    <n v="4229.4321199999995"/>
    <n v="2128.0721199999994"/>
    <n v="0.14299999999999999"/>
    <n v="0"/>
    <s v="High"/>
    <n v="0.50315788494082736"/>
    <n v="4"/>
  </r>
  <r>
    <x v="247"/>
    <x v="214"/>
    <d v="2023-06-24T00:00:00"/>
    <d v="2023-06-24T00:00:00"/>
    <n v="11"/>
    <n v="11"/>
    <n v="0"/>
    <s v="June"/>
    <s v="Q2-2023"/>
    <x v="0"/>
    <x v="0"/>
    <x v="0"/>
    <x v="0"/>
    <s v="Toronto"/>
    <s v="Corporate"/>
    <x v="3"/>
    <x v="14"/>
    <x v="7"/>
    <x v="0"/>
    <x v="246"/>
    <n v="247.07"/>
    <n v="988.28"/>
    <n v="495.19"/>
    <n v="1925.29872"/>
    <n v="937.01872000000003"/>
    <n v="2.8000000000000001E-2"/>
    <n v="0"/>
    <s v="Low"/>
    <n v="0.48668744764968214"/>
    <n v="4"/>
  </r>
  <r>
    <x v="248"/>
    <x v="215"/>
    <d v="2023-03-04T00:00:00"/>
    <d v="2023-03-04T00:00:00"/>
    <n v="12"/>
    <n v="12"/>
    <n v="0"/>
    <s v="February"/>
    <s v="Q1-2023"/>
    <x v="0"/>
    <x v="1"/>
    <x v="1"/>
    <x v="11"/>
    <s v="Delhi"/>
    <s v="Consumer"/>
    <x v="0"/>
    <x v="1"/>
    <x v="5"/>
    <x v="1"/>
    <x v="247"/>
    <n v="299.75"/>
    <n v="14987.5"/>
    <n v="523.01"/>
    <n v="22044.871499999997"/>
    <n v="7057.3714999999975"/>
    <n v="0.157"/>
    <n v="0"/>
    <s v="Low"/>
    <n v="0.32013665854210122"/>
    <n v="50"/>
  </r>
  <r>
    <x v="249"/>
    <x v="216"/>
    <d v="2024-05-24T00:00:00"/>
    <d v="2024-05-24T00:00:00"/>
    <n v="12"/>
    <n v="12"/>
    <n v="0"/>
    <s v="May"/>
    <s v="Q2-2024"/>
    <x v="0"/>
    <x v="4"/>
    <x v="2"/>
    <x v="4"/>
    <s v="Manchester"/>
    <s v="Education"/>
    <x v="2"/>
    <x v="12"/>
    <x v="8"/>
    <x v="0"/>
    <x v="248"/>
    <n v="111.02"/>
    <n v="3219.58"/>
    <n v="172.88"/>
    <n v="4025.8565599999993"/>
    <n v="806.27655999999934"/>
    <n v="0.19700000000000001"/>
    <n v="0"/>
    <s v="Low"/>
    <n v="0.20027453735212053"/>
    <n v="29"/>
  </r>
  <r>
    <x v="250"/>
    <x v="23"/>
    <d v="2024-02-09T00:00:00"/>
    <d v="2024-02-09T00:00:00"/>
    <n v="12"/>
    <n v="12"/>
    <n v="0"/>
    <s v="January"/>
    <s v="Q1-2024"/>
    <x v="0"/>
    <x v="10"/>
    <x v="2"/>
    <x v="10"/>
    <s v="Berlin"/>
    <s v="Corporate"/>
    <x v="3"/>
    <x v="2"/>
    <x v="19"/>
    <x v="4"/>
    <x v="249"/>
    <n v="644.16999999999996"/>
    <n v="14815.91"/>
    <n v="700.12"/>
    <n v="16006.14344"/>
    <n v="1190.23344"/>
    <n v="6.0000000000000001E-3"/>
    <n v="0"/>
    <s v="Low"/>
    <n v="7.436103796405813E-2"/>
    <n v="23"/>
  </r>
  <r>
    <x v="251"/>
    <x v="217"/>
    <d v="2024-08-20T00:00:00"/>
    <d v="2024-08-20T00:00:00"/>
    <n v="12"/>
    <n v="12"/>
    <n v="0"/>
    <s v="August"/>
    <s v="Q3-2024"/>
    <x v="1"/>
    <x v="3"/>
    <x v="1"/>
    <x v="3"/>
    <s v="Osaka"/>
    <s v="Small Business"/>
    <x v="4"/>
    <x v="8"/>
    <x v="6"/>
    <x v="2"/>
    <x v="250"/>
    <n v="1233.3599999999999"/>
    <n v="24667.199999999997"/>
    <n v="2120.4"/>
    <n v="34816.968000000001"/>
    <n v="10149.768000000004"/>
    <n v="0.17899999999999999"/>
    <n v="0"/>
    <s v="High"/>
    <n v="0.29151785991244278"/>
    <n v="20"/>
  </r>
  <r>
    <x v="252"/>
    <x v="218"/>
    <d v="2025-06-08T00:00:00"/>
    <d v="2025-06-08T00:00:00"/>
    <n v="12"/>
    <n v="12"/>
    <n v="0"/>
    <s v="May"/>
    <s v="Q2-2025"/>
    <x v="1"/>
    <x v="3"/>
    <x v="1"/>
    <x v="3"/>
    <s v="Osaka"/>
    <s v="Corporate"/>
    <x v="4"/>
    <x v="8"/>
    <x v="23"/>
    <x v="4"/>
    <x v="251"/>
    <n v="653.6"/>
    <n v="12418.4"/>
    <n v="842.09"/>
    <n v="14431.738420000001"/>
    <n v="2013.3384200000019"/>
    <n v="9.8000000000000004E-2"/>
    <n v="0"/>
    <s v="High"/>
    <n v="0.13950768517324622"/>
    <n v="19"/>
  </r>
  <r>
    <x v="253"/>
    <x v="124"/>
    <d v="2023-04-12T00:00:00"/>
    <d v="2023-04-12T00:00:00"/>
    <n v="12"/>
    <n v="12"/>
    <n v="0"/>
    <s v="March"/>
    <s v="Q1-2023"/>
    <x v="0"/>
    <x v="9"/>
    <x v="3"/>
    <x v="9"/>
    <s v="Mombasa"/>
    <s v="Small Business"/>
    <x v="3"/>
    <x v="14"/>
    <x v="28"/>
    <x v="5"/>
    <x v="252"/>
    <n v="304.22000000000003"/>
    <n v="4563.3"/>
    <n v="393.31"/>
    <n v="4336.2427499999994"/>
    <n v="-227.05725000000075"/>
    <n v="0.26500000000000001"/>
    <n v="1"/>
    <s v="Low"/>
    <n v="-5.2362670424759034E-2"/>
    <n v="15"/>
  </r>
  <r>
    <x v="254"/>
    <x v="219"/>
    <d v="2023-05-16T00:00:00"/>
    <d v="2023-05-16T00:00:00"/>
    <n v="12"/>
    <n v="12"/>
    <n v="0"/>
    <s v="May"/>
    <s v="Q2-2023"/>
    <x v="0"/>
    <x v="5"/>
    <x v="3"/>
    <x v="5"/>
    <s v="Abuja"/>
    <s v="Small Business"/>
    <x v="2"/>
    <x v="10"/>
    <x v="2"/>
    <x v="5"/>
    <x v="253"/>
    <n v="77.739999999999995"/>
    <n v="1166.0999999999999"/>
    <n v="147.12"/>
    <n v="2206.8000000000002"/>
    <n v="1040.7000000000003"/>
    <n v="0"/>
    <n v="0"/>
    <s v="Low"/>
    <n v="0.47158781946710177"/>
    <n v="15"/>
  </r>
  <r>
    <x v="255"/>
    <x v="220"/>
    <d v="2023-07-31T00:00:00"/>
    <d v="2023-07-31T00:00:00"/>
    <n v="12"/>
    <n v="12"/>
    <n v="0"/>
    <s v="July"/>
    <s v="Q3-2023"/>
    <x v="0"/>
    <x v="1"/>
    <x v="0"/>
    <x v="1"/>
    <s v="Rio de Janeiro"/>
    <s v="Corporate"/>
    <x v="4"/>
    <x v="14"/>
    <x v="7"/>
    <x v="1"/>
    <x v="254"/>
    <n v="1334.64"/>
    <n v="18684.960000000003"/>
    <n v="2273.42"/>
    <n v="28072.190160000002"/>
    <n v="9387.2301599999992"/>
    <n v="0.11799999999999999"/>
    <n v="0"/>
    <s v="High"/>
    <n v="0.33439607335575267"/>
    <n v="14"/>
  </r>
  <r>
    <x v="256"/>
    <x v="221"/>
    <d v="2025-07-31T00:00:00"/>
    <d v="2025-07-31T00:00:00"/>
    <n v="12"/>
    <n v="12"/>
    <n v="0"/>
    <s v="July"/>
    <s v="Q3-2025"/>
    <x v="0"/>
    <x v="9"/>
    <x v="3"/>
    <x v="9"/>
    <s v="Nairobi"/>
    <s v="Small Business"/>
    <x v="2"/>
    <x v="4"/>
    <x v="29"/>
    <x v="4"/>
    <x v="255"/>
    <n v="619.64"/>
    <n v="8674.9599999999991"/>
    <n v="861.16"/>
    <n v="10693.88488"/>
    <n v="2018.9248800000005"/>
    <n v="0.113"/>
    <n v="0"/>
    <s v="High"/>
    <n v="0.18879246435276761"/>
    <n v="14"/>
  </r>
  <r>
    <x v="257"/>
    <x v="186"/>
    <d v="2025-09-26T00:00:00"/>
    <d v="2025-09-26T00:00:00"/>
    <n v="12"/>
    <n v="12"/>
    <n v="0"/>
    <s v="September"/>
    <s v="Q3-2025"/>
    <x v="0"/>
    <x v="4"/>
    <x v="2"/>
    <x v="4"/>
    <s v="London"/>
    <s v="Small Business"/>
    <x v="1"/>
    <x v="6"/>
    <x v="4"/>
    <x v="2"/>
    <x v="256"/>
    <n v="425.15"/>
    <n v="5526.95"/>
    <n v="885.92"/>
    <n v="8764.4065599999994"/>
    <n v="3237.4565599999996"/>
    <n v="0.23899999999999999"/>
    <n v="1"/>
    <s v="High"/>
    <n v="0.3693868532725848"/>
    <n v="13"/>
  </r>
  <r>
    <x v="258"/>
    <x v="222"/>
    <d v="2025-01-23T00:00:00"/>
    <d v="2025-01-23T00:00:00"/>
    <n v="12"/>
    <n v="12"/>
    <n v="0"/>
    <s v="January"/>
    <s v="Q1-2025"/>
    <x v="0"/>
    <x v="2"/>
    <x v="0"/>
    <x v="2"/>
    <s v="Austin"/>
    <s v="Consumer"/>
    <x v="0"/>
    <x v="8"/>
    <x v="26"/>
    <x v="5"/>
    <x v="257"/>
    <n v="100.69"/>
    <n v="1208.28"/>
    <n v="226.14"/>
    <n v="2537.2908000000002"/>
    <n v="1329.0108000000002"/>
    <n v="6.5000000000000002E-2"/>
    <n v="0"/>
    <s v="Low"/>
    <n v="0.52379128162999689"/>
    <n v="12"/>
  </r>
  <r>
    <x v="259"/>
    <x v="223"/>
    <d v="2024-06-16T00:00:00"/>
    <d v="2024-06-16T00:00:00"/>
    <n v="12"/>
    <n v="12"/>
    <n v="0"/>
    <s v="June"/>
    <s v="Q2-2024"/>
    <x v="0"/>
    <x v="7"/>
    <x v="1"/>
    <x v="7"/>
    <s v="Shanghai"/>
    <s v="Corporate"/>
    <x v="4"/>
    <x v="10"/>
    <x v="3"/>
    <x v="0"/>
    <x v="258"/>
    <n v="918.42"/>
    <n v="7347.36"/>
    <n v="1511.71"/>
    <n v="11851.806399999999"/>
    <n v="4504.4463999999998"/>
    <n v="0.02"/>
    <n v="0"/>
    <s v="High"/>
    <n v="0.38006412254590999"/>
    <n v="8"/>
  </r>
  <r>
    <x v="260"/>
    <x v="224"/>
    <d v="2025-05-06T00:00:00"/>
    <d v="2025-05-06T00:00:00"/>
    <n v="12"/>
    <n v="12"/>
    <n v="0"/>
    <s v="April"/>
    <s v="Q2-2025"/>
    <x v="0"/>
    <x v="1"/>
    <x v="0"/>
    <x v="1"/>
    <s v="Brasília"/>
    <s v="Consumer"/>
    <x v="3"/>
    <x v="14"/>
    <x v="23"/>
    <x v="5"/>
    <x v="259"/>
    <n v="394.13"/>
    <n v="2758.91"/>
    <n v="932.29"/>
    <n v="5814.6927299999998"/>
    <n v="3055.7827299999999"/>
    <n v="0.109"/>
    <n v="0"/>
    <s v="High"/>
    <n v="0.5255278089303268"/>
    <n v="7"/>
  </r>
  <r>
    <x v="261"/>
    <x v="44"/>
    <d v="2025-02-27T00:00:00"/>
    <d v="2025-02-27T00:00:00"/>
    <n v="12"/>
    <n v="12"/>
    <n v="0"/>
    <s v="February"/>
    <s v="Q1-2025"/>
    <x v="0"/>
    <x v="8"/>
    <x v="2"/>
    <x v="8"/>
    <s v="Lyon"/>
    <s v="Non-Profit"/>
    <x v="1"/>
    <x v="12"/>
    <x v="13"/>
    <x v="4"/>
    <x v="260"/>
    <n v="1027.26"/>
    <n v="6163.5599999999995"/>
    <n v="2200.41"/>
    <n v="12040.64352"/>
    <n v="5877.0835200000001"/>
    <n v="8.7999999999999995E-2"/>
    <n v="0"/>
    <s v="High"/>
    <n v="0.48810377204822358"/>
    <n v="6"/>
  </r>
  <r>
    <x v="262"/>
    <x v="225"/>
    <d v="2024-03-16T00:00:00"/>
    <d v="2024-03-16T00:00:00"/>
    <n v="12"/>
    <n v="12"/>
    <n v="0"/>
    <s v="March"/>
    <s v="Q1-2024"/>
    <x v="0"/>
    <x v="6"/>
    <x v="3"/>
    <x v="6"/>
    <s v="Johannesburg"/>
    <s v="Enterprise"/>
    <x v="0"/>
    <x v="1"/>
    <x v="20"/>
    <x v="1"/>
    <x v="261"/>
    <n v="441.08"/>
    <n v="2646.48"/>
    <n v="1054.29"/>
    <n v="4826.5396199999996"/>
    <n v="2180.0596199999995"/>
    <n v="0.23699999999999999"/>
    <n v="1"/>
    <s v="High"/>
    <n v="0.45168169985932899"/>
    <n v="6"/>
  </r>
  <r>
    <x v="263"/>
    <x v="226"/>
    <d v="2024-12-07T00:00:00"/>
    <d v="2024-12-07T00:00:00"/>
    <n v="12"/>
    <n v="12"/>
    <n v="0"/>
    <s v="November"/>
    <s v="Q4-2024"/>
    <x v="0"/>
    <x v="7"/>
    <x v="1"/>
    <x v="7"/>
    <s v="Shanghai"/>
    <s v="Corporate"/>
    <x v="0"/>
    <x v="3"/>
    <x v="21"/>
    <x v="4"/>
    <x v="262"/>
    <n v="769.9"/>
    <n v="3849.5"/>
    <n v="814.36"/>
    <n v="4071.8"/>
    <n v="222.30000000000018"/>
    <n v="0"/>
    <n v="0"/>
    <s v="Low"/>
    <n v="5.4595019401738831E-2"/>
    <n v="5"/>
  </r>
  <r>
    <x v="264"/>
    <x v="227"/>
    <d v="2025-08-19T00:00:00"/>
    <d v="2025-08-19T00:00:00"/>
    <n v="12"/>
    <n v="12"/>
    <n v="0"/>
    <s v="August"/>
    <s v="Q3-2025"/>
    <x v="0"/>
    <x v="9"/>
    <x v="3"/>
    <x v="9"/>
    <s v="Nakuru"/>
    <s v="Corporate"/>
    <x v="5"/>
    <x v="1"/>
    <x v="25"/>
    <x v="6"/>
    <x v="263"/>
    <n v="601.51"/>
    <n v="1804.53"/>
    <n v="679.35"/>
    <n v="1654.8966000000003"/>
    <n v="-149.63339999999971"/>
    <n v="0.188"/>
    <n v="0"/>
    <s v="Low"/>
    <n v="-9.0418579626062243E-2"/>
    <n v="3"/>
  </r>
  <r>
    <x v="265"/>
    <x v="228"/>
    <d v="2024-03-09T00:00:00"/>
    <d v="2024-03-09T00:00:00"/>
    <n v="13"/>
    <n v="13"/>
    <n v="0"/>
    <s v="February"/>
    <s v="Q1-2024"/>
    <x v="0"/>
    <x v="8"/>
    <x v="2"/>
    <x v="8"/>
    <s v="Marseille"/>
    <s v="Small Business"/>
    <x v="0"/>
    <x v="7"/>
    <x v="20"/>
    <x v="1"/>
    <x v="264"/>
    <n v="322.44"/>
    <n v="10962.96"/>
    <n v="395.61"/>
    <n v="13450.74"/>
    <n v="2487.7800000000007"/>
    <n v="0"/>
    <n v="0"/>
    <s v="Low"/>
    <n v="0.18495487980586947"/>
    <n v="34"/>
  </r>
  <r>
    <x v="266"/>
    <x v="229"/>
    <d v="2024-09-04T00:00:00"/>
    <d v="2024-09-04T00:00:00"/>
    <n v="13"/>
    <n v="13"/>
    <n v="0"/>
    <s v="August"/>
    <s v="Q3-2024"/>
    <x v="0"/>
    <x v="10"/>
    <x v="2"/>
    <x v="10"/>
    <s v="Frankfurt"/>
    <s v="Non-Profit"/>
    <x v="4"/>
    <x v="5"/>
    <x v="10"/>
    <x v="0"/>
    <x v="265"/>
    <n v="90.04"/>
    <n v="2881.28"/>
    <n v="194.62"/>
    <n v="5960.04288"/>
    <n v="3078.7628799999998"/>
    <n v="4.2999999999999997E-2"/>
    <n v="0"/>
    <s v="Low"/>
    <n v="0.51656723650954672"/>
    <n v="32"/>
  </r>
  <r>
    <x v="267"/>
    <x v="34"/>
    <d v="2025-02-04T00:00:00"/>
    <d v="2025-02-04T00:00:00"/>
    <n v="13"/>
    <n v="13"/>
    <n v="0"/>
    <s v="January"/>
    <s v="Q1-2025"/>
    <x v="1"/>
    <x v="3"/>
    <x v="1"/>
    <x v="3"/>
    <s v="Tokyo"/>
    <s v="Small Business"/>
    <x v="0"/>
    <x v="5"/>
    <x v="21"/>
    <x v="0"/>
    <x v="266"/>
    <n v="122.29"/>
    <n v="3424.1200000000003"/>
    <n v="224.95"/>
    <n v="5334.9141999999993"/>
    <n v="1910.7941999999989"/>
    <n v="0.153"/>
    <n v="0"/>
    <s v="Low"/>
    <n v="0.3581677471026618"/>
    <n v="28"/>
  </r>
  <r>
    <x v="268"/>
    <x v="230"/>
    <d v="2024-06-02T00:00:00"/>
    <d v="2024-06-02T00:00:00"/>
    <n v="13"/>
    <n v="13"/>
    <n v="0"/>
    <s v="May"/>
    <s v="Q2-2024"/>
    <x v="0"/>
    <x v="0"/>
    <x v="0"/>
    <x v="0"/>
    <s v="Vancouver"/>
    <s v="Enterprise"/>
    <x v="2"/>
    <x v="12"/>
    <x v="3"/>
    <x v="6"/>
    <x v="267"/>
    <n v="675.43"/>
    <n v="14859.46"/>
    <n v="996.36"/>
    <n v="17930.494560000003"/>
    <n v="3071.0345600000037"/>
    <n v="0.182"/>
    <n v="0"/>
    <s v="High"/>
    <n v="0.17127439233332575"/>
    <n v="22"/>
  </r>
  <r>
    <x v="269"/>
    <x v="231"/>
    <d v="2024-03-22T00:00:00"/>
    <d v="2024-03-22T00:00:00"/>
    <n v="13"/>
    <n v="13"/>
    <n v="0"/>
    <s v="March"/>
    <s v="Q1-2024"/>
    <x v="0"/>
    <x v="4"/>
    <x v="2"/>
    <x v="4"/>
    <s v="Manchester"/>
    <s v="Consumer"/>
    <x v="3"/>
    <x v="7"/>
    <x v="20"/>
    <x v="3"/>
    <x v="268"/>
    <n v="985.45"/>
    <n v="18723.55"/>
    <n v="1802.44"/>
    <n v="33938.142760000002"/>
    <n v="15214.592760000003"/>
    <n v="8.9999999999999993E-3"/>
    <n v="0"/>
    <s v="High"/>
    <n v="0.44830363486867486"/>
    <n v="19"/>
  </r>
  <r>
    <x v="270"/>
    <x v="13"/>
    <d v="2023-05-20T00:00:00"/>
    <d v="2023-05-20T00:00:00"/>
    <n v="13"/>
    <n v="13"/>
    <n v="0"/>
    <s v="May"/>
    <s v="Q2-2023"/>
    <x v="0"/>
    <x v="1"/>
    <x v="1"/>
    <x v="11"/>
    <s v="Mumbai"/>
    <s v="Enterprise"/>
    <x v="4"/>
    <x v="9"/>
    <x v="2"/>
    <x v="4"/>
    <x v="269"/>
    <n v="1443.28"/>
    <n v="25979.040000000001"/>
    <n v="2580.5700000000002"/>
    <n v="46450.26"/>
    <n v="20471.22"/>
    <n v="0"/>
    <n v="0"/>
    <s v="High"/>
    <n v="0.4407127107577008"/>
    <n v="18"/>
  </r>
  <r>
    <x v="271"/>
    <x v="59"/>
    <d v="2024-01-01T00:00:00"/>
    <d v="2024-01-01T00:00:00"/>
    <n v="13"/>
    <n v="13"/>
    <n v="0"/>
    <s v="December"/>
    <s v="Q4-2023"/>
    <x v="0"/>
    <x v="0"/>
    <x v="0"/>
    <x v="0"/>
    <s v="Toronto"/>
    <s v="Enterprise"/>
    <x v="4"/>
    <x v="12"/>
    <x v="18"/>
    <x v="1"/>
    <x v="270"/>
    <n v="856.1"/>
    <n v="14553.7"/>
    <n v="901.48"/>
    <n v="14466.95104"/>
    <n v="-86.748960000000807"/>
    <n v="5.6000000000000001E-2"/>
    <n v="0"/>
    <s v="High"/>
    <n v="-5.9963540182134192E-3"/>
    <n v="17"/>
  </r>
  <r>
    <x v="272"/>
    <x v="22"/>
    <d v="2024-01-15T00:00:00"/>
    <d v="2024-01-15T00:00:00"/>
    <n v="13"/>
    <n v="13"/>
    <n v="0"/>
    <s v="January"/>
    <s v="Q1-2024"/>
    <x v="1"/>
    <x v="3"/>
    <x v="1"/>
    <x v="3"/>
    <s v="Nagoya"/>
    <s v="Small Business"/>
    <x v="2"/>
    <x v="2"/>
    <x v="12"/>
    <x v="2"/>
    <x v="271"/>
    <n v="1219.06"/>
    <n v="19504.96"/>
    <n v="2738.69"/>
    <n v="40488.792960000006"/>
    <n v="20983.832960000007"/>
    <n v="7.5999999999999998E-2"/>
    <n v="0"/>
    <s v="High"/>
    <n v="0.51826274447673737"/>
    <n v="16"/>
  </r>
  <r>
    <x v="273"/>
    <x v="232"/>
    <d v="2023-04-16T00:00:00"/>
    <d v="2023-04-16T00:00:00"/>
    <n v="13"/>
    <n v="13"/>
    <n v="0"/>
    <s v="April"/>
    <s v="Q2-2023"/>
    <x v="0"/>
    <x v="8"/>
    <x v="2"/>
    <x v="8"/>
    <s v="Marseille"/>
    <s v="Non-Profit"/>
    <x v="2"/>
    <x v="1"/>
    <x v="28"/>
    <x v="4"/>
    <x v="272"/>
    <n v="790.54"/>
    <n v="11858.099999999999"/>
    <n v="601.49"/>
    <n v="9022.35"/>
    <n v="-2835.7499999999982"/>
    <n v="0"/>
    <n v="0"/>
    <s v="Low"/>
    <n v="-0.31430281467688553"/>
    <n v="15"/>
  </r>
  <r>
    <x v="274"/>
    <x v="233"/>
    <d v="2025-08-16T00:00:00"/>
    <d v="2025-08-16T00:00:00"/>
    <n v="13"/>
    <n v="13"/>
    <n v="0"/>
    <s v="August"/>
    <s v="Q3-2025"/>
    <x v="0"/>
    <x v="0"/>
    <x v="0"/>
    <x v="0"/>
    <s v="Montreal"/>
    <s v="Enterprise"/>
    <x v="0"/>
    <x v="4"/>
    <x v="4"/>
    <x v="2"/>
    <x v="273"/>
    <n v="698.66"/>
    <n v="10479.9"/>
    <n v="868.62"/>
    <n v="12091.190399999999"/>
    <n v="1611.2903999999999"/>
    <n v="7.1999999999999995E-2"/>
    <n v="0"/>
    <s v="High"/>
    <n v="0.13326151906432637"/>
    <n v="15"/>
  </r>
  <r>
    <x v="275"/>
    <x v="234"/>
    <d v="2024-11-24T00:00:00"/>
    <d v="2024-11-24T00:00:00"/>
    <n v="13"/>
    <n v="13"/>
    <n v="0"/>
    <s v="November"/>
    <s v="Q4-2024"/>
    <x v="0"/>
    <x v="4"/>
    <x v="2"/>
    <x v="4"/>
    <s v="London"/>
    <s v="Corporate"/>
    <x v="4"/>
    <x v="7"/>
    <x v="15"/>
    <x v="2"/>
    <x v="274"/>
    <n v="164.53"/>
    <n v="2303.42"/>
    <n v="327.72"/>
    <n v="4280.6786400000001"/>
    <n v="1977.25864"/>
    <n v="6.7000000000000004E-2"/>
    <n v="0"/>
    <s v="Low"/>
    <n v="0.46190307805960412"/>
    <n v="14"/>
  </r>
  <r>
    <x v="276"/>
    <x v="235"/>
    <d v="2024-05-18T00:00:00"/>
    <d v="2024-05-18T00:00:00"/>
    <n v="13"/>
    <n v="13"/>
    <n v="0"/>
    <s v="May"/>
    <s v="Q2-2024"/>
    <x v="0"/>
    <x v="8"/>
    <x v="2"/>
    <x v="8"/>
    <s v="Marseille"/>
    <s v="Corporate"/>
    <x v="2"/>
    <x v="3"/>
    <x v="8"/>
    <x v="6"/>
    <x v="275"/>
    <n v="1264.04"/>
    <n v="16432.52"/>
    <n v="1870.89"/>
    <n v="24321.57"/>
    <n v="7889.0499999999993"/>
    <n v="0"/>
    <n v="0"/>
    <s v="High"/>
    <n v="0.32436433996653996"/>
    <n v="13"/>
  </r>
  <r>
    <x v="277"/>
    <x v="236"/>
    <d v="2023-03-08T00:00:00"/>
    <d v="2023-03-08T00:00:00"/>
    <n v="13"/>
    <n v="13"/>
    <n v="0"/>
    <s v="February"/>
    <s v="Q1-2023"/>
    <x v="0"/>
    <x v="4"/>
    <x v="2"/>
    <x v="4"/>
    <s v="Manchester"/>
    <s v="Small Business"/>
    <x v="1"/>
    <x v="14"/>
    <x v="11"/>
    <x v="0"/>
    <x v="276"/>
    <n v="307.37"/>
    <n v="3381.07"/>
    <n v="462.61"/>
    <n v="4132.0325200000007"/>
    <n v="750.9625200000005"/>
    <n v="0.188"/>
    <n v="0"/>
    <s v="Low"/>
    <n v="0.18174167709599739"/>
    <n v="11"/>
  </r>
  <r>
    <x v="278"/>
    <x v="237"/>
    <d v="2024-01-23T00:00:00"/>
    <d v="2024-01-23T00:00:00"/>
    <n v="13"/>
    <n v="13"/>
    <n v="0"/>
    <s v="January"/>
    <s v="Q1-2024"/>
    <x v="0"/>
    <x v="8"/>
    <x v="2"/>
    <x v="8"/>
    <s v="Marseille"/>
    <s v="Corporate"/>
    <x v="1"/>
    <x v="3"/>
    <x v="19"/>
    <x v="0"/>
    <x v="277"/>
    <n v="720"/>
    <n v="7200"/>
    <n v="907.59"/>
    <n v="7678.2113999999992"/>
    <n v="478.21139999999923"/>
    <n v="0.154"/>
    <n v="0"/>
    <s v="High"/>
    <n v="6.2281614179052078E-2"/>
    <n v="10"/>
  </r>
  <r>
    <x v="279"/>
    <x v="238"/>
    <d v="2023-03-09T00:00:00"/>
    <d v="2023-03-09T00:00:00"/>
    <n v="13"/>
    <n v="13"/>
    <n v="0"/>
    <s v="February"/>
    <s v="Q1-2023"/>
    <x v="0"/>
    <x v="2"/>
    <x v="0"/>
    <x v="2"/>
    <s v="New York"/>
    <s v="Enterprise"/>
    <x v="3"/>
    <x v="1"/>
    <x v="11"/>
    <x v="6"/>
    <x v="278"/>
    <n v="6.85"/>
    <n v="68.5"/>
    <n v="10.18"/>
    <n v="97.0154"/>
    <n v="28.5154"/>
    <n v="4.7E-2"/>
    <n v="0"/>
    <s v="Low"/>
    <n v="0.2939265312517394"/>
    <n v="10"/>
  </r>
  <r>
    <x v="280"/>
    <x v="145"/>
    <d v="2024-06-15T00:00:00"/>
    <d v="2024-06-15T00:00:00"/>
    <n v="13"/>
    <n v="13"/>
    <n v="0"/>
    <s v="June"/>
    <s v="Q2-2024"/>
    <x v="0"/>
    <x v="9"/>
    <x v="3"/>
    <x v="9"/>
    <s v="Mombasa"/>
    <s v="Education"/>
    <x v="3"/>
    <x v="4"/>
    <x v="3"/>
    <x v="5"/>
    <x v="279"/>
    <n v="1295.18"/>
    <n v="10361.44"/>
    <n v="3024.03"/>
    <n v="19547.329920000004"/>
    <n v="9185.8899200000033"/>
    <n v="0.192"/>
    <n v="0"/>
    <s v="High"/>
    <n v="0.46993067378483178"/>
    <n v="8"/>
  </r>
  <r>
    <x v="281"/>
    <x v="209"/>
    <d v="2025-05-30T00:00:00"/>
    <d v="2025-05-30T00:00:00"/>
    <n v="13"/>
    <n v="13"/>
    <n v="0"/>
    <s v="May"/>
    <s v="Q2-2025"/>
    <x v="0"/>
    <x v="5"/>
    <x v="3"/>
    <x v="5"/>
    <s v="Lagos"/>
    <s v="Consumer"/>
    <x v="0"/>
    <x v="0"/>
    <x v="0"/>
    <x v="4"/>
    <x v="280"/>
    <n v="66.400000000000006"/>
    <n v="531.20000000000005"/>
    <n v="141.43"/>
    <n v="1010.3759200000001"/>
    <n v="479.17592000000002"/>
    <n v="0.107"/>
    <n v="0"/>
    <s v="Low"/>
    <n v="0.47425508715607551"/>
    <n v="8"/>
  </r>
  <r>
    <x v="282"/>
    <x v="239"/>
    <d v="2025-01-20T00:00:00"/>
    <d v="2025-01-20T00:00:00"/>
    <n v="13"/>
    <n v="13"/>
    <n v="0"/>
    <s v="January"/>
    <s v="Q1-2025"/>
    <x v="0"/>
    <x v="6"/>
    <x v="3"/>
    <x v="6"/>
    <s v="Cape Town"/>
    <s v="Corporate"/>
    <x v="1"/>
    <x v="12"/>
    <x v="22"/>
    <x v="2"/>
    <x v="281"/>
    <n v="432.13"/>
    <n v="3024.91"/>
    <n v="1034.6600000000001"/>
    <n v="6576.298960000001"/>
    <n v="3551.3889600000011"/>
    <n v="9.1999999999999998E-2"/>
    <n v="0"/>
    <s v="High"/>
    <n v="0.54002851476204794"/>
    <n v="7"/>
  </r>
  <r>
    <x v="283"/>
    <x v="240"/>
    <d v="2024-08-17T00:00:00"/>
    <d v="2024-08-17T00:00:00"/>
    <n v="13"/>
    <n v="13"/>
    <n v="0"/>
    <s v="August"/>
    <s v="Q3-2024"/>
    <x v="0"/>
    <x v="2"/>
    <x v="0"/>
    <x v="2"/>
    <s v="Austin"/>
    <s v="Consumer"/>
    <x v="4"/>
    <x v="9"/>
    <x v="1"/>
    <x v="1"/>
    <x v="282"/>
    <n v="352.79"/>
    <n v="2469.5300000000002"/>
    <n v="754.22"/>
    <n v="4682.9519799999998"/>
    <n v="2213.4219799999996"/>
    <n v="0.113"/>
    <n v="0"/>
    <s v="Low"/>
    <n v="0.47265528014233443"/>
    <n v="7"/>
  </r>
  <r>
    <x v="284"/>
    <x v="241"/>
    <d v="2025-08-06T00:00:00"/>
    <d v="2025-08-06T00:00:00"/>
    <n v="13"/>
    <n v="13"/>
    <n v="0"/>
    <s v="July"/>
    <s v="Q3-2025"/>
    <x v="0"/>
    <x v="6"/>
    <x v="3"/>
    <x v="6"/>
    <s v="Johannesburg"/>
    <s v="Education"/>
    <x v="2"/>
    <x v="9"/>
    <x v="25"/>
    <x v="2"/>
    <x v="283"/>
    <n v="1463.9"/>
    <n v="5855.6"/>
    <n v="2633.02"/>
    <n v="9647.3852800000004"/>
    <n v="3791.7852800000001"/>
    <n v="8.4000000000000005E-2"/>
    <n v="0"/>
    <s v="High"/>
    <n v="0.39303761277791527"/>
    <n v="4"/>
  </r>
  <r>
    <x v="285"/>
    <x v="242"/>
    <d v="2023-05-16T00:00:00"/>
    <d v="2023-05-16T00:00:00"/>
    <n v="13"/>
    <n v="13"/>
    <n v="0"/>
    <s v="May"/>
    <s v="Q2-2023"/>
    <x v="0"/>
    <x v="2"/>
    <x v="0"/>
    <x v="2"/>
    <s v="New York"/>
    <s v="Corporate"/>
    <x v="2"/>
    <x v="5"/>
    <x v="2"/>
    <x v="5"/>
    <x v="284"/>
    <n v="64.5"/>
    <n v="193.5"/>
    <n v="123.62"/>
    <n v="370.86"/>
    <n v="177.36"/>
    <n v="0"/>
    <n v="0"/>
    <s v="Low"/>
    <n v="0.47823976702798904"/>
    <n v="3"/>
  </r>
  <r>
    <x v="286"/>
    <x v="243"/>
    <d v="2023-02-03T00:00:00"/>
    <d v="2023-02-03T00:00:00"/>
    <n v="14"/>
    <n v="14"/>
    <n v="0"/>
    <s v="January"/>
    <s v="Q1-2023"/>
    <x v="0"/>
    <x v="9"/>
    <x v="3"/>
    <x v="9"/>
    <s v="Kisumu"/>
    <s v="Corporate"/>
    <x v="4"/>
    <x v="1"/>
    <x v="5"/>
    <x v="2"/>
    <x v="285"/>
    <n v="884.36"/>
    <n v="36258.76"/>
    <n v="1545.34"/>
    <n v="47962.717579999997"/>
    <n v="11703.957579999995"/>
    <n v="0.24299999999999999"/>
    <n v="1"/>
    <s v="High"/>
    <n v="0.24402198562827965"/>
    <n v="41"/>
  </r>
  <r>
    <x v="287"/>
    <x v="244"/>
    <d v="2024-03-03T00:00:00"/>
    <d v="2024-03-03T00:00:00"/>
    <n v="14"/>
    <n v="14"/>
    <n v="0"/>
    <s v="February"/>
    <s v="Q1-2024"/>
    <x v="0"/>
    <x v="1"/>
    <x v="0"/>
    <x v="1"/>
    <m/>
    <s v="Enterprise"/>
    <x v="0"/>
    <x v="3"/>
    <x v="19"/>
    <x v="0"/>
    <x v="286"/>
    <n v="624.23"/>
    <n v="23096.510000000002"/>
    <n v="1318.37"/>
    <n v="38535.955099999999"/>
    <n v="15439.445099999997"/>
    <n v="0.21"/>
    <n v="1"/>
    <s v="High"/>
    <n v="0.40065038118128793"/>
    <n v="37"/>
  </r>
  <r>
    <x v="288"/>
    <x v="245"/>
    <d v="2024-05-28T00:00:00"/>
    <d v="2024-05-28T00:00:00"/>
    <n v="14"/>
    <n v="14"/>
    <n v="0"/>
    <s v="May"/>
    <s v="Q2-2024"/>
    <x v="0"/>
    <x v="4"/>
    <x v="2"/>
    <x v="4"/>
    <s v="Birmingham"/>
    <s v="Consumer"/>
    <x v="4"/>
    <x v="11"/>
    <x v="8"/>
    <x v="2"/>
    <x v="287"/>
    <n v="1421.14"/>
    <n v="44055.340000000004"/>
    <n v="3524"/>
    <n v="109244"/>
    <n v="65188.659999999996"/>
    <n v="0"/>
    <n v="0"/>
    <s v="High"/>
    <n v="0.59672531214528945"/>
    <n v="31"/>
  </r>
  <r>
    <x v="289"/>
    <x v="167"/>
    <d v="2025-07-11T00:00:00"/>
    <d v="2025-07-11T00:00:00"/>
    <n v="14"/>
    <n v="14"/>
    <n v="0"/>
    <s v="June"/>
    <s v="Q2-2025"/>
    <x v="0"/>
    <x v="7"/>
    <x v="1"/>
    <x v="7"/>
    <s v="Shanghai"/>
    <s v="Small Business"/>
    <x v="2"/>
    <x v="5"/>
    <x v="29"/>
    <x v="2"/>
    <x v="288"/>
    <n v="1227.7"/>
    <n v="27009.4"/>
    <n v="2197.23"/>
    <n v="43553.493060000001"/>
    <n v="16544.093059999999"/>
    <n v="9.9000000000000005E-2"/>
    <n v="0"/>
    <s v="High"/>
    <n v="0.37985685871873898"/>
    <n v="22"/>
  </r>
  <r>
    <x v="290"/>
    <x v="246"/>
    <d v="2023-05-16T00:00:00"/>
    <d v="2023-05-16T00:00:00"/>
    <n v="14"/>
    <n v="14"/>
    <n v="0"/>
    <s v="May"/>
    <s v="Q2-2023"/>
    <x v="0"/>
    <x v="1"/>
    <x v="1"/>
    <x v="11"/>
    <s v="Bengaluru"/>
    <s v="Non-Profit"/>
    <x v="4"/>
    <x v="5"/>
    <x v="2"/>
    <x v="1"/>
    <x v="289"/>
    <n v="475.37"/>
    <n v="10458.14"/>
    <n v="963.73"/>
    <n v="20332.775539999999"/>
    <n v="9874.6355399999993"/>
    <n v="4.1000000000000002E-2"/>
    <n v="0"/>
    <s v="High"/>
    <n v="0.48565113604750881"/>
    <n v="22"/>
  </r>
  <r>
    <x v="291"/>
    <x v="247"/>
    <d v="2025-05-26T00:00:00"/>
    <d v="2025-05-26T00:00:00"/>
    <n v="14"/>
    <n v="14"/>
    <n v="0"/>
    <s v="May"/>
    <s v="Q2-2025"/>
    <x v="0"/>
    <x v="1"/>
    <x v="1"/>
    <x v="11"/>
    <s v="Hyderabad"/>
    <s v="Corporate"/>
    <x v="2"/>
    <x v="2"/>
    <x v="9"/>
    <x v="0"/>
    <x v="290"/>
    <n v="320.12"/>
    <n v="5762.16"/>
    <n v="594.41999999999996"/>
    <n v="9586.8057599999993"/>
    <n v="3824.6457599999994"/>
    <n v="0.104"/>
    <n v="0"/>
    <s v="Low"/>
    <n v="0.39894891538931104"/>
    <n v="18"/>
  </r>
  <r>
    <x v="292"/>
    <x v="248"/>
    <d v="2023-12-16T00:00:00"/>
    <d v="2023-12-16T00:00:00"/>
    <n v="14"/>
    <n v="14"/>
    <n v="0"/>
    <s v="December"/>
    <s v="Q4-2023"/>
    <x v="0"/>
    <x v="10"/>
    <x v="2"/>
    <x v="10"/>
    <s v="Frankfurt"/>
    <s v="Education"/>
    <x v="1"/>
    <x v="6"/>
    <x v="17"/>
    <x v="1"/>
    <x v="291"/>
    <n v="879.08"/>
    <n v="14944.36"/>
    <n v="1093.3900000000001"/>
    <n v="16487.22781"/>
    <n v="1542.8678099999997"/>
    <n v="0.113"/>
    <n v="0"/>
    <s v="High"/>
    <n v="9.3579577341935186E-2"/>
    <n v="17"/>
  </r>
  <r>
    <x v="293"/>
    <x v="211"/>
    <d v="2024-06-06T00:00:00"/>
    <d v="2024-06-06T00:00:00"/>
    <n v="14"/>
    <n v="14"/>
    <n v="0"/>
    <s v="May"/>
    <s v="Q2-2024"/>
    <x v="0"/>
    <x v="1"/>
    <x v="0"/>
    <x v="1"/>
    <s v="Rio de Janeiro"/>
    <s v="Non-Profit"/>
    <x v="3"/>
    <x v="13"/>
    <x v="8"/>
    <x v="2"/>
    <x v="292"/>
    <n v="51.13"/>
    <n v="818.08"/>
    <n v="57.53"/>
    <n v="879.05840000000001"/>
    <n v="60.978399999999965"/>
    <n v="4.4999999999999998E-2"/>
    <n v="0"/>
    <s v="Low"/>
    <n v="6.9367859973808302E-2"/>
    <n v="16"/>
  </r>
  <r>
    <x v="294"/>
    <x v="249"/>
    <d v="2025-01-12T00:00:00"/>
    <d v="2025-01-12T00:00:00"/>
    <n v="14"/>
    <n v="14"/>
    <n v="0"/>
    <s v="December"/>
    <s v="Q4-2024"/>
    <x v="0"/>
    <x v="4"/>
    <x v="2"/>
    <x v="4"/>
    <s v="Manchester"/>
    <s v="Corporate"/>
    <x v="1"/>
    <x v="11"/>
    <x v="26"/>
    <x v="1"/>
    <x v="293"/>
    <n v="1399.72"/>
    <n v="16796.64"/>
    <n v="3149.21"/>
    <n v="30799.273800000003"/>
    <n v="14002.633800000003"/>
    <n v="0.185"/>
    <n v="0"/>
    <s v="High"/>
    <n v="0.45464168703873797"/>
    <n v="12"/>
  </r>
  <r>
    <x v="295"/>
    <x v="250"/>
    <d v="2023-07-04T00:00:00"/>
    <d v="2023-07-04T00:00:00"/>
    <n v="14"/>
    <n v="14"/>
    <n v="0"/>
    <s v="June"/>
    <s v="Q2-2023"/>
    <x v="0"/>
    <x v="1"/>
    <x v="0"/>
    <x v="1"/>
    <s v="Brasília"/>
    <s v="Non-Profit"/>
    <x v="1"/>
    <x v="14"/>
    <x v="14"/>
    <x v="2"/>
    <x v="294"/>
    <n v="1292.8599999999999"/>
    <n v="15514.32"/>
    <n v="2981.01"/>
    <n v="30692.47896"/>
    <n v="15178.158960000001"/>
    <n v="0.14199999999999999"/>
    <n v="0"/>
    <s v="High"/>
    <n v="0.49452372288927687"/>
    <n v="12"/>
  </r>
  <r>
    <x v="296"/>
    <x v="44"/>
    <d v="2025-03-01T00:00:00"/>
    <d v="2025-03-01T00:00:00"/>
    <n v="14"/>
    <n v="14"/>
    <n v="0"/>
    <s v="February"/>
    <s v="Q1-2025"/>
    <x v="0"/>
    <x v="9"/>
    <x v="3"/>
    <x v="9"/>
    <s v="Mombasa"/>
    <s v="Education"/>
    <x v="1"/>
    <x v="5"/>
    <x v="22"/>
    <x v="4"/>
    <x v="295"/>
    <n v="1162.8599999999999"/>
    <n v="13954.32"/>
    <n v="1447.68"/>
    <n v="15860.782080000001"/>
    <n v="1906.4620800000012"/>
    <n v="8.6999999999999994E-2"/>
    <n v="0"/>
    <s v="High"/>
    <n v="0.12019975247021369"/>
    <n v="12"/>
  </r>
  <r>
    <x v="297"/>
    <x v="251"/>
    <d v="2024-03-16T00:00:00"/>
    <d v="2024-03-16T00:00:00"/>
    <n v="14"/>
    <n v="14"/>
    <n v="0"/>
    <s v="March"/>
    <s v="Q1-2024"/>
    <x v="0"/>
    <x v="0"/>
    <x v="0"/>
    <x v="0"/>
    <s v="Vancouver"/>
    <s v="Non-Profit"/>
    <x v="1"/>
    <x v="4"/>
    <x v="31"/>
    <x v="0"/>
    <x v="296"/>
    <n v="248.24"/>
    <n v="2730.6400000000003"/>
    <n v="464.05"/>
    <n v="4241.88105"/>
    <n v="1511.2410499999996"/>
    <n v="0.16900000000000001"/>
    <n v="0"/>
    <s v="Low"/>
    <n v="0.3562667203975462"/>
    <n v="11"/>
  </r>
  <r>
    <x v="298"/>
    <x v="252"/>
    <d v="2025-02-03T00:00:00"/>
    <d v="2025-02-03T00:00:00"/>
    <n v="14"/>
    <n v="14"/>
    <n v="0"/>
    <s v="January"/>
    <s v="Q1-2025"/>
    <x v="0"/>
    <x v="1"/>
    <x v="0"/>
    <x v="1"/>
    <s v="Brasília"/>
    <s v="Enterprise"/>
    <x v="2"/>
    <x v="0"/>
    <x v="26"/>
    <x v="6"/>
    <x v="297"/>
    <n v="974.11"/>
    <n v="9741.1"/>
    <n v="880.99"/>
    <n v="7832.0010999999995"/>
    <n v="-1909.0989000000009"/>
    <n v="0.111"/>
    <n v="0"/>
    <s v="High"/>
    <n v="-0.2437562093805121"/>
    <n v="10"/>
  </r>
  <r>
    <x v="299"/>
    <x v="253"/>
    <d v="2023-08-22T00:00:00"/>
    <d v="2023-08-22T00:00:00"/>
    <n v="14"/>
    <n v="14"/>
    <n v="0"/>
    <s v="August"/>
    <s v="Q3-2023"/>
    <x v="0"/>
    <x v="4"/>
    <x v="2"/>
    <x v="4"/>
    <s v="Birmingham"/>
    <s v="Non-Profit"/>
    <x v="1"/>
    <x v="6"/>
    <x v="16"/>
    <x v="1"/>
    <x v="298"/>
    <n v="446.69"/>
    <n v="4466.8999999999996"/>
    <n v="967.25"/>
    <n v="8763.2849999999999"/>
    <n v="4296.3850000000002"/>
    <n v="9.4E-2"/>
    <n v="0"/>
    <s v="High"/>
    <n v="0.49027105702941309"/>
    <n v="10"/>
  </r>
  <r>
    <x v="300"/>
    <x v="80"/>
    <d v="2024-02-08T00:00:00"/>
    <d v="2024-02-08T00:00:00"/>
    <n v="14"/>
    <n v="14"/>
    <n v="0"/>
    <s v="January"/>
    <s v="Q1-2024"/>
    <x v="1"/>
    <x v="3"/>
    <x v="1"/>
    <x v="3"/>
    <s v="Osaka"/>
    <s v="Consumer"/>
    <x v="2"/>
    <x v="13"/>
    <x v="17"/>
    <x v="2"/>
    <x v="299"/>
    <n v="937.16"/>
    <n v="8434.44"/>
    <n v="1069.77"/>
    <n v="9262.0686600000008"/>
    <n v="827.62866000000031"/>
    <n v="3.7999999999999999E-2"/>
    <n v="0"/>
    <s v="High"/>
    <n v="8.9356783066645962E-2"/>
    <n v="9"/>
  </r>
  <r>
    <x v="301"/>
    <x v="254"/>
    <d v="2025-03-29T00:00:00"/>
    <d v="2025-03-29T00:00:00"/>
    <n v="14"/>
    <n v="14"/>
    <n v="0"/>
    <s v="March"/>
    <s v="Q1-2025"/>
    <x v="0"/>
    <x v="1"/>
    <x v="1"/>
    <x v="11"/>
    <s v="Mumbai"/>
    <s v="Enterprise"/>
    <x v="1"/>
    <x v="14"/>
    <x v="13"/>
    <x v="6"/>
    <x v="300"/>
    <n v="935.83"/>
    <n v="8422.4700000000012"/>
    <n v="2303.46"/>
    <n v="18554.370299999999"/>
    <n v="10131.900299999998"/>
    <n v="0.105"/>
    <n v="0"/>
    <s v="High"/>
    <n v="0.54606543559174292"/>
    <n v="9"/>
  </r>
  <r>
    <x v="302"/>
    <x v="255"/>
    <d v="2024-06-13T00:00:00"/>
    <d v="2024-06-13T00:00:00"/>
    <n v="14"/>
    <n v="14"/>
    <n v="0"/>
    <s v="May"/>
    <s v="Q2-2024"/>
    <x v="0"/>
    <x v="2"/>
    <x v="0"/>
    <x v="2"/>
    <s v="San Francisco"/>
    <s v="Small Business"/>
    <x v="4"/>
    <x v="0"/>
    <x v="3"/>
    <x v="5"/>
    <x v="301"/>
    <n v="157.78"/>
    <n v="1420.02"/>
    <n v="361.1"/>
    <n v="2642.1686999999997"/>
    <n v="1222.1486999999997"/>
    <n v="0.187"/>
    <n v="0"/>
    <s v="Low"/>
    <n v="0.46255513510549112"/>
    <n v="9"/>
  </r>
  <r>
    <x v="303"/>
    <x v="256"/>
    <d v="2023-01-26T00:00:00"/>
    <d v="2023-01-26T00:00:00"/>
    <n v="14"/>
    <n v="14"/>
    <n v="0"/>
    <s v="January"/>
    <s v="Q1-2023"/>
    <x v="0"/>
    <x v="7"/>
    <x v="1"/>
    <x v="7"/>
    <s v="Shenzhen"/>
    <s v="Non-Profit"/>
    <x v="4"/>
    <x v="1"/>
    <x v="5"/>
    <x v="0"/>
    <x v="302"/>
    <n v="1083.0899999999999"/>
    <n v="8664.7199999999993"/>
    <n v="1425.87"/>
    <n v="11406.96"/>
    <n v="2742.24"/>
    <n v="0"/>
    <n v="0"/>
    <s v="High"/>
    <n v="0.24040059752992909"/>
    <n v="8"/>
  </r>
  <r>
    <x v="304"/>
    <x v="257"/>
    <d v="2023-09-04T00:00:00"/>
    <d v="2023-09-04T00:00:00"/>
    <n v="14"/>
    <n v="14"/>
    <n v="0"/>
    <s v="August"/>
    <s v="Q3-2023"/>
    <x v="0"/>
    <x v="0"/>
    <x v="0"/>
    <x v="0"/>
    <s v="Montreal"/>
    <s v="Education"/>
    <x v="0"/>
    <x v="0"/>
    <x v="30"/>
    <x v="6"/>
    <x v="303"/>
    <n v="178.19"/>
    <n v="1425.52"/>
    <n v="284.43"/>
    <n v="2072.9258400000003"/>
    <n v="647.40584000000035"/>
    <n v="8.8999999999999996E-2"/>
    <n v="0"/>
    <s v="Low"/>
    <n v="0.31231500302972742"/>
    <n v="8"/>
  </r>
  <r>
    <x v="305"/>
    <x v="258"/>
    <d v="2024-09-02T00:00:00"/>
    <d v="2024-09-02T00:00:00"/>
    <n v="14"/>
    <n v="14"/>
    <n v="0"/>
    <s v="August"/>
    <s v="Q3-2024"/>
    <x v="0"/>
    <x v="0"/>
    <x v="0"/>
    <x v="0"/>
    <s v="Toronto"/>
    <s v="Consumer"/>
    <x v="0"/>
    <x v="14"/>
    <x v="10"/>
    <x v="0"/>
    <x v="304"/>
    <n v="1337.01"/>
    <n v="9359.07"/>
    <n v="1269.78"/>
    <n v="7466.3063999999986"/>
    <n v="-1892.7636000000011"/>
    <n v="0.16"/>
    <n v="0"/>
    <s v="High"/>
    <n v="-0.25350735672996244"/>
    <n v="7"/>
  </r>
  <r>
    <x v="306"/>
    <x v="153"/>
    <d v="2023-10-09T00:00:00"/>
    <d v="2023-10-09T00:00:00"/>
    <n v="14"/>
    <n v="14"/>
    <n v="0"/>
    <s v="September"/>
    <s v="Q3-2023"/>
    <x v="0"/>
    <x v="2"/>
    <x v="0"/>
    <x v="2"/>
    <s v="New York"/>
    <s v="Small Business"/>
    <x v="2"/>
    <x v="10"/>
    <x v="27"/>
    <x v="3"/>
    <x v="305"/>
    <n v="1279.56"/>
    <n v="6397.7999999999993"/>
    <n v="3083.8"/>
    <n v="13784.586000000001"/>
    <n v="7386.7860000000019"/>
    <n v="0.106"/>
    <n v="0"/>
    <s v="High"/>
    <n v="0.53587289455047848"/>
    <n v="5"/>
  </r>
  <r>
    <x v="307"/>
    <x v="8"/>
    <d v="2024-07-14T00:00:00"/>
    <d v="2024-07-14T00:00:00"/>
    <n v="14"/>
    <n v="14"/>
    <n v="0"/>
    <s v="June"/>
    <s v="Q2-2024"/>
    <x v="0"/>
    <x v="1"/>
    <x v="0"/>
    <x v="1"/>
    <s v="Brasília"/>
    <s v="Education"/>
    <x v="4"/>
    <x v="14"/>
    <x v="6"/>
    <x v="4"/>
    <x v="306"/>
    <n v="1491.85"/>
    <n v="5967.4"/>
    <n v="2583.02"/>
    <n v="8596.2905599999995"/>
    <n v="2628.8905599999998"/>
    <n v="0.16800000000000001"/>
    <n v="0"/>
    <s v="High"/>
    <n v="0.30581685689321325"/>
    <n v="4"/>
  </r>
  <r>
    <x v="308"/>
    <x v="259"/>
    <d v="2024-04-11T00:00:00"/>
    <d v="2024-04-11T00:00:00"/>
    <n v="15"/>
    <n v="15"/>
    <n v="0"/>
    <s v="March"/>
    <s v="Q1-2024"/>
    <x v="0"/>
    <x v="2"/>
    <x v="0"/>
    <x v="2"/>
    <s v="San Francisco"/>
    <s v="Small Business"/>
    <x v="1"/>
    <x v="4"/>
    <x v="31"/>
    <x v="2"/>
    <x v="307"/>
    <n v="1338.35"/>
    <n v="53534"/>
    <n v="2247.14"/>
    <n v="79548.755999999994"/>
    <n v="26014.755999999994"/>
    <n v="0.115"/>
    <n v="0"/>
    <s v="High"/>
    <n v="0.32702907384246205"/>
    <n v="40"/>
  </r>
  <r>
    <x v="309"/>
    <x v="260"/>
    <d v="2025-07-11T00:00:00"/>
    <d v="2025-07-11T00:00:00"/>
    <n v="15"/>
    <n v="15"/>
    <n v="0"/>
    <s v="June"/>
    <s v="Q2-2025"/>
    <x v="0"/>
    <x v="5"/>
    <x v="3"/>
    <x v="5"/>
    <s v="Port Harcourt"/>
    <s v="Small Business"/>
    <x v="3"/>
    <x v="3"/>
    <x v="29"/>
    <x v="3"/>
    <x v="308"/>
    <n v="1170.1500000000001"/>
    <n v="26913.45"/>
    <n v="2115.19"/>
    <n v="44173.627960000005"/>
    <n v="17260.177960000005"/>
    <n v="9.1999999999999998E-2"/>
    <n v="0"/>
    <s v="High"/>
    <n v="0.39073489674946776"/>
    <n v="23"/>
  </r>
  <r>
    <x v="310"/>
    <x v="171"/>
    <d v="2025-06-24T00:00:00"/>
    <d v="2025-06-24T00:00:00"/>
    <n v="15"/>
    <n v="15"/>
    <n v="0"/>
    <s v="June"/>
    <s v="Q2-2025"/>
    <x v="1"/>
    <x v="3"/>
    <x v="1"/>
    <x v="3"/>
    <s v="Nagoya"/>
    <s v="Corporate"/>
    <x v="1"/>
    <x v="11"/>
    <x v="9"/>
    <x v="5"/>
    <x v="309"/>
    <n v="400.39"/>
    <n v="7607.41"/>
    <n v="712.75"/>
    <n v="11984.891250000001"/>
    <n v="4377.4812500000007"/>
    <n v="0.115"/>
    <n v="0"/>
    <s v="Low"/>
    <n v="0.36524997671547504"/>
    <n v="19"/>
  </r>
  <r>
    <x v="311"/>
    <x v="244"/>
    <d v="2024-03-04T00:00:00"/>
    <d v="2024-03-04T00:00:00"/>
    <n v="15"/>
    <n v="15"/>
    <n v="0"/>
    <s v="February"/>
    <s v="Q1-2024"/>
    <x v="0"/>
    <x v="9"/>
    <x v="3"/>
    <x v="9"/>
    <s v="Kisumu"/>
    <s v="Education"/>
    <x v="1"/>
    <x v="12"/>
    <x v="19"/>
    <x v="0"/>
    <x v="310"/>
    <n v="928.68"/>
    <n v="14858.88"/>
    <n v="2145.17"/>
    <n v="29654.83008"/>
    <n v="14795.950080000001"/>
    <n v="0.13600000000000001"/>
    <n v="0"/>
    <s v="High"/>
    <n v="0.49893896003062177"/>
    <n v="16"/>
  </r>
  <r>
    <x v="312"/>
    <x v="261"/>
    <d v="2023-10-02T00:00:00"/>
    <d v="2023-10-02T00:00:00"/>
    <n v="15"/>
    <n v="15"/>
    <n v="0"/>
    <s v="September"/>
    <s v="Q3-2023"/>
    <x v="0"/>
    <x v="1"/>
    <x v="0"/>
    <x v="1"/>
    <s v="Rio de Janeiro"/>
    <s v="Small Business"/>
    <x v="4"/>
    <x v="11"/>
    <x v="30"/>
    <x v="3"/>
    <x v="311"/>
    <n v="689.33"/>
    <n v="8961.2900000000009"/>
    <n v="668.27"/>
    <n v="7071.6331400000008"/>
    <n v="-1889.6568600000001"/>
    <n v="0.186"/>
    <n v="0"/>
    <s v="Low"/>
    <n v="-0.26721647214861033"/>
    <n v="13"/>
  </r>
  <r>
    <x v="313"/>
    <x v="262"/>
    <d v="2024-06-06T00:00:00"/>
    <d v="2024-06-06T00:00:00"/>
    <n v="15"/>
    <n v="15"/>
    <n v="0"/>
    <s v="May"/>
    <s v="Q2-2024"/>
    <x v="1"/>
    <x v="3"/>
    <x v="1"/>
    <x v="3"/>
    <s v="Nagoya"/>
    <s v="Corporate"/>
    <x v="0"/>
    <x v="14"/>
    <x v="31"/>
    <x v="1"/>
    <x v="312"/>
    <n v="673.88"/>
    <n v="8760.44"/>
    <n v="1228.01"/>
    <n v="14287.896349999999"/>
    <n v="5527.4563499999986"/>
    <n v="0.105"/>
    <n v="0"/>
    <s v="High"/>
    <n v="0.38686285332689996"/>
    <n v="13"/>
  </r>
  <r>
    <x v="314"/>
    <x v="263"/>
    <d v="2025-07-10T00:00:00"/>
    <d v="2025-07-10T00:00:00"/>
    <n v="15"/>
    <n v="15"/>
    <n v="0"/>
    <s v="June"/>
    <s v="Q2-2025"/>
    <x v="0"/>
    <x v="4"/>
    <x v="2"/>
    <x v="4"/>
    <s v="Birmingham"/>
    <s v="Non-Profit"/>
    <x v="2"/>
    <x v="9"/>
    <x v="29"/>
    <x v="5"/>
    <x v="313"/>
    <n v="546.83000000000004"/>
    <n v="7108.7900000000009"/>
    <n v="400.84"/>
    <n v="4804.4682400000002"/>
    <n v="-2304.3217600000007"/>
    <n v="7.8E-2"/>
    <n v="0"/>
    <s v="Low"/>
    <n v="-0.47962056254533608"/>
    <n v="13"/>
  </r>
  <r>
    <x v="315"/>
    <x v="264"/>
    <d v="2024-05-16T00:00:00"/>
    <d v="2024-05-16T00:00:00"/>
    <n v="15"/>
    <n v="15"/>
    <n v="0"/>
    <s v="May"/>
    <s v="Q2-2024"/>
    <x v="0"/>
    <x v="1"/>
    <x v="1"/>
    <x v="11"/>
    <s v="Bengaluru"/>
    <s v="Small Business"/>
    <x v="4"/>
    <x v="5"/>
    <x v="8"/>
    <x v="6"/>
    <x v="314"/>
    <n v="901.19"/>
    <n v="10814.28"/>
    <n v="2125.44"/>
    <n v="23694.405119999999"/>
    <n v="12880.125119999999"/>
    <n v="7.0999999999999994E-2"/>
    <n v="0"/>
    <s v="High"/>
    <n v="0.54359352154100415"/>
    <n v="12"/>
  </r>
  <r>
    <x v="316"/>
    <x v="265"/>
    <d v="2025-06-30T00:00:00"/>
    <d v="2025-06-30T00:00:00"/>
    <n v="15"/>
    <n v="15"/>
    <n v="0"/>
    <s v="June"/>
    <s v="Q2-2025"/>
    <x v="0"/>
    <x v="6"/>
    <x v="3"/>
    <x v="6"/>
    <s v="Johannesburg"/>
    <s v="Small Business"/>
    <x v="1"/>
    <x v="14"/>
    <x v="29"/>
    <x v="1"/>
    <x v="315"/>
    <n v="1487.59"/>
    <n v="16363.49"/>
    <n v="1480.83"/>
    <n v="16142.527829999999"/>
    <n v="-220.9621700000007"/>
    <n v="8.9999999999999993E-3"/>
    <n v="0"/>
    <s v="High"/>
    <n v="-1.3688201273492908E-2"/>
    <n v="11"/>
  </r>
  <r>
    <x v="317"/>
    <x v="266"/>
    <d v="2023-02-03T00:00:00"/>
    <d v="2023-02-03T00:00:00"/>
    <n v="15"/>
    <n v="15"/>
    <n v="0"/>
    <s v="January"/>
    <s v="Q1-2023"/>
    <x v="0"/>
    <x v="4"/>
    <x v="2"/>
    <x v="4"/>
    <s v="London"/>
    <s v="Enterprise"/>
    <x v="0"/>
    <x v="2"/>
    <x v="5"/>
    <x v="4"/>
    <x v="316"/>
    <n v="873.06"/>
    <n v="8730.5999999999985"/>
    <n v="2101.5500000000002"/>
    <n v="19628.476999999999"/>
    <n v="10897.877"/>
    <n v="6.6000000000000003E-2"/>
    <n v="0"/>
    <s v="High"/>
    <n v="0.55520746719167269"/>
    <n v="10"/>
  </r>
  <r>
    <x v="318"/>
    <x v="267"/>
    <d v="2025-06-29T00:00:00"/>
    <d v="2025-06-29T00:00:00"/>
    <n v="15"/>
    <n v="15"/>
    <n v="0"/>
    <s v="June"/>
    <s v="Q2-2025"/>
    <x v="0"/>
    <x v="5"/>
    <x v="3"/>
    <x v="5"/>
    <s v="Port Harcourt"/>
    <s v="Consumer"/>
    <x v="2"/>
    <x v="1"/>
    <x v="0"/>
    <x v="4"/>
    <x v="317"/>
    <n v="730.99"/>
    <n v="7309.9"/>
    <n v="1242.8399999999999"/>
    <n v="10936.992"/>
    <n v="3627.0920000000006"/>
    <n v="0.12"/>
    <n v="0"/>
    <s v="High"/>
    <n v="0.33163524303574515"/>
    <n v="10"/>
  </r>
  <r>
    <x v="319"/>
    <x v="268"/>
    <d v="2023-09-10T00:00:00"/>
    <d v="2023-09-10T00:00:00"/>
    <n v="15"/>
    <n v="15"/>
    <n v="0"/>
    <s v="August"/>
    <s v="Q3-2023"/>
    <x v="0"/>
    <x v="6"/>
    <x v="3"/>
    <x v="6"/>
    <s v="Cape Town"/>
    <s v="Non-Profit"/>
    <x v="1"/>
    <x v="6"/>
    <x v="30"/>
    <x v="6"/>
    <x v="318"/>
    <n v="241.14"/>
    <n v="2411.3999999999996"/>
    <n v="496.52"/>
    <n v="4503.4363999999996"/>
    <n v="2092.0364"/>
    <n v="9.2999999999999999E-2"/>
    <n v="0"/>
    <s v="Low"/>
    <n v="0.46454223268257994"/>
    <n v="10"/>
  </r>
  <r>
    <x v="320"/>
    <x v="269"/>
    <d v="2023-09-11T00:00:00"/>
    <d v="2023-09-11T00:00:00"/>
    <n v="15"/>
    <n v="15"/>
    <n v="0"/>
    <s v="August"/>
    <s v="Q3-2023"/>
    <x v="0"/>
    <x v="4"/>
    <x v="2"/>
    <x v="4"/>
    <s v="London"/>
    <s v="Consumer"/>
    <x v="2"/>
    <x v="6"/>
    <x v="30"/>
    <x v="0"/>
    <x v="319"/>
    <n v="943.79"/>
    <n v="8494.11"/>
    <n v="1913.76"/>
    <n v="15656.47056"/>
    <n v="7162.3605599999992"/>
    <n v="9.0999999999999998E-2"/>
    <n v="0"/>
    <s v="High"/>
    <n v="0.45746967891338081"/>
    <n v="9"/>
  </r>
  <r>
    <x v="321"/>
    <x v="270"/>
    <d v="2023-09-13T00:00:00"/>
    <d v="2023-09-13T00:00:00"/>
    <n v="15"/>
    <n v="15"/>
    <n v="0"/>
    <s v="August"/>
    <s v="Q3-2023"/>
    <x v="0"/>
    <x v="0"/>
    <x v="0"/>
    <x v="0"/>
    <s v="Vancouver"/>
    <s v="Small Business"/>
    <x v="2"/>
    <x v="4"/>
    <x v="30"/>
    <x v="0"/>
    <x v="320"/>
    <n v="1287.6400000000001"/>
    <n v="9013.4800000000014"/>
    <n v="2717.15"/>
    <n v="18411.4084"/>
    <n v="9397.9283999999989"/>
    <n v="3.2000000000000001E-2"/>
    <n v="0"/>
    <s v="High"/>
    <n v="0.51044049405802105"/>
    <n v="7"/>
  </r>
  <r>
    <x v="322"/>
    <x v="271"/>
    <d v="2025-03-29T00:00:00"/>
    <d v="2025-03-29T00:00:00"/>
    <n v="15"/>
    <n v="15"/>
    <n v="0"/>
    <s v="March"/>
    <s v="Q1-2025"/>
    <x v="1"/>
    <x v="3"/>
    <x v="1"/>
    <x v="3"/>
    <s v="Tokyo"/>
    <s v="Non-Profit"/>
    <x v="1"/>
    <x v="8"/>
    <x v="22"/>
    <x v="2"/>
    <x v="321"/>
    <n v="1106.96"/>
    <n v="7748.72"/>
    <n v="2726.62"/>
    <n v="13035.970220000001"/>
    <n v="5287.2502200000008"/>
    <n v="0.317"/>
    <n v="1"/>
    <s v="High"/>
    <n v="0.40558931408789306"/>
    <n v="7"/>
  </r>
  <r>
    <x v="323"/>
    <x v="272"/>
    <d v="2023-04-25T00:00:00"/>
    <d v="2023-04-25T00:00:00"/>
    <n v="15"/>
    <n v="15"/>
    <n v="0"/>
    <s v="April"/>
    <s v="Q2-2023"/>
    <x v="0"/>
    <x v="4"/>
    <x v="2"/>
    <x v="4"/>
    <s v="London"/>
    <s v="Small Business"/>
    <x v="4"/>
    <x v="9"/>
    <x v="28"/>
    <x v="0"/>
    <x v="322"/>
    <n v="405.66"/>
    <n v="2839.6200000000003"/>
    <n v="962.51"/>
    <n v="5457.4317000000001"/>
    <n v="2617.8116999999997"/>
    <n v="0.19"/>
    <n v="0"/>
    <s v="High"/>
    <n v="0.47967832561239376"/>
    <n v="7"/>
  </r>
  <r>
    <x v="324"/>
    <x v="273"/>
    <d v="2023-12-05T00:00:00"/>
    <d v="2023-12-05T00:00:00"/>
    <n v="15"/>
    <n v="15"/>
    <n v="0"/>
    <s v="November"/>
    <s v="Q4-2023"/>
    <x v="1"/>
    <x v="3"/>
    <x v="1"/>
    <x v="3"/>
    <s v="Tokyo"/>
    <s v="Enterprise"/>
    <x v="4"/>
    <x v="5"/>
    <x v="27"/>
    <x v="2"/>
    <x v="323"/>
    <n v="354.24"/>
    <n v="2125.44"/>
    <n v="249.87"/>
    <n v="1499.22"/>
    <n v="-626.22"/>
    <n v="0"/>
    <n v="0"/>
    <s v="Low"/>
    <n v="-0.41769720254532355"/>
    <n v="6"/>
  </r>
  <r>
    <x v="325"/>
    <x v="274"/>
    <d v="2025-08-16T00:00:00"/>
    <d v="2025-08-16T00:00:00"/>
    <n v="15"/>
    <n v="15"/>
    <n v="0"/>
    <s v="August"/>
    <s v="Q3-2025"/>
    <x v="0"/>
    <x v="1"/>
    <x v="1"/>
    <x v="11"/>
    <m/>
    <s v="Enterprise"/>
    <x v="1"/>
    <x v="4"/>
    <x v="25"/>
    <x v="1"/>
    <x v="324"/>
    <n v="24.44"/>
    <n v="146.64000000000001"/>
    <n v="28.69"/>
    <n v="147.00756000000001"/>
    <n v="0.36755999999999744"/>
    <n v="0.14599999999999999"/>
    <n v="0"/>
    <s v="Low"/>
    <n v="2.5002795774584476E-3"/>
    <n v="6"/>
  </r>
  <r>
    <x v="326"/>
    <x v="275"/>
    <d v="2024-08-15T00:00:00"/>
    <d v="2024-08-15T00:00:00"/>
    <n v="15"/>
    <n v="15"/>
    <n v="0"/>
    <s v="July"/>
    <s v="Q3-2024"/>
    <x v="1"/>
    <x v="3"/>
    <x v="1"/>
    <x v="3"/>
    <s v="Tokyo"/>
    <s v="Corporate"/>
    <x v="2"/>
    <x v="0"/>
    <x v="3"/>
    <x v="1"/>
    <x v="325"/>
    <n v="1252.52"/>
    <n v="6262.6"/>
    <n v="1417.24"/>
    <n v="5725.6496000000006"/>
    <n v="-536.95039999999972"/>
    <n v="0.192"/>
    <n v="0"/>
    <s v="High"/>
    <n v="-9.3779821943696953E-2"/>
    <n v="5"/>
  </r>
  <r>
    <x v="327"/>
    <x v="276"/>
    <d v="2023-11-14T00:00:00"/>
    <d v="2023-11-14T00:00:00"/>
    <n v="15"/>
    <n v="15"/>
    <n v="0"/>
    <s v="October"/>
    <s v="Q4-2023"/>
    <x v="0"/>
    <x v="1"/>
    <x v="1"/>
    <x v="11"/>
    <s v="Bengaluru"/>
    <s v="Corporate"/>
    <x v="3"/>
    <x v="0"/>
    <x v="12"/>
    <x v="3"/>
    <x v="326"/>
    <n v="953.46"/>
    <n v="4767.3"/>
    <n v="2066.75"/>
    <n v="8907.6924999999992"/>
    <n v="4140.392499999999"/>
    <n v="0.13800000000000001"/>
    <n v="0"/>
    <s v="High"/>
    <n v="0.46481089238318446"/>
    <n v="5"/>
  </r>
  <r>
    <x v="328"/>
    <x v="277"/>
    <d v="2024-08-08T00:00:00"/>
    <d v="2024-08-08T00:00:00"/>
    <n v="15"/>
    <n v="15"/>
    <n v="0"/>
    <s v="July"/>
    <s v="Q3-2024"/>
    <x v="0"/>
    <x v="8"/>
    <x v="2"/>
    <x v="8"/>
    <s v="Marseille"/>
    <s v="Enterprise"/>
    <x v="2"/>
    <x v="8"/>
    <x v="1"/>
    <x v="3"/>
    <x v="327"/>
    <n v="501.5"/>
    <n v="2507.5"/>
    <n v="1201.47"/>
    <n v="5250.4239000000007"/>
    <n v="2742.9239000000007"/>
    <n v="0.126"/>
    <n v="0"/>
    <s v="High"/>
    <n v="0.52241951359394057"/>
    <n v="5"/>
  </r>
  <r>
    <x v="329"/>
    <x v="278"/>
    <d v="2025-03-26T00:00:00"/>
    <d v="2025-03-26T00:00:00"/>
    <n v="15"/>
    <n v="15"/>
    <n v="0"/>
    <s v="March"/>
    <s v="Q1-2025"/>
    <x v="0"/>
    <x v="10"/>
    <x v="2"/>
    <x v="10"/>
    <s v="Berlin"/>
    <s v="Small Business"/>
    <x v="3"/>
    <x v="13"/>
    <x v="13"/>
    <x v="5"/>
    <x v="328"/>
    <n v="116.97"/>
    <n v="584.85"/>
    <n v="140.82"/>
    <n v="618.19979999999987"/>
    <n v="33.349799999999846"/>
    <n v="0.122"/>
    <n v="0"/>
    <s v="Low"/>
    <n v="5.3946636669891926E-2"/>
    <n v="5"/>
  </r>
  <r>
    <x v="330"/>
    <x v="279"/>
    <d v="2024-11-18T00:00:00"/>
    <d v="2024-11-18T00:00:00"/>
    <n v="16"/>
    <n v="16"/>
    <n v="0"/>
    <s v="November"/>
    <s v="Q4-2024"/>
    <x v="0"/>
    <x v="1"/>
    <x v="1"/>
    <x v="11"/>
    <s v="Mumbai"/>
    <s v="Small Business"/>
    <x v="0"/>
    <x v="4"/>
    <x v="15"/>
    <x v="1"/>
    <x v="329"/>
    <n v="1233.58"/>
    <n v="62912.579999999994"/>
    <n v="1912.51"/>
    <n v="72665.817450000002"/>
    <n v="9753.2374500000078"/>
    <n v="0.255"/>
    <n v="1"/>
    <s v="High"/>
    <n v="0.134220432553601"/>
    <n v="51"/>
  </r>
  <r>
    <x v="331"/>
    <x v="246"/>
    <d v="2023-05-18T00:00:00"/>
    <d v="2023-05-18T00:00:00"/>
    <n v="16"/>
    <n v="16"/>
    <n v="0"/>
    <s v="May"/>
    <s v="Q2-2023"/>
    <x v="0"/>
    <x v="1"/>
    <x v="1"/>
    <x v="11"/>
    <s v="Delhi"/>
    <s v="Small Business"/>
    <x v="2"/>
    <x v="12"/>
    <x v="2"/>
    <x v="1"/>
    <x v="330"/>
    <n v="1463.92"/>
    <n v="64412.480000000003"/>
    <n v="2252.2399999999998"/>
    <n v="87404.929919999995"/>
    <n v="22992.449919999992"/>
    <n v="0.11799999999999999"/>
    <n v="0"/>
    <s v="High"/>
    <n v="0.26305667130040061"/>
    <n v="44"/>
  </r>
  <r>
    <x v="332"/>
    <x v="280"/>
    <d v="2024-03-19T00:00:00"/>
    <d v="2024-03-19T00:00:00"/>
    <n v="16"/>
    <n v="16"/>
    <n v="0"/>
    <s v="March"/>
    <s v="Q1-2024"/>
    <x v="0"/>
    <x v="7"/>
    <x v="1"/>
    <x v="7"/>
    <s v="Beijing"/>
    <s v="Consumer"/>
    <x v="0"/>
    <x v="2"/>
    <x v="20"/>
    <x v="5"/>
    <x v="331"/>
    <n v="988.83"/>
    <n v="33620.22"/>
    <n v="1206.04"/>
    <n v="38422.022320000004"/>
    <n v="4801.8023200000025"/>
    <n v="6.3E-2"/>
    <n v="0"/>
    <s v="High"/>
    <n v="0.12497526236406606"/>
    <n v="34"/>
  </r>
  <r>
    <x v="333"/>
    <x v="171"/>
    <d v="2025-06-25T00:00:00"/>
    <d v="2025-06-25T00:00:00"/>
    <n v="16"/>
    <n v="16"/>
    <n v="0"/>
    <s v="June"/>
    <s v="Q2-2025"/>
    <x v="0"/>
    <x v="1"/>
    <x v="1"/>
    <x v="11"/>
    <s v="Hyderabad"/>
    <s v="Enterprise"/>
    <x v="0"/>
    <x v="1"/>
    <x v="0"/>
    <x v="5"/>
    <x v="332"/>
    <n v="527.33000000000004"/>
    <n v="13183.250000000002"/>
    <n v="911.72"/>
    <n v="19510.808000000001"/>
    <n v="6327.5579999999991"/>
    <n v="0.14399999999999999"/>
    <n v="0"/>
    <s v="High"/>
    <n v="0.32431040272652978"/>
    <n v="25"/>
  </r>
  <r>
    <x v="334"/>
    <x v="281"/>
    <d v="2024-03-06T00:00:00"/>
    <d v="2024-03-06T00:00:00"/>
    <n v="16"/>
    <n v="16"/>
    <n v="0"/>
    <s v="February"/>
    <s v="Q1-2024"/>
    <x v="0"/>
    <x v="7"/>
    <x v="1"/>
    <x v="7"/>
    <s v="Beijing"/>
    <s v="Education"/>
    <x v="2"/>
    <x v="4"/>
    <x v="20"/>
    <x v="0"/>
    <x v="333"/>
    <n v="1477.84"/>
    <n v="35468.159999999996"/>
    <n v="3197.47"/>
    <n v="58091.634960000003"/>
    <n v="22623.474960000007"/>
    <n v="0.24299999999999999"/>
    <n v="1"/>
    <s v="High"/>
    <n v="0.38944462443823091"/>
    <n v="24"/>
  </r>
  <r>
    <x v="335"/>
    <x v="282"/>
    <d v="2024-02-19T00:00:00"/>
    <d v="2024-02-19T00:00:00"/>
    <n v="16"/>
    <n v="16"/>
    <n v="0"/>
    <s v="February"/>
    <s v="Q1-2024"/>
    <x v="0"/>
    <x v="7"/>
    <x v="1"/>
    <x v="7"/>
    <s v="Shenzhen"/>
    <s v="Small Business"/>
    <x v="3"/>
    <x v="8"/>
    <x v="19"/>
    <x v="3"/>
    <x v="334"/>
    <n v="993.75"/>
    <n v="18881.25"/>
    <n v="1310.29"/>
    <n v="19542.975350000001"/>
    <n v="661.72535000000062"/>
    <n v="0.215"/>
    <n v="1"/>
    <s v="High"/>
    <n v="3.3860010471742245E-2"/>
    <n v="19"/>
  </r>
  <r>
    <x v="336"/>
    <x v="283"/>
    <d v="2025-08-05T00:00:00"/>
    <d v="2025-08-05T00:00:00"/>
    <n v="16"/>
    <n v="16"/>
    <n v="0"/>
    <s v="July"/>
    <s v="Q3-2025"/>
    <x v="0"/>
    <x v="1"/>
    <x v="0"/>
    <x v="1"/>
    <s v="Brasília"/>
    <s v="Enterprise"/>
    <x v="2"/>
    <x v="2"/>
    <x v="29"/>
    <x v="4"/>
    <x v="335"/>
    <n v="1068.17"/>
    <n v="19227.060000000001"/>
    <n v="2375.37"/>
    <n v="38096.18406"/>
    <n v="18869.124059999998"/>
    <n v="0.109"/>
    <n v="0"/>
    <s v="High"/>
    <n v="0.49530220744108822"/>
    <n v="18"/>
  </r>
  <r>
    <x v="337"/>
    <x v="284"/>
    <d v="2024-01-06T00:00:00"/>
    <d v="2024-01-06T00:00:00"/>
    <n v="16"/>
    <n v="16"/>
    <n v="0"/>
    <s v="December"/>
    <s v="Q4-2023"/>
    <x v="0"/>
    <x v="5"/>
    <x v="3"/>
    <x v="5"/>
    <m/>
    <s v="Corporate"/>
    <x v="2"/>
    <x v="12"/>
    <x v="18"/>
    <x v="6"/>
    <x v="336"/>
    <n v="932.61"/>
    <n v="14921.76"/>
    <n v="1982.98"/>
    <n v="27158.894079999998"/>
    <n v="12237.134079999998"/>
    <n v="0.14399999999999999"/>
    <n v="0"/>
    <s v="High"/>
    <n v="0.45057556629345635"/>
    <n v="16"/>
  </r>
  <r>
    <x v="338"/>
    <x v="285"/>
    <d v="2023-11-30T00:00:00"/>
    <d v="2023-11-30T00:00:00"/>
    <n v="16"/>
    <n v="16"/>
    <n v="0"/>
    <s v="November"/>
    <s v="Q4-2023"/>
    <x v="0"/>
    <x v="1"/>
    <x v="0"/>
    <x v="1"/>
    <s v="São Paulo"/>
    <s v="Enterprise"/>
    <x v="1"/>
    <x v="12"/>
    <x v="12"/>
    <x v="2"/>
    <x v="337"/>
    <n v="1017.92"/>
    <n v="15268.8"/>
    <n v="1175.25"/>
    <n v="16306.59375"/>
    <n v="1037.7937500000007"/>
    <n v="7.4999999999999997E-2"/>
    <n v="0"/>
    <s v="High"/>
    <n v="6.3642583234159542E-2"/>
    <n v="15"/>
  </r>
  <r>
    <x v="339"/>
    <x v="286"/>
    <d v="2024-05-10T00:00:00"/>
    <d v="2024-05-10T00:00:00"/>
    <n v="16"/>
    <n v="16"/>
    <n v="0"/>
    <s v="April"/>
    <s v="Q2-2024"/>
    <x v="0"/>
    <x v="9"/>
    <x v="3"/>
    <x v="9"/>
    <s v="Kisumu"/>
    <s v="Non-Profit"/>
    <x v="3"/>
    <x v="6"/>
    <x v="8"/>
    <x v="1"/>
    <x v="338"/>
    <n v="513.30999999999995"/>
    <n v="7699.65"/>
    <n v="1186.26"/>
    <n v="16121.273400000002"/>
    <n v="8421.6234000000022"/>
    <n v="9.4E-2"/>
    <n v="0"/>
    <s v="High"/>
    <n v="0.52239194702820446"/>
    <n v="15"/>
  </r>
  <r>
    <x v="340"/>
    <x v="287"/>
    <d v="2024-02-03T00:00:00"/>
    <d v="2024-02-03T00:00:00"/>
    <n v="16"/>
    <n v="16"/>
    <n v="0"/>
    <s v="January"/>
    <s v="Q1-2024"/>
    <x v="0"/>
    <x v="6"/>
    <x v="3"/>
    <x v="6"/>
    <s v="Cape Town"/>
    <s v="Non-Profit"/>
    <x v="0"/>
    <x v="5"/>
    <x v="19"/>
    <x v="0"/>
    <x v="339"/>
    <n v="666.23"/>
    <n v="8660.99"/>
    <n v="1382.91"/>
    <n v="14813.731920000002"/>
    <n v="6152.7419200000022"/>
    <n v="0.17599999999999999"/>
    <n v="0"/>
    <s v="High"/>
    <n v="0.41534043907553048"/>
    <n v="13"/>
  </r>
  <r>
    <x v="341"/>
    <x v="113"/>
    <d v="2023-03-30T00:00:00"/>
    <d v="2023-03-30T00:00:00"/>
    <n v="16"/>
    <n v="16"/>
    <n v="0"/>
    <s v="March"/>
    <s v="Q1-2023"/>
    <x v="0"/>
    <x v="6"/>
    <x v="3"/>
    <x v="6"/>
    <s v="Cape Town"/>
    <s v="Consumer"/>
    <x v="0"/>
    <x v="12"/>
    <x v="28"/>
    <x v="6"/>
    <x v="340"/>
    <n v="1309.77"/>
    <n v="13097.7"/>
    <n v="1589.07"/>
    <n v="14269.848599999999"/>
    <n v="1172.1485999999986"/>
    <n v="0.10199999999999999"/>
    <n v="0"/>
    <s v="High"/>
    <n v="8.2141628328137886E-2"/>
    <n v="10"/>
  </r>
  <r>
    <x v="342"/>
    <x v="288"/>
    <d v="2025-07-08T00:00:00"/>
    <d v="2025-07-08T00:00:00"/>
    <n v="16"/>
    <n v="16"/>
    <n v="0"/>
    <s v="June"/>
    <s v="Q2-2025"/>
    <x v="0"/>
    <x v="4"/>
    <x v="2"/>
    <x v="4"/>
    <s v="London"/>
    <s v="Education"/>
    <x v="1"/>
    <x v="3"/>
    <x v="29"/>
    <x v="5"/>
    <x v="341"/>
    <n v="892.73"/>
    <n v="8927.2999999999993"/>
    <n v="979.84"/>
    <n v="8093.4784"/>
    <n v="-833.82159999999931"/>
    <n v="0.17399999999999999"/>
    <n v="0"/>
    <s v="High"/>
    <n v="-0.10302388649112838"/>
    <n v="10"/>
  </r>
  <r>
    <x v="343"/>
    <x v="289"/>
    <d v="2023-08-10T00:00:00"/>
    <d v="2023-08-10T00:00:00"/>
    <n v="16"/>
    <n v="16"/>
    <n v="0"/>
    <s v="July"/>
    <s v="Q3-2023"/>
    <x v="0"/>
    <x v="5"/>
    <x v="3"/>
    <x v="5"/>
    <s v="Port Harcourt"/>
    <s v="Corporate"/>
    <x v="0"/>
    <x v="13"/>
    <x v="16"/>
    <x v="4"/>
    <x v="342"/>
    <n v="506.83"/>
    <n v="4561.47"/>
    <n v="441.74"/>
    <n v="3021.5016000000001"/>
    <n v="-1539.9684000000002"/>
    <n v="0.24"/>
    <n v="1"/>
    <s v="Low"/>
    <n v="-0.50966989393618067"/>
    <n v="9"/>
  </r>
  <r>
    <x v="344"/>
    <x v="290"/>
    <d v="2024-11-22T00:00:00"/>
    <d v="2024-11-22T00:00:00"/>
    <n v="16"/>
    <n v="16"/>
    <n v="0"/>
    <s v="November"/>
    <s v="Q4-2024"/>
    <x v="0"/>
    <x v="0"/>
    <x v="0"/>
    <x v="0"/>
    <s v="Toronto"/>
    <s v="Non-Profit"/>
    <x v="0"/>
    <x v="9"/>
    <x v="21"/>
    <x v="4"/>
    <x v="343"/>
    <n v="1454.11"/>
    <n v="11632.88"/>
    <n v="2629.75"/>
    <n v="14894.903999999999"/>
    <n v="3262.0239999999994"/>
    <n v="0.29199999999999998"/>
    <n v="1"/>
    <s v="High"/>
    <n v="0.21900268709351867"/>
    <n v="8"/>
  </r>
  <r>
    <x v="345"/>
    <x v="291"/>
    <d v="2025-07-10T00:00:00"/>
    <d v="2025-07-10T00:00:00"/>
    <n v="16"/>
    <n v="16"/>
    <n v="0"/>
    <s v="June"/>
    <s v="Q2-2025"/>
    <x v="0"/>
    <x v="7"/>
    <x v="1"/>
    <x v="7"/>
    <s v="Shanghai"/>
    <s v="Enterprise"/>
    <x v="1"/>
    <x v="6"/>
    <x v="29"/>
    <x v="6"/>
    <x v="344"/>
    <n v="757.19"/>
    <n v="6057.52"/>
    <n v="1735.41"/>
    <n v="11995.153920000001"/>
    <n v="5937.6339200000002"/>
    <n v="0.13600000000000001"/>
    <n v="0"/>
    <s v="High"/>
    <n v="0.4950027285685718"/>
    <n v="8"/>
  </r>
  <r>
    <x v="346"/>
    <x v="292"/>
    <d v="2025-02-28T00:00:00"/>
    <d v="2025-02-28T00:00:00"/>
    <n v="16"/>
    <n v="16"/>
    <n v="0"/>
    <s v="February"/>
    <s v="Q1-2025"/>
    <x v="0"/>
    <x v="1"/>
    <x v="0"/>
    <x v="1"/>
    <s v="São Paulo"/>
    <s v="Non-Profit"/>
    <x v="1"/>
    <x v="11"/>
    <x v="22"/>
    <x v="1"/>
    <x v="345"/>
    <n v="414.95"/>
    <n v="3319.6"/>
    <n v="1027.73"/>
    <n v="7703.8640800000003"/>
    <n v="4384.2640800000008"/>
    <n v="6.3E-2"/>
    <n v="0"/>
    <s v="High"/>
    <n v="0.56909935513815568"/>
    <n v="8"/>
  </r>
  <r>
    <x v="347"/>
    <x v="293"/>
    <d v="2024-06-24T00:00:00"/>
    <d v="2024-06-24T00:00:00"/>
    <n v="16"/>
    <n v="16"/>
    <n v="0"/>
    <s v="June"/>
    <s v="Q2-2024"/>
    <x v="0"/>
    <x v="6"/>
    <x v="3"/>
    <x v="6"/>
    <s v="Durban"/>
    <s v="Education"/>
    <x v="0"/>
    <x v="8"/>
    <x v="6"/>
    <x v="1"/>
    <x v="346"/>
    <n v="597.85"/>
    <n v="4184.95"/>
    <n v="741.92"/>
    <n v="5032.4433599999993"/>
    <n v="847.49335999999948"/>
    <n v="3.1E-2"/>
    <n v="0"/>
    <s v="Low"/>
    <n v="0.16840594108544515"/>
    <n v="7"/>
  </r>
  <r>
    <x v="348"/>
    <x v="35"/>
    <d v="2025-05-03T00:00:00"/>
    <d v="2025-05-03T00:00:00"/>
    <n v="16"/>
    <n v="16"/>
    <n v="0"/>
    <s v="April"/>
    <s v="Q2-2025"/>
    <x v="0"/>
    <x v="1"/>
    <x v="0"/>
    <x v="1"/>
    <s v="Rio de Janeiro"/>
    <s v="Consumer"/>
    <x v="2"/>
    <x v="10"/>
    <x v="23"/>
    <x v="2"/>
    <x v="347"/>
    <n v="168.68"/>
    <n v="1180.76"/>
    <n v="413.34"/>
    <n v="2355.2113199999999"/>
    <n v="1174.4513199999999"/>
    <n v="0.186"/>
    <n v="0"/>
    <s v="Low"/>
    <n v="0.49866069767361682"/>
    <n v="7"/>
  </r>
  <r>
    <x v="349"/>
    <x v="278"/>
    <d v="2025-03-27T00:00:00"/>
    <d v="2025-03-27T00:00:00"/>
    <n v="16"/>
    <n v="16"/>
    <n v="0"/>
    <s v="March"/>
    <s v="Q1-2025"/>
    <x v="1"/>
    <x v="3"/>
    <x v="1"/>
    <x v="3"/>
    <s v="Tokyo"/>
    <s v="Enterprise"/>
    <x v="0"/>
    <x v="11"/>
    <x v="22"/>
    <x v="0"/>
    <x v="348"/>
    <n v="1317.58"/>
    <n v="7905.48"/>
    <n v="1897.74"/>
    <n v="10464.138360000001"/>
    <n v="2558.6583600000013"/>
    <n v="8.1000000000000003E-2"/>
    <n v="0"/>
    <s v="High"/>
    <n v="0.24451687009230266"/>
    <n v="6"/>
  </r>
  <r>
    <x v="350"/>
    <x v="294"/>
    <d v="2024-03-04T00:00:00"/>
    <d v="2024-03-04T00:00:00"/>
    <n v="16"/>
    <n v="16"/>
    <n v="0"/>
    <s v="February"/>
    <s v="Q1-2024"/>
    <x v="0"/>
    <x v="1"/>
    <x v="1"/>
    <x v="11"/>
    <s v="Delhi"/>
    <s v="Small Business"/>
    <x v="2"/>
    <x v="0"/>
    <x v="19"/>
    <x v="5"/>
    <x v="349"/>
    <n v="1231.8"/>
    <n v="7390.7999999999993"/>
    <n v="2015.99"/>
    <n v="8938.8996600000009"/>
    <n v="1548.0996600000017"/>
    <n v="0.26100000000000001"/>
    <n v="1"/>
    <s v="High"/>
    <n v="0.17318682599464391"/>
    <n v="6"/>
  </r>
  <r>
    <x v="351"/>
    <x v="295"/>
    <d v="2023-10-23T00:00:00"/>
    <d v="2023-10-23T00:00:00"/>
    <n v="16"/>
    <n v="16"/>
    <n v="0"/>
    <s v="October"/>
    <s v="Q4-2023"/>
    <x v="0"/>
    <x v="1"/>
    <x v="1"/>
    <x v="11"/>
    <s v="Hyderabad"/>
    <s v="Consumer"/>
    <x v="4"/>
    <x v="2"/>
    <x v="27"/>
    <x v="1"/>
    <x v="350"/>
    <n v="906.81"/>
    <n v="5440.86"/>
    <n v="1395.56"/>
    <n v="6824.2884000000004"/>
    <n v="1383.4284000000007"/>
    <n v="0.185"/>
    <n v="0"/>
    <s v="High"/>
    <n v="0.20272126834498974"/>
    <n v="6"/>
  </r>
  <r>
    <x v="352"/>
    <x v="296"/>
    <d v="2023-08-19T00:00:00"/>
    <d v="2023-08-19T00:00:00"/>
    <n v="17"/>
    <n v="17"/>
    <n v="0"/>
    <s v="August"/>
    <s v="Q3-2023"/>
    <x v="0"/>
    <x v="0"/>
    <x v="0"/>
    <x v="0"/>
    <s v="Vancouver"/>
    <s v="Corporate"/>
    <x v="3"/>
    <x v="0"/>
    <x v="30"/>
    <x v="2"/>
    <x v="351"/>
    <n v="175.38"/>
    <n v="7541.34"/>
    <n v="347.9"/>
    <n v="13882.6016"/>
    <n v="6341.2615999999998"/>
    <n v="7.1999999999999995E-2"/>
    <n v="0"/>
    <s v="Low"/>
    <n v="0.45677761148169804"/>
    <n v="43"/>
  </r>
  <r>
    <x v="353"/>
    <x v="76"/>
    <d v="2023-10-26T00:00:00"/>
    <d v="2023-10-26T00:00:00"/>
    <n v="17"/>
    <n v="17"/>
    <n v="0"/>
    <s v="October"/>
    <s v="Q4-2023"/>
    <x v="0"/>
    <x v="7"/>
    <x v="1"/>
    <x v="7"/>
    <s v="Shanghai"/>
    <s v="Consumer"/>
    <x v="2"/>
    <x v="14"/>
    <x v="27"/>
    <x v="6"/>
    <x v="352"/>
    <n v="1132.03"/>
    <n v="39621.049999999996"/>
    <n v="2137.21"/>
    <n v="48097.911050000002"/>
    <n v="8476.8610500000068"/>
    <n v="0.35699999999999998"/>
    <n v="1"/>
    <s v="High"/>
    <n v="0.17624177152284051"/>
    <n v="35"/>
  </r>
  <r>
    <x v="354"/>
    <x v="297"/>
    <d v="2024-04-17T00:00:00"/>
    <d v="2024-04-17T00:00:00"/>
    <n v="17"/>
    <n v="17"/>
    <n v="0"/>
    <s v="March"/>
    <s v="Q1-2024"/>
    <x v="0"/>
    <x v="10"/>
    <x v="2"/>
    <x v="10"/>
    <s v="Frankfurt"/>
    <s v="Education"/>
    <x v="1"/>
    <x v="8"/>
    <x v="31"/>
    <x v="1"/>
    <x v="353"/>
    <n v="1025.51"/>
    <n v="28714.28"/>
    <n v="1436.54"/>
    <n v="34632.106319999999"/>
    <n v="5917.8263200000001"/>
    <n v="0.13900000000000001"/>
    <n v="0"/>
    <s v="High"/>
    <n v="0.17087688127656453"/>
    <n v="28"/>
  </r>
  <r>
    <x v="355"/>
    <x v="298"/>
    <d v="2025-02-17T00:00:00"/>
    <d v="2025-02-17T00:00:00"/>
    <n v="17"/>
    <n v="17"/>
    <n v="0"/>
    <s v="January"/>
    <s v="Q1-2025"/>
    <x v="0"/>
    <x v="4"/>
    <x v="2"/>
    <x v="4"/>
    <s v="London"/>
    <s v="Enterprise"/>
    <x v="4"/>
    <x v="8"/>
    <x v="22"/>
    <x v="6"/>
    <x v="73"/>
    <n v="378.26"/>
    <n v="9456.5"/>
    <n v="541.55999999999995"/>
    <n v="11332.142999999998"/>
    <n v="1875.6429999999982"/>
    <n v="0.16300000000000001"/>
    <n v="0"/>
    <s v="Low"/>
    <n v="0.16551529573885526"/>
    <n v="25"/>
  </r>
  <r>
    <x v="356"/>
    <x v="112"/>
    <d v="2023-05-27T00:00:00"/>
    <d v="2023-05-27T00:00:00"/>
    <n v="17"/>
    <n v="17"/>
    <n v="0"/>
    <s v="May"/>
    <s v="Q2-2023"/>
    <x v="0"/>
    <x v="1"/>
    <x v="1"/>
    <x v="11"/>
    <s v="Mumbai"/>
    <s v="Consumer"/>
    <x v="4"/>
    <x v="1"/>
    <x v="2"/>
    <x v="3"/>
    <x v="354"/>
    <n v="1286.1600000000001"/>
    <n v="29581.68"/>
    <n v="3101.11"/>
    <n v="64192.976999999999"/>
    <n v="34611.296999999999"/>
    <n v="0.1"/>
    <n v="0"/>
    <s v="High"/>
    <n v="0.53917575749758417"/>
    <n v="23"/>
  </r>
  <r>
    <x v="357"/>
    <x v="299"/>
    <d v="2025-05-27T00:00:00"/>
    <d v="2025-05-27T00:00:00"/>
    <n v="17"/>
    <n v="17"/>
    <n v="0"/>
    <s v="May"/>
    <s v="Q2-2025"/>
    <x v="0"/>
    <x v="0"/>
    <x v="0"/>
    <x v="0"/>
    <s v="Vancouver"/>
    <s v="Education"/>
    <x v="1"/>
    <x v="14"/>
    <x v="0"/>
    <x v="6"/>
    <x v="355"/>
    <n v="862.89"/>
    <n v="16394.91"/>
    <n v="1426.03"/>
    <n v="25577.274079999999"/>
    <n v="9182.3640799999994"/>
    <n v="5.6000000000000001E-2"/>
    <n v="0"/>
    <s v="High"/>
    <n v="0.35900479665188778"/>
    <n v="19"/>
  </r>
  <r>
    <x v="358"/>
    <x v="122"/>
    <d v="2024-07-03T00:00:00"/>
    <d v="2024-07-03T00:00:00"/>
    <n v="17"/>
    <n v="17"/>
    <n v="0"/>
    <s v="June"/>
    <s v="Q2-2024"/>
    <x v="0"/>
    <x v="6"/>
    <x v="3"/>
    <x v="6"/>
    <s v="Johannesburg"/>
    <s v="Enterprise"/>
    <x v="2"/>
    <x v="0"/>
    <x v="6"/>
    <x v="5"/>
    <x v="356"/>
    <n v="1173.83"/>
    <n v="19955.11"/>
    <n v="2328.9"/>
    <n v="34840.344000000005"/>
    <n v="14885.234000000004"/>
    <n v="0.12"/>
    <n v="0"/>
    <s v="High"/>
    <n v="0.42724130393201637"/>
    <n v="17"/>
  </r>
  <r>
    <x v="359"/>
    <x v="300"/>
    <d v="2024-05-06T00:00:00"/>
    <d v="2024-05-06T00:00:00"/>
    <n v="17"/>
    <n v="17"/>
    <n v="0"/>
    <s v="April"/>
    <s v="Q2-2024"/>
    <x v="0"/>
    <x v="5"/>
    <x v="3"/>
    <x v="5"/>
    <s v="Port Harcourt"/>
    <s v="Non-Profit"/>
    <x v="3"/>
    <x v="3"/>
    <x v="8"/>
    <x v="0"/>
    <x v="357"/>
    <n v="865.33"/>
    <n v="11249.29"/>
    <n v="1395.64"/>
    <n v="14968.239"/>
    <n v="3718.9489999999987"/>
    <n v="0.17499999999999999"/>
    <n v="0"/>
    <s v="High"/>
    <n v="0.24845601409758347"/>
    <n v="13"/>
  </r>
  <r>
    <x v="360"/>
    <x v="246"/>
    <d v="2023-05-19T00:00:00"/>
    <d v="2023-05-19T00:00:00"/>
    <n v="17"/>
    <n v="17"/>
    <n v="0"/>
    <s v="May"/>
    <s v="Q2-2023"/>
    <x v="0"/>
    <x v="7"/>
    <x v="1"/>
    <x v="7"/>
    <s v="Shanghai"/>
    <s v="Non-Profit"/>
    <x v="1"/>
    <x v="10"/>
    <x v="2"/>
    <x v="1"/>
    <x v="358"/>
    <n v="714.28"/>
    <n v="8571.36"/>
    <n v="757.59"/>
    <n v="7854.6931199999999"/>
    <n v="-716.66688000000067"/>
    <n v="0.13600000000000001"/>
    <n v="0"/>
    <s v="Low"/>
    <n v="-9.1240595787910383E-2"/>
    <n v="12"/>
  </r>
  <r>
    <x v="361"/>
    <x v="301"/>
    <d v="2023-03-20T00:00:00"/>
    <d v="2023-03-20T00:00:00"/>
    <n v="17"/>
    <n v="17"/>
    <n v="0"/>
    <s v="March"/>
    <s v="Q1-2023"/>
    <x v="1"/>
    <x v="3"/>
    <x v="1"/>
    <x v="3"/>
    <s v="Nagoya"/>
    <s v="Small Business"/>
    <x v="3"/>
    <x v="9"/>
    <x v="5"/>
    <x v="2"/>
    <x v="359"/>
    <n v="1171.17"/>
    <n v="12882.87"/>
    <n v="2030.64"/>
    <n v="18830.12472"/>
    <n v="5947.254719999999"/>
    <n v="0.157"/>
    <n v="0"/>
    <s v="High"/>
    <n v="0.31583724528830415"/>
    <n v="11"/>
  </r>
  <r>
    <x v="362"/>
    <x v="302"/>
    <d v="2023-06-03T00:00:00"/>
    <d v="2023-06-03T00:00:00"/>
    <n v="17"/>
    <n v="17"/>
    <n v="0"/>
    <s v="May"/>
    <s v="Q2-2023"/>
    <x v="0"/>
    <x v="7"/>
    <x v="1"/>
    <x v="7"/>
    <s v="Beijing"/>
    <s v="Non-Profit"/>
    <x v="0"/>
    <x v="1"/>
    <x v="14"/>
    <x v="0"/>
    <x v="360"/>
    <n v="979.59"/>
    <n v="10775.49"/>
    <n v="2210.94"/>
    <n v="20672.289000000001"/>
    <n v="9896.7990000000009"/>
    <n v="0.15"/>
    <n v="0"/>
    <s v="High"/>
    <n v="0.47874712858358359"/>
    <n v="11"/>
  </r>
  <r>
    <x v="363"/>
    <x v="303"/>
    <d v="2025-08-23T00:00:00"/>
    <d v="2025-08-23T00:00:00"/>
    <n v="17"/>
    <n v="17"/>
    <n v="0"/>
    <s v="August"/>
    <s v="Q3-2025"/>
    <x v="0"/>
    <x v="1"/>
    <x v="0"/>
    <x v="1"/>
    <s v="Brasília"/>
    <s v="Consumer"/>
    <x v="0"/>
    <x v="3"/>
    <x v="25"/>
    <x v="1"/>
    <x v="361"/>
    <n v="86.64"/>
    <n v="953.04"/>
    <n v="213.06"/>
    <n v="1846.8040799999999"/>
    <n v="893.76407999999992"/>
    <n v="0.21199999999999999"/>
    <n v="1"/>
    <s v="Low"/>
    <n v="0.48395175735154322"/>
    <n v="11"/>
  </r>
  <r>
    <x v="364"/>
    <x v="304"/>
    <d v="2025-08-07T00:00:00"/>
    <d v="2025-08-07T00:00:00"/>
    <n v="17"/>
    <n v="17"/>
    <n v="0"/>
    <s v="July"/>
    <s v="Q3-2025"/>
    <x v="0"/>
    <x v="5"/>
    <x v="3"/>
    <x v="5"/>
    <s v="Lagos"/>
    <s v="Enterprise"/>
    <x v="1"/>
    <x v="1"/>
    <x v="25"/>
    <x v="4"/>
    <x v="362"/>
    <n v="1204.95"/>
    <n v="12049.5"/>
    <n v="2065.73"/>
    <n v="17847.907199999998"/>
    <n v="5798.4071999999978"/>
    <n v="0.13600000000000001"/>
    <n v="0"/>
    <s v="High"/>
    <n v="0.32487882949100039"/>
    <n v="10"/>
  </r>
  <r>
    <x v="365"/>
    <x v="305"/>
    <d v="2023-10-29T00:00:00"/>
    <d v="2023-10-29T00:00:00"/>
    <n v="17"/>
    <n v="17"/>
    <n v="0"/>
    <s v="October"/>
    <s v="Q4-2023"/>
    <x v="1"/>
    <x v="3"/>
    <x v="1"/>
    <x v="3"/>
    <s v="Nagoya"/>
    <s v="Non-Profit"/>
    <x v="1"/>
    <x v="8"/>
    <x v="30"/>
    <x v="5"/>
    <x v="363"/>
    <n v="1102.19"/>
    <n v="11021.900000000001"/>
    <n v="1711.16"/>
    <n v="14527.748400000002"/>
    <n v="3505.8484000000008"/>
    <n v="0.151"/>
    <n v="0"/>
    <s v="High"/>
    <n v="0.24132083675127525"/>
    <n v="10"/>
  </r>
  <r>
    <x v="366"/>
    <x v="306"/>
    <d v="2023-09-03T00:00:00"/>
    <d v="2023-09-03T00:00:00"/>
    <n v="17"/>
    <n v="17"/>
    <n v="0"/>
    <s v="August"/>
    <s v="Q3-2023"/>
    <x v="0"/>
    <x v="6"/>
    <x v="3"/>
    <x v="6"/>
    <s v="Durban"/>
    <s v="Enterprise"/>
    <x v="4"/>
    <x v="3"/>
    <x v="30"/>
    <x v="5"/>
    <x v="364"/>
    <n v="676.37"/>
    <n v="6763.7"/>
    <n v="1276.67"/>
    <n v="11924.0978"/>
    <n v="5160.3977999999997"/>
    <n v="6.6000000000000003E-2"/>
    <n v="0"/>
    <s v="High"/>
    <n v="0.4327705027712872"/>
    <n v="10"/>
  </r>
  <r>
    <x v="367"/>
    <x v="307"/>
    <d v="2024-01-29T00:00:00"/>
    <d v="2024-01-29T00:00:00"/>
    <n v="17"/>
    <n v="17"/>
    <n v="0"/>
    <s v="January"/>
    <s v="Q1-2024"/>
    <x v="0"/>
    <x v="2"/>
    <x v="0"/>
    <x v="2"/>
    <s v="Chicago"/>
    <s v="Education"/>
    <x v="0"/>
    <x v="3"/>
    <x v="18"/>
    <x v="0"/>
    <x v="365"/>
    <n v="493.76"/>
    <n v="4937.6000000000004"/>
    <n v="625.04"/>
    <n v="4637.7968000000001"/>
    <n v="-299.80320000000029"/>
    <n v="0.25800000000000001"/>
    <n v="1"/>
    <s v="Low"/>
    <n v="-6.464345311549663E-2"/>
    <n v="10"/>
  </r>
  <r>
    <x v="368"/>
    <x v="231"/>
    <d v="2024-03-26T00:00:00"/>
    <d v="2024-03-26T00:00:00"/>
    <n v="17"/>
    <n v="17"/>
    <n v="0"/>
    <s v="March"/>
    <s v="Q1-2024"/>
    <x v="0"/>
    <x v="2"/>
    <x v="0"/>
    <x v="2"/>
    <s v="San Francisco"/>
    <s v="Education"/>
    <x v="1"/>
    <x v="13"/>
    <x v="20"/>
    <x v="5"/>
    <x v="366"/>
    <n v="1137.4100000000001"/>
    <n v="10236.69"/>
    <n v="1680.93"/>
    <n v="11285.764020000001"/>
    <n v="1049.07402"/>
    <n v="0.254"/>
    <n v="1"/>
    <s v="High"/>
    <n v="9.2955516183121464E-2"/>
    <n v="9"/>
  </r>
  <r>
    <x v="369"/>
    <x v="231"/>
    <d v="2024-03-26T00:00:00"/>
    <d v="2024-03-26T00:00:00"/>
    <n v="17"/>
    <n v="17"/>
    <n v="0"/>
    <s v="March"/>
    <s v="Q1-2024"/>
    <x v="0"/>
    <x v="7"/>
    <x v="1"/>
    <x v="7"/>
    <s v="Shenzhen"/>
    <s v="Enterprise"/>
    <x v="3"/>
    <x v="12"/>
    <x v="20"/>
    <x v="1"/>
    <x v="367"/>
    <n v="1029.67"/>
    <n v="9267.0300000000007"/>
    <n v="1118.43"/>
    <n v="7327.9533600000004"/>
    <n v="-1939.0766400000002"/>
    <n v="0.27200000000000002"/>
    <n v="1"/>
    <s v="High"/>
    <n v="-0.26461367106736061"/>
    <n v="9"/>
  </r>
  <r>
    <x v="370"/>
    <x v="308"/>
    <d v="2025-03-27T00:00:00"/>
    <d v="2025-03-27T00:00:00"/>
    <n v="17"/>
    <n v="17"/>
    <n v="0"/>
    <s v="March"/>
    <s v="Q1-2025"/>
    <x v="0"/>
    <x v="1"/>
    <x v="0"/>
    <x v="1"/>
    <s v="Rio de Janeiro"/>
    <s v="Enterprise"/>
    <x v="1"/>
    <x v="0"/>
    <x v="13"/>
    <x v="2"/>
    <x v="368"/>
    <n v="996.73"/>
    <n v="8970.57"/>
    <n v="1217.43"/>
    <n v="10189.8891"/>
    <n v="1219.3191000000006"/>
    <n v="7.0000000000000007E-2"/>
    <n v="0"/>
    <s v="High"/>
    <n v="0.11965970267527255"/>
    <n v="9"/>
  </r>
  <r>
    <x v="371"/>
    <x v="309"/>
    <d v="2023-05-28T00:00:00"/>
    <d v="2023-05-28T00:00:00"/>
    <n v="17"/>
    <n v="17"/>
    <n v="0"/>
    <s v="May"/>
    <s v="Q2-2023"/>
    <x v="0"/>
    <x v="7"/>
    <x v="1"/>
    <x v="7"/>
    <s v="Shenzhen"/>
    <s v="Enterprise"/>
    <x v="2"/>
    <x v="7"/>
    <x v="2"/>
    <x v="2"/>
    <x v="369"/>
    <n v="1331.19"/>
    <n v="10649.52"/>
    <n v="2903.09"/>
    <n v="19903.585040000002"/>
    <n v="9254.0650400000013"/>
    <n v="0.14299999999999999"/>
    <n v="0"/>
    <s v="High"/>
    <n v="0.46494463290920784"/>
    <n v="8"/>
  </r>
  <r>
    <x v="372"/>
    <x v="310"/>
    <d v="2025-05-15T00:00:00"/>
    <d v="2025-05-15T00:00:00"/>
    <n v="17"/>
    <n v="17"/>
    <n v="0"/>
    <s v="April"/>
    <s v="Q2-2025"/>
    <x v="1"/>
    <x v="3"/>
    <x v="1"/>
    <x v="3"/>
    <s v="Nagoya"/>
    <s v="Education"/>
    <x v="1"/>
    <x v="6"/>
    <x v="13"/>
    <x v="2"/>
    <x v="370"/>
    <n v="691.19"/>
    <n v="4838.33"/>
    <n v="1284.3"/>
    <n v="8324.8326000000015"/>
    <n v="3486.5026000000016"/>
    <n v="7.3999999999999996E-2"/>
    <n v="0"/>
    <s v="High"/>
    <n v="0.41880753253825198"/>
    <n v="7"/>
  </r>
  <r>
    <x v="373"/>
    <x v="311"/>
    <d v="2024-03-04T00:00:00"/>
    <d v="2024-03-04T00:00:00"/>
    <n v="17"/>
    <n v="17"/>
    <n v="0"/>
    <s v="February"/>
    <s v="Q1-2024"/>
    <x v="0"/>
    <x v="0"/>
    <x v="0"/>
    <x v="0"/>
    <s v="Montreal"/>
    <s v="Non-Profit"/>
    <x v="4"/>
    <x v="9"/>
    <x v="20"/>
    <x v="3"/>
    <x v="371"/>
    <n v="1350.98"/>
    <n v="8105.88"/>
    <n v="2210.4"/>
    <n v="9774.3888000000006"/>
    <n v="1668.5088000000005"/>
    <n v="0.26300000000000001"/>
    <n v="1"/>
    <s v="High"/>
    <n v="0.17070211080615091"/>
    <n v="6"/>
  </r>
  <r>
    <x v="374"/>
    <x v="312"/>
    <d v="2025-09-28T00:00:00"/>
    <d v="2025-09-28T00:00:00"/>
    <n v="17"/>
    <n v="17"/>
    <n v="0"/>
    <s v="September"/>
    <s v="Q3-2025"/>
    <x v="0"/>
    <x v="9"/>
    <x v="3"/>
    <x v="9"/>
    <s v="Nairobi"/>
    <s v="Non-Profit"/>
    <x v="0"/>
    <x v="10"/>
    <x v="4"/>
    <x v="3"/>
    <x v="372"/>
    <n v="891.46"/>
    <n v="5348.76"/>
    <n v="728.61"/>
    <n v="3562.9028999999996"/>
    <n v="-1785.8571000000006"/>
    <n v="0.185"/>
    <n v="0"/>
    <s v="Low"/>
    <n v="-0.50123653383874167"/>
    <n v="6"/>
  </r>
  <r>
    <x v="375"/>
    <x v="313"/>
    <d v="2023-12-18T00:00:00"/>
    <d v="2023-12-18T00:00:00"/>
    <n v="17"/>
    <n v="17"/>
    <n v="0"/>
    <s v="December"/>
    <s v="Q4-2023"/>
    <x v="1"/>
    <x v="3"/>
    <x v="1"/>
    <x v="3"/>
    <s v="Nagoya"/>
    <s v="Small Business"/>
    <x v="1"/>
    <x v="6"/>
    <x v="27"/>
    <x v="3"/>
    <x v="373"/>
    <n v="1495.79"/>
    <n v="7478.95"/>
    <n v="2783.12"/>
    <n v="13637.287999999999"/>
    <n v="6158.3379999999988"/>
    <n v="0.02"/>
    <n v="0"/>
    <s v="High"/>
    <n v="0.45158084217331185"/>
    <n v="5"/>
  </r>
  <r>
    <x v="376"/>
    <x v="307"/>
    <d v="2024-01-29T00:00:00"/>
    <d v="2024-01-29T00:00:00"/>
    <n v="17"/>
    <n v="17"/>
    <n v="0"/>
    <s v="January"/>
    <s v="Q1-2024"/>
    <x v="0"/>
    <x v="1"/>
    <x v="1"/>
    <x v="11"/>
    <s v="Hyderabad"/>
    <s v="Small Business"/>
    <x v="1"/>
    <x v="11"/>
    <x v="18"/>
    <x v="6"/>
    <x v="374"/>
    <n v="310.02"/>
    <n v="1240.08"/>
    <n v="619.51"/>
    <n v="2373.9623200000001"/>
    <n v="1133.8823200000002"/>
    <n v="4.2000000000000003E-2"/>
    <n v="0"/>
    <s v="Low"/>
    <n v="0.47763282106347843"/>
    <n v="4"/>
  </r>
  <r>
    <x v="377"/>
    <x v="314"/>
    <d v="2023-05-18T00:00:00"/>
    <d v="2023-05-18T00:00:00"/>
    <n v="17"/>
    <n v="17"/>
    <n v="0"/>
    <s v="May"/>
    <s v="Q2-2023"/>
    <x v="0"/>
    <x v="5"/>
    <x v="3"/>
    <x v="5"/>
    <s v="Port Harcourt"/>
    <s v="Corporate"/>
    <x v="1"/>
    <x v="0"/>
    <x v="2"/>
    <x v="6"/>
    <x v="375"/>
    <n v="327.97"/>
    <n v="983.91000000000008"/>
    <n v="299.94"/>
    <n v="855.72881999999993"/>
    <n v="-128.18118000000015"/>
    <n v="4.9000000000000002E-2"/>
    <n v="0"/>
    <s v="Low"/>
    <n v="-0.14979182306843442"/>
    <n v="3"/>
  </r>
  <r>
    <x v="378"/>
    <x v="315"/>
    <d v="2025-08-28T00:00:00"/>
    <d v="2025-08-28T00:00:00"/>
    <n v="17"/>
    <n v="17"/>
    <n v="0"/>
    <s v="August"/>
    <s v="Q3-2025"/>
    <x v="0"/>
    <x v="8"/>
    <x v="2"/>
    <x v="8"/>
    <s v="Paris"/>
    <s v="Education"/>
    <x v="3"/>
    <x v="0"/>
    <x v="4"/>
    <x v="2"/>
    <x v="376"/>
    <n v="416.16"/>
    <n v="832.32"/>
    <n v="571.9"/>
    <n v="1062.5902000000001"/>
    <n v="230.27020000000005"/>
    <n v="7.0999999999999994E-2"/>
    <n v="0"/>
    <s v="Low"/>
    <n v="0.21670649701079497"/>
    <n v="2"/>
  </r>
  <r>
    <x v="379"/>
    <x v="250"/>
    <d v="2023-07-08T00:00:00"/>
    <d v="2023-07-08T00:00:00"/>
    <n v="18"/>
    <n v="18"/>
    <n v="0"/>
    <s v="June"/>
    <s v="Q2-2023"/>
    <x v="0"/>
    <x v="2"/>
    <x v="0"/>
    <x v="2"/>
    <s v="New York"/>
    <s v="Consumer"/>
    <x v="2"/>
    <x v="4"/>
    <x v="7"/>
    <x v="2"/>
    <x v="377"/>
    <n v="1145.53"/>
    <n v="46966.729999999996"/>
    <n v="1278.3"/>
    <n v="47693.373"/>
    <n v="726.64300000000367"/>
    <n v="0.09"/>
    <n v="0"/>
    <s v="High"/>
    <n v="1.5235722581416158E-2"/>
    <n v="41"/>
  </r>
  <r>
    <x v="380"/>
    <x v="316"/>
    <d v="2024-06-23T00:00:00"/>
    <d v="2024-06-23T00:00:00"/>
    <n v="18"/>
    <n v="18"/>
    <n v="0"/>
    <s v="June"/>
    <s v="Q2-2024"/>
    <x v="0"/>
    <x v="9"/>
    <x v="3"/>
    <x v="9"/>
    <s v="Nairobi"/>
    <s v="Consumer"/>
    <x v="0"/>
    <x v="9"/>
    <x v="3"/>
    <x v="3"/>
    <x v="378"/>
    <n v="1208.74"/>
    <n v="47140.86"/>
    <n v="1594.78"/>
    <n v="58526.83122"/>
    <n v="11385.971219999999"/>
    <n v="5.8999999999999997E-2"/>
    <n v="0"/>
    <s v="High"/>
    <n v="0.1945427589817838"/>
    <n v="39"/>
  </r>
  <r>
    <x v="381"/>
    <x v="115"/>
    <d v="2024-04-21T00:00:00"/>
    <d v="2024-04-21T00:00:00"/>
    <n v="18"/>
    <n v="18"/>
    <n v="0"/>
    <s v="April"/>
    <s v="Q2-2024"/>
    <x v="0"/>
    <x v="1"/>
    <x v="0"/>
    <x v="1"/>
    <s v="Brasília"/>
    <s v="Small Business"/>
    <x v="0"/>
    <x v="11"/>
    <x v="31"/>
    <x v="2"/>
    <x v="379"/>
    <n v="1176.69"/>
    <n v="31770.63"/>
    <n v="2201.54"/>
    <n v="49336.511399999996"/>
    <n v="17565.881399999995"/>
    <n v="0.17"/>
    <n v="0"/>
    <s v="High"/>
    <n v="0.35604222717701106"/>
    <n v="27"/>
  </r>
  <r>
    <x v="382"/>
    <x v="317"/>
    <d v="2024-03-25T00:00:00"/>
    <d v="2024-03-25T00:00:00"/>
    <n v="18"/>
    <n v="18"/>
    <n v="0"/>
    <s v="March"/>
    <s v="Q1-2024"/>
    <x v="0"/>
    <x v="10"/>
    <x v="2"/>
    <x v="10"/>
    <s v="Munich"/>
    <s v="Corporate"/>
    <x v="3"/>
    <x v="11"/>
    <x v="20"/>
    <x v="6"/>
    <x v="380"/>
    <n v="712.84"/>
    <n v="19246.68"/>
    <n v="927.51"/>
    <n v="18957.37689"/>
    <n v="-289.30311000000074"/>
    <n v="0.24299999999999999"/>
    <n v="1"/>
    <s v="High"/>
    <n v="-1.5260714163076427E-2"/>
    <n v="27"/>
  </r>
  <r>
    <x v="383"/>
    <x v="318"/>
    <d v="2025-03-09T00:00:00"/>
    <d v="2025-03-09T00:00:00"/>
    <n v="18"/>
    <n v="18"/>
    <n v="0"/>
    <s v="February"/>
    <s v="Q1-2025"/>
    <x v="0"/>
    <x v="1"/>
    <x v="1"/>
    <x v="11"/>
    <s v="Delhi"/>
    <s v="Small Business"/>
    <x v="1"/>
    <x v="4"/>
    <x v="22"/>
    <x v="1"/>
    <x v="381"/>
    <n v="325.87"/>
    <n v="5213.92"/>
    <n v="538.79"/>
    <n v="7120.6486400000003"/>
    <n v="1906.7286400000003"/>
    <n v="0.17399999999999999"/>
    <n v="0"/>
    <s v="Low"/>
    <n v="0.26777457172778013"/>
    <n v="16"/>
  </r>
  <r>
    <x v="384"/>
    <x v="69"/>
    <d v="2023-06-10T00:00:00"/>
    <d v="2023-06-10T00:00:00"/>
    <n v="18"/>
    <n v="18"/>
    <n v="0"/>
    <s v="May"/>
    <s v="Q2-2023"/>
    <x v="0"/>
    <x v="7"/>
    <x v="1"/>
    <x v="7"/>
    <s v="Shanghai"/>
    <s v="Corporate"/>
    <x v="0"/>
    <x v="7"/>
    <x v="14"/>
    <x v="6"/>
    <x v="382"/>
    <n v="54.62"/>
    <n v="873.92"/>
    <n v="48.94"/>
    <n v="667.15008"/>
    <n v="-206.76991999999996"/>
    <n v="0.14799999999999999"/>
    <n v="0"/>
    <s v="Low"/>
    <n v="-0.3099301434543783"/>
    <n v="16"/>
  </r>
  <r>
    <x v="385"/>
    <x v="179"/>
    <d v="2023-05-07T00:00:00"/>
    <d v="2023-05-07T00:00:00"/>
    <n v="18"/>
    <n v="18"/>
    <n v="0"/>
    <s v="April"/>
    <s v="Q2-2023"/>
    <x v="0"/>
    <x v="4"/>
    <x v="2"/>
    <x v="4"/>
    <s v="Birmingham"/>
    <s v="Enterprise"/>
    <x v="4"/>
    <x v="6"/>
    <x v="2"/>
    <x v="3"/>
    <x v="383"/>
    <n v="1089.1500000000001"/>
    <n v="16337.250000000002"/>
    <n v="1088.2"/>
    <n v="15490.527"/>
    <n v="-846.72300000000178"/>
    <n v="5.0999999999999997E-2"/>
    <n v="0"/>
    <s v="High"/>
    <n v="-5.4660696824582002E-2"/>
    <n v="15"/>
  </r>
  <r>
    <x v="386"/>
    <x v="319"/>
    <d v="2025-04-30T00:00:00"/>
    <d v="2025-04-30T00:00:00"/>
    <n v="18"/>
    <n v="18"/>
    <n v="0"/>
    <s v="April"/>
    <s v="Q2-2025"/>
    <x v="0"/>
    <x v="9"/>
    <x v="3"/>
    <x v="9"/>
    <s v="Kisumu"/>
    <s v="Corporate"/>
    <x v="2"/>
    <x v="0"/>
    <x v="23"/>
    <x v="2"/>
    <x v="384"/>
    <n v="1119.04"/>
    <n v="15666.56"/>
    <n v="1299.02"/>
    <n v="17731.623"/>
    <n v="2065.0630000000001"/>
    <n v="2.5000000000000001E-2"/>
    <n v="0"/>
    <s v="High"/>
    <n v="0.11646215352085933"/>
    <n v="14"/>
  </r>
  <r>
    <x v="387"/>
    <x v="282"/>
    <d v="2024-02-21T00:00:00"/>
    <d v="2024-02-21T00:00:00"/>
    <n v="18"/>
    <n v="18"/>
    <n v="0"/>
    <s v="February"/>
    <s v="Q1-2024"/>
    <x v="0"/>
    <x v="10"/>
    <x v="2"/>
    <x v="10"/>
    <s v="Frankfurt"/>
    <s v="Corporate"/>
    <x v="4"/>
    <x v="8"/>
    <x v="19"/>
    <x v="6"/>
    <x v="385"/>
    <n v="39.229999999999997"/>
    <n v="509.98999999999995"/>
    <n v="30.09"/>
    <n v="321.93290999999999"/>
    <n v="-188.05708999999996"/>
    <n v="0.17699999999999999"/>
    <n v="0"/>
    <s v="Low"/>
    <n v="-0.58414993981199359"/>
    <n v="13"/>
  </r>
  <r>
    <x v="388"/>
    <x v="17"/>
    <d v="2023-06-07T00:00:00"/>
    <d v="2023-06-07T00:00:00"/>
    <n v="18"/>
    <n v="18"/>
    <n v="0"/>
    <s v="May"/>
    <s v="Q2-2023"/>
    <x v="0"/>
    <x v="5"/>
    <x v="3"/>
    <x v="5"/>
    <s v="Port Harcourt"/>
    <s v="Enterprise"/>
    <x v="0"/>
    <x v="7"/>
    <x v="14"/>
    <x v="6"/>
    <x v="386"/>
    <n v="1120.06"/>
    <n v="13440.72"/>
    <n v="2068.21"/>
    <n v="22882.675440000003"/>
    <n v="9441.9554400000034"/>
    <n v="7.8E-2"/>
    <n v="0"/>
    <s v="High"/>
    <n v="0.41262462795303284"/>
    <n v="12"/>
  </r>
  <r>
    <x v="389"/>
    <x v="320"/>
    <d v="2023-11-28T00:00:00"/>
    <d v="2023-11-28T00:00:00"/>
    <n v="18"/>
    <n v="18"/>
    <n v="0"/>
    <s v="November"/>
    <s v="Q4-2023"/>
    <x v="0"/>
    <x v="1"/>
    <x v="0"/>
    <x v="1"/>
    <s v="Brasília"/>
    <s v="Education"/>
    <x v="2"/>
    <x v="5"/>
    <x v="12"/>
    <x v="4"/>
    <x v="387"/>
    <n v="388.51"/>
    <n v="4662.12"/>
    <n v="776.46"/>
    <n v="7854.6693599999999"/>
    <n v="3192.54936"/>
    <n v="0.157"/>
    <n v="0"/>
    <s v="Low"/>
    <n v="0.40645241876864946"/>
    <n v="12"/>
  </r>
  <r>
    <x v="390"/>
    <x v="321"/>
    <d v="2024-06-24T00:00:00"/>
    <d v="2024-06-24T00:00:00"/>
    <n v="18"/>
    <n v="18"/>
    <n v="0"/>
    <s v="June"/>
    <s v="Q2-2024"/>
    <x v="0"/>
    <x v="1"/>
    <x v="1"/>
    <x v="11"/>
    <s v="Bengaluru"/>
    <s v="Small Business"/>
    <x v="1"/>
    <x v="8"/>
    <x v="3"/>
    <x v="2"/>
    <x v="388"/>
    <n v="1253.25"/>
    <n v="13785.75"/>
    <n v="3087.13"/>
    <n v="31513.423040000001"/>
    <n v="17727.673040000001"/>
    <n v="7.1999999999999995E-2"/>
    <n v="0"/>
    <s v="High"/>
    <n v="0.562543555408064"/>
    <n v="11"/>
  </r>
  <r>
    <x v="391"/>
    <x v="322"/>
    <d v="2024-11-06T00:00:00"/>
    <d v="2024-11-06T00:00:00"/>
    <n v="18"/>
    <n v="18"/>
    <n v="0"/>
    <s v="October"/>
    <s v="Q4-2024"/>
    <x v="0"/>
    <x v="2"/>
    <x v="0"/>
    <x v="2"/>
    <s v="Chicago"/>
    <s v="Education"/>
    <x v="5"/>
    <x v="14"/>
    <x v="15"/>
    <x v="1"/>
    <x v="389"/>
    <n v="942.02"/>
    <n v="8478.18"/>
    <n v="1028.46"/>
    <n v="9256.14"/>
    <n v="777.95999999999913"/>
    <n v="0"/>
    <n v="0"/>
    <s v="High"/>
    <n v="8.4047994088248354E-2"/>
    <n v="9"/>
  </r>
  <r>
    <x v="392"/>
    <x v="323"/>
    <d v="2024-03-29T00:00:00"/>
    <d v="2024-03-29T00:00:00"/>
    <n v="18"/>
    <n v="18"/>
    <n v="0"/>
    <s v="March"/>
    <s v="Q1-2024"/>
    <x v="0"/>
    <x v="2"/>
    <x v="0"/>
    <x v="2"/>
    <s v="New York"/>
    <s v="Corporate"/>
    <x v="4"/>
    <x v="1"/>
    <x v="20"/>
    <x v="1"/>
    <x v="390"/>
    <n v="710.98"/>
    <n v="6398.82"/>
    <n v="1481.45"/>
    <n v="10519.776450000001"/>
    <n v="4120.9564500000015"/>
    <n v="0.21099999999999999"/>
    <n v="1"/>
    <s v="High"/>
    <n v="0.39173422264120461"/>
    <n v="9"/>
  </r>
  <r>
    <x v="393"/>
    <x v="324"/>
    <d v="2025-09-30T00:00:00"/>
    <d v="2025-09-30T00:00:00"/>
    <n v="18"/>
    <n v="18"/>
    <n v="0"/>
    <s v="September"/>
    <s v="Q3-2025"/>
    <x v="1"/>
    <x v="3"/>
    <x v="1"/>
    <x v="3"/>
    <s v="Nagoya"/>
    <s v="Non-Profit"/>
    <x v="2"/>
    <x v="0"/>
    <x v="25"/>
    <x v="1"/>
    <x v="391"/>
    <n v="1212.99"/>
    <n v="9703.92"/>
    <n v="1653.64"/>
    <n v="11813.604160000001"/>
    <n v="2109.6841600000007"/>
    <n v="0.107"/>
    <n v="0"/>
    <s v="High"/>
    <n v="0.17858090819931455"/>
    <n v="8"/>
  </r>
  <r>
    <x v="394"/>
    <x v="250"/>
    <d v="2023-07-08T00:00:00"/>
    <d v="2023-07-08T00:00:00"/>
    <n v="18"/>
    <n v="18"/>
    <n v="0"/>
    <s v="June"/>
    <s v="Q2-2023"/>
    <x v="0"/>
    <x v="2"/>
    <x v="0"/>
    <x v="2"/>
    <s v="Austin"/>
    <s v="Non-Profit"/>
    <x v="1"/>
    <x v="0"/>
    <x v="7"/>
    <x v="1"/>
    <x v="392"/>
    <n v="337"/>
    <n v="2359"/>
    <n v="511.03"/>
    <n v="3190.8713200000002"/>
    <n v="831.8713200000002"/>
    <n v="0.108"/>
    <n v="0"/>
    <s v="Low"/>
    <n v="0.26070349963219458"/>
    <n v="7"/>
  </r>
  <r>
    <x v="395"/>
    <x v="325"/>
    <d v="2025-07-05T00:00:00"/>
    <d v="2025-07-05T00:00:00"/>
    <n v="18"/>
    <n v="18"/>
    <n v="0"/>
    <s v="June"/>
    <s v="Q2-2025"/>
    <x v="0"/>
    <x v="1"/>
    <x v="1"/>
    <x v="11"/>
    <s v="Delhi"/>
    <s v="Consumer"/>
    <x v="2"/>
    <x v="5"/>
    <x v="0"/>
    <x v="3"/>
    <x v="393"/>
    <n v="982.93"/>
    <n v="5897.58"/>
    <n v="2299.3000000000002"/>
    <n v="12236.874600000001"/>
    <n v="6339.2946000000011"/>
    <n v="0.113"/>
    <n v="0"/>
    <s v="High"/>
    <n v="0.51804850562087157"/>
    <n v="6"/>
  </r>
  <r>
    <x v="396"/>
    <x v="79"/>
    <d v="2025-01-14T00:00:00"/>
    <d v="2025-01-14T00:00:00"/>
    <n v="18"/>
    <n v="18"/>
    <n v="0"/>
    <s v="December"/>
    <s v="Q4-2024"/>
    <x v="0"/>
    <x v="1"/>
    <x v="1"/>
    <x v="11"/>
    <s v="Bengaluru"/>
    <s v="Small Business"/>
    <x v="2"/>
    <x v="7"/>
    <x v="21"/>
    <x v="1"/>
    <x v="394"/>
    <n v="586.07000000000005"/>
    <n v="2344.2800000000002"/>
    <n v="845.97"/>
    <n v="2886.4496399999998"/>
    <n v="542.16963999999962"/>
    <n v="0.14699999999999999"/>
    <n v="0"/>
    <s v="High"/>
    <n v="0.18783270370862928"/>
    <n v="4"/>
  </r>
  <r>
    <x v="397"/>
    <x v="179"/>
    <d v="2023-05-07T00:00:00"/>
    <d v="2023-05-07T00:00:00"/>
    <n v="18"/>
    <n v="18"/>
    <n v="0"/>
    <s v="April"/>
    <s v="Q2-2023"/>
    <x v="0"/>
    <x v="4"/>
    <x v="2"/>
    <x v="4"/>
    <s v="London"/>
    <s v="Non-Profit"/>
    <x v="1"/>
    <x v="8"/>
    <x v="2"/>
    <x v="2"/>
    <x v="395"/>
    <n v="516.96"/>
    <n v="2067.84"/>
    <n v="745.38"/>
    <n v="2394.1605599999998"/>
    <n v="326.32055999999966"/>
    <n v="0.19700000000000001"/>
    <n v="0"/>
    <s v="Low"/>
    <n v="0.13629852794835101"/>
    <n v="4"/>
  </r>
  <r>
    <x v="398"/>
    <x v="72"/>
    <d v="2024-06-26T00:00:00"/>
    <d v="2024-06-26T00:00:00"/>
    <n v="19"/>
    <n v="19"/>
    <n v="0"/>
    <s v="June"/>
    <s v="Q2-2024"/>
    <x v="0"/>
    <x v="10"/>
    <x v="2"/>
    <x v="10"/>
    <s v="Berlin"/>
    <s v="Non-Profit"/>
    <x v="2"/>
    <x v="1"/>
    <x v="3"/>
    <x v="6"/>
    <x v="396"/>
    <n v="1064.32"/>
    <n v="40444.159999999996"/>
    <n v="1848.39"/>
    <n v="65111.38614000001"/>
    <n v="24667.226140000013"/>
    <n v="7.2999999999999995E-2"/>
    <n v="0"/>
    <s v="High"/>
    <n v="0.3788465827921631"/>
    <n v="38"/>
  </r>
  <r>
    <x v="399"/>
    <x v="4"/>
    <d v="2025-06-09T00:00:00"/>
    <d v="2025-06-09T00:00:00"/>
    <n v="19"/>
    <n v="19"/>
    <n v="0"/>
    <s v="May"/>
    <s v="Q2-2025"/>
    <x v="0"/>
    <x v="1"/>
    <x v="0"/>
    <x v="1"/>
    <s v="São Paulo"/>
    <s v="Non-Profit"/>
    <x v="3"/>
    <x v="3"/>
    <x v="9"/>
    <x v="6"/>
    <x v="397"/>
    <n v="1331.38"/>
    <n v="41272.780000000006"/>
    <n v="2309.56"/>
    <n v="60928.502359999999"/>
    <n v="19655.722359999992"/>
    <n v="0.14899999999999999"/>
    <n v="0"/>
    <s v="High"/>
    <n v="0.32260307735553528"/>
    <n v="31"/>
  </r>
  <r>
    <x v="400"/>
    <x v="326"/>
    <d v="2024-10-02T00:00:00"/>
    <d v="2024-10-02T00:00:00"/>
    <n v="19"/>
    <n v="19"/>
    <n v="0"/>
    <s v="September"/>
    <s v="Q3-2024"/>
    <x v="0"/>
    <x v="9"/>
    <x v="3"/>
    <x v="9"/>
    <s v="Mombasa"/>
    <s v="Small Business"/>
    <x v="4"/>
    <x v="1"/>
    <x v="10"/>
    <x v="5"/>
    <x v="398"/>
    <n v="1338.99"/>
    <n v="32135.760000000002"/>
    <n v="1765.76"/>
    <n v="37038.581760000001"/>
    <n v="4902.8217599999989"/>
    <n v="0.126"/>
    <n v="0"/>
    <s v="High"/>
    <n v="0.1323706666677725"/>
    <n v="24"/>
  </r>
  <r>
    <x v="401"/>
    <x v="194"/>
    <d v="2024-12-19T00:00:00"/>
    <d v="2024-12-19T00:00:00"/>
    <n v="19"/>
    <n v="19"/>
    <n v="0"/>
    <s v="November"/>
    <s v="Q4-2024"/>
    <x v="0"/>
    <x v="9"/>
    <x v="3"/>
    <x v="9"/>
    <s v="Kisumu"/>
    <s v="Corporate"/>
    <x v="3"/>
    <x v="5"/>
    <x v="21"/>
    <x v="5"/>
    <x v="399"/>
    <n v="1195.98"/>
    <n v="22723.62"/>
    <n v="1841.9"/>
    <n v="33071.3145"/>
    <n v="10347.694500000001"/>
    <n v="5.5E-2"/>
    <n v="0"/>
    <s v="High"/>
    <n v="0.31289032977506842"/>
    <n v="19"/>
  </r>
  <r>
    <x v="402"/>
    <x v="327"/>
    <d v="2025-04-09T00:00:00"/>
    <d v="2025-04-09T00:00:00"/>
    <n v="19"/>
    <n v="19"/>
    <n v="0"/>
    <s v="March"/>
    <s v="Q1-2025"/>
    <x v="1"/>
    <x v="3"/>
    <x v="1"/>
    <x v="3"/>
    <s v="Tokyo"/>
    <s v="Small Business"/>
    <x v="0"/>
    <x v="7"/>
    <x v="22"/>
    <x v="6"/>
    <x v="400"/>
    <n v="1055.45"/>
    <n v="18998.100000000002"/>
    <n v="1210.04"/>
    <n v="21584.693520000001"/>
    <n v="2586.5935199999985"/>
    <n v="8.9999999999999993E-3"/>
    <n v="0"/>
    <s v="High"/>
    <n v="0.1198346188053727"/>
    <n v="18"/>
  </r>
  <r>
    <x v="403"/>
    <x v="117"/>
    <d v="2023-09-07T00:00:00"/>
    <d v="2023-09-07T00:00:00"/>
    <n v="19"/>
    <n v="19"/>
    <n v="0"/>
    <s v="August"/>
    <s v="Q3-2023"/>
    <x v="0"/>
    <x v="6"/>
    <x v="3"/>
    <x v="6"/>
    <s v="Johannesburg"/>
    <s v="Enterprise"/>
    <x v="4"/>
    <x v="9"/>
    <x v="30"/>
    <x v="1"/>
    <x v="401"/>
    <n v="494.61"/>
    <n v="8902.98"/>
    <n v="605.23"/>
    <n v="8671.7354400000004"/>
    <n v="-231.24455999999918"/>
    <n v="0.20399999999999999"/>
    <n v="1"/>
    <s v="Low"/>
    <n v="-2.6666468505639647E-2"/>
    <n v="18"/>
  </r>
  <r>
    <x v="404"/>
    <x v="328"/>
    <d v="2025-02-15T00:00:00"/>
    <d v="2025-02-15T00:00:00"/>
    <n v="19"/>
    <n v="19"/>
    <n v="0"/>
    <s v="January"/>
    <s v="Q1-2025"/>
    <x v="0"/>
    <x v="7"/>
    <x v="1"/>
    <x v="7"/>
    <s v="Shenzhen"/>
    <s v="Non-Profit"/>
    <x v="1"/>
    <x v="5"/>
    <x v="22"/>
    <x v="5"/>
    <x v="402"/>
    <n v="1253.22"/>
    <n v="21304.74"/>
    <n v="3104.71"/>
    <n v="52780.07"/>
    <n v="31475.329999999998"/>
    <n v="0"/>
    <n v="0"/>
    <s v="High"/>
    <n v="0.59634877331538205"/>
    <n v="17"/>
  </r>
  <r>
    <x v="405"/>
    <x v="79"/>
    <d v="2025-01-15T00:00:00"/>
    <d v="2025-01-15T00:00:00"/>
    <n v="19"/>
    <n v="19"/>
    <n v="0"/>
    <s v="December"/>
    <s v="Q4-2024"/>
    <x v="0"/>
    <x v="1"/>
    <x v="1"/>
    <x v="11"/>
    <s v="Delhi"/>
    <s v="Non-Profit"/>
    <x v="0"/>
    <x v="2"/>
    <x v="21"/>
    <x v="6"/>
    <x v="403"/>
    <n v="495.59"/>
    <n v="8425.0299999999988"/>
    <n v="631.78"/>
    <n v="9805.8573800000013"/>
    <n v="1380.8273800000024"/>
    <n v="8.6999999999999994E-2"/>
    <n v="0"/>
    <s v="Low"/>
    <n v="0.14081658813601899"/>
    <n v="17"/>
  </r>
  <r>
    <x v="406"/>
    <x v="329"/>
    <d v="2024-12-26T00:00:00"/>
    <d v="2024-12-26T00:00:00"/>
    <n v="19"/>
    <n v="19"/>
    <n v="0"/>
    <s v="December"/>
    <s v="Q4-2024"/>
    <x v="0"/>
    <x v="4"/>
    <x v="2"/>
    <x v="4"/>
    <s v="London"/>
    <s v="Enterprise"/>
    <x v="3"/>
    <x v="9"/>
    <x v="21"/>
    <x v="2"/>
    <x v="404"/>
    <n v="1035.24"/>
    <n v="15528.6"/>
    <n v="2383.41"/>
    <n v="29673.454499999993"/>
    <n v="14144.854499999992"/>
    <n v="0.17"/>
    <n v="0"/>
    <s v="High"/>
    <n v="0.47668378145860962"/>
    <n v="15"/>
  </r>
  <r>
    <x v="407"/>
    <x v="41"/>
    <d v="2023-11-09T00:00:00"/>
    <d v="2023-11-09T00:00:00"/>
    <n v="19"/>
    <n v="19"/>
    <n v="0"/>
    <s v="October"/>
    <s v="Q4-2023"/>
    <x v="0"/>
    <x v="4"/>
    <x v="2"/>
    <x v="4"/>
    <s v="London"/>
    <s v="Non-Profit"/>
    <x v="1"/>
    <x v="3"/>
    <x v="12"/>
    <x v="4"/>
    <x v="405"/>
    <n v="1142.48"/>
    <n v="15994.720000000001"/>
    <n v="2105.5300000000002"/>
    <n v="23375.594060000003"/>
    <n v="7380.8740600000019"/>
    <n v="0.20699999999999999"/>
    <n v="1"/>
    <s v="High"/>
    <n v="0.31575129346680658"/>
    <n v="14"/>
  </r>
  <r>
    <x v="408"/>
    <x v="330"/>
    <d v="2023-01-29T00:00:00"/>
    <d v="2023-01-29T00:00:00"/>
    <n v="19"/>
    <n v="19"/>
    <n v="0"/>
    <s v="January"/>
    <s v="Q1-2023"/>
    <x v="0"/>
    <x v="8"/>
    <x v="2"/>
    <x v="8"/>
    <s v="Lyon"/>
    <s v="Non-Profit"/>
    <x v="1"/>
    <x v="9"/>
    <x v="5"/>
    <x v="3"/>
    <x v="406"/>
    <n v="401.66"/>
    <n v="5623.2400000000007"/>
    <n v="772.09"/>
    <n v="9847.2358600000007"/>
    <n v="4223.99586"/>
    <n v="8.8999999999999996E-2"/>
    <n v="0"/>
    <s v="Low"/>
    <n v="0.42895244107619046"/>
    <n v="14"/>
  </r>
  <r>
    <x v="409"/>
    <x v="331"/>
    <d v="2024-04-25T00:00:00"/>
    <d v="2024-04-25T00:00:00"/>
    <n v="19"/>
    <n v="19"/>
    <n v="0"/>
    <s v="April"/>
    <s v="Q2-2024"/>
    <x v="0"/>
    <x v="7"/>
    <x v="1"/>
    <x v="7"/>
    <s v="Shanghai"/>
    <s v="Corporate"/>
    <x v="4"/>
    <x v="12"/>
    <x v="31"/>
    <x v="6"/>
    <x v="407"/>
    <n v="1366.48"/>
    <n v="13664.8"/>
    <n v="1678.14"/>
    <n v="14197.064400000001"/>
    <n v="532.26440000000184"/>
    <n v="0.154"/>
    <n v="0"/>
    <s v="High"/>
    <n v="3.7491159087790132E-2"/>
    <n v="10"/>
  </r>
  <r>
    <x v="410"/>
    <x v="258"/>
    <d v="2024-09-07T00:00:00"/>
    <d v="2024-09-07T00:00:00"/>
    <n v="19"/>
    <n v="19"/>
    <n v="0"/>
    <s v="August"/>
    <s v="Q3-2024"/>
    <x v="0"/>
    <x v="8"/>
    <x v="2"/>
    <x v="8"/>
    <s v="Lyon"/>
    <s v="Corporate"/>
    <x v="1"/>
    <x v="10"/>
    <x v="10"/>
    <x v="6"/>
    <x v="408"/>
    <n v="297.58999999999997"/>
    <n v="2975.8999999999996"/>
    <n v="666.41"/>
    <n v="6664.0999999999995"/>
    <n v="3688.2"/>
    <n v="0"/>
    <n v="0"/>
    <s v="Low"/>
    <n v="0.55344307558409989"/>
    <n v="10"/>
  </r>
  <r>
    <x v="411"/>
    <x v="332"/>
    <d v="2024-11-26T00:00:00"/>
    <d v="2024-11-26T00:00:00"/>
    <n v="19"/>
    <n v="19"/>
    <n v="0"/>
    <s v="November"/>
    <s v="Q4-2024"/>
    <x v="0"/>
    <x v="1"/>
    <x v="0"/>
    <x v="1"/>
    <s v="Rio de Janeiro"/>
    <s v="Non-Profit"/>
    <x v="0"/>
    <x v="10"/>
    <x v="15"/>
    <x v="0"/>
    <x v="409"/>
    <n v="55.35"/>
    <n v="553.5"/>
    <n v="128.68"/>
    <n v="1122.0896000000002"/>
    <n v="568.58960000000025"/>
    <n v="0.128"/>
    <n v="0"/>
    <s v="Low"/>
    <n v="0.50672388372550647"/>
    <n v="10"/>
  </r>
  <r>
    <x v="412"/>
    <x v="333"/>
    <d v="2025-01-11T00:00:00"/>
    <d v="2025-01-11T00:00:00"/>
    <n v="19"/>
    <n v="19"/>
    <n v="0"/>
    <s v="December"/>
    <s v="Q4-2024"/>
    <x v="0"/>
    <x v="10"/>
    <x v="2"/>
    <x v="10"/>
    <s v="Berlin"/>
    <s v="Education"/>
    <x v="4"/>
    <x v="12"/>
    <x v="26"/>
    <x v="5"/>
    <x v="410"/>
    <n v="501.81"/>
    <n v="4516.29"/>
    <n v="921.62"/>
    <n v="8211.6342000000004"/>
    <n v="3695.3442000000005"/>
    <n v="0.01"/>
    <n v="0"/>
    <s v="High"/>
    <n v="0.45001325071202031"/>
    <n v="9"/>
  </r>
  <r>
    <x v="413"/>
    <x v="334"/>
    <d v="2023-10-08T00:00:00"/>
    <d v="2023-10-08T00:00:00"/>
    <n v="19"/>
    <n v="19"/>
    <n v="0"/>
    <s v="September"/>
    <s v="Q3-2023"/>
    <x v="0"/>
    <x v="1"/>
    <x v="1"/>
    <x v="11"/>
    <s v="Bengaluru"/>
    <s v="Education"/>
    <x v="1"/>
    <x v="10"/>
    <x v="30"/>
    <x v="0"/>
    <x v="411"/>
    <n v="385.32"/>
    <n v="3082.56"/>
    <n v="606.76"/>
    <n v="4436.6291200000005"/>
    <n v="1354.0691200000006"/>
    <n v="8.5999999999999993E-2"/>
    <n v="0"/>
    <s v="Low"/>
    <n v="0.30520223425842735"/>
    <n v="8"/>
  </r>
  <r>
    <x v="414"/>
    <x v="2"/>
    <d v="2023-05-02T00:00:00"/>
    <d v="2023-05-02T00:00:00"/>
    <n v="19"/>
    <n v="19"/>
    <n v="0"/>
    <s v="April"/>
    <s v="Q2-2023"/>
    <x v="0"/>
    <x v="0"/>
    <x v="0"/>
    <x v="0"/>
    <s v="Montreal"/>
    <s v="Consumer"/>
    <x v="0"/>
    <x v="7"/>
    <x v="2"/>
    <x v="1"/>
    <x v="412"/>
    <n v="671.05"/>
    <n v="4026.2999999999997"/>
    <n v="1645.48"/>
    <n v="8520.2954399999999"/>
    <n v="4493.9954400000006"/>
    <n v="0.13700000000000001"/>
    <n v="0"/>
    <s v="High"/>
    <n v="0.52744596377517172"/>
    <n v="6"/>
  </r>
  <r>
    <x v="415"/>
    <x v="335"/>
    <d v="2023-03-12T00:00:00"/>
    <d v="2023-03-12T00:00:00"/>
    <n v="19"/>
    <n v="19"/>
    <n v="0"/>
    <s v="February"/>
    <s v="Q1-2023"/>
    <x v="0"/>
    <x v="9"/>
    <x v="3"/>
    <x v="9"/>
    <s v="Nakuru"/>
    <s v="Corporate"/>
    <x v="3"/>
    <x v="0"/>
    <x v="11"/>
    <x v="2"/>
    <x v="413"/>
    <n v="352.65"/>
    <n v="2115.8999999999996"/>
    <n v="485.86"/>
    <n v="2795.6384399999997"/>
    <n v="679.73844000000008"/>
    <n v="4.1000000000000002E-2"/>
    <n v="0"/>
    <s v="Low"/>
    <n v="0.24314247159943908"/>
    <n v="6"/>
  </r>
  <r>
    <x v="416"/>
    <x v="14"/>
    <d v="2023-05-10T00:00:00"/>
    <d v="2023-05-10T00:00:00"/>
    <n v="19"/>
    <n v="19"/>
    <n v="0"/>
    <s v="April"/>
    <s v="Q2-2023"/>
    <x v="0"/>
    <x v="7"/>
    <x v="1"/>
    <x v="7"/>
    <s v="Shanghai"/>
    <s v="Corporate"/>
    <x v="4"/>
    <x v="3"/>
    <x v="2"/>
    <x v="6"/>
    <x v="414"/>
    <n v="882.33"/>
    <n v="4411.6500000000005"/>
    <n v="1880.15"/>
    <n v="8930.7124999999996"/>
    <n v="4519.0624999999991"/>
    <n v="0.05"/>
    <n v="0"/>
    <s v="High"/>
    <n v="0.50601365792482955"/>
    <n v="5"/>
  </r>
  <r>
    <x v="417"/>
    <x v="336"/>
    <d v="2023-10-10T00:00:00"/>
    <d v="2023-10-10T00:00:00"/>
    <n v="19"/>
    <n v="19"/>
    <n v="0"/>
    <s v="September"/>
    <s v="Q3-2023"/>
    <x v="1"/>
    <x v="3"/>
    <x v="1"/>
    <x v="3"/>
    <s v="Tokyo"/>
    <s v="Education"/>
    <x v="3"/>
    <x v="9"/>
    <x v="16"/>
    <x v="6"/>
    <x v="415"/>
    <n v="845.63"/>
    <n v="4228.1499999999996"/>
    <n v="2062.12"/>
    <n v="8928.9795999999988"/>
    <n v="4700.8295999999991"/>
    <n v="0.13400000000000001"/>
    <n v="0"/>
    <s v="High"/>
    <n v="0.52646884757133949"/>
    <n v="5"/>
  </r>
  <r>
    <x v="418"/>
    <x v="337"/>
    <d v="2025-08-15T00:00:00"/>
    <d v="2025-08-15T00:00:00"/>
    <n v="19"/>
    <n v="19"/>
    <n v="0"/>
    <s v="July"/>
    <s v="Q3-2025"/>
    <x v="1"/>
    <x v="3"/>
    <x v="1"/>
    <x v="3"/>
    <s v="Tokyo"/>
    <s v="Small Business"/>
    <x v="2"/>
    <x v="10"/>
    <x v="0"/>
    <x v="6"/>
    <x v="416"/>
    <n v="275.43"/>
    <n v="1101.72"/>
    <n v="608.36"/>
    <n v="1808.04592"/>
    <n v="706.32592"/>
    <n v="0.25700000000000001"/>
    <n v="1"/>
    <s v="Low"/>
    <n v="0.39065706915231446"/>
    <n v="4"/>
  </r>
  <r>
    <x v="419"/>
    <x v="338"/>
    <d v="2025-05-04T00:00:00"/>
    <d v="2025-05-04T00:00:00"/>
    <n v="20"/>
    <n v="20"/>
    <n v="0"/>
    <s v="April"/>
    <s v="Q2-2025"/>
    <x v="0"/>
    <x v="4"/>
    <x v="2"/>
    <x v="4"/>
    <s v="Birmingham"/>
    <s v="Enterprise"/>
    <x v="2"/>
    <x v="12"/>
    <x v="23"/>
    <x v="1"/>
    <x v="417"/>
    <n v="1413.87"/>
    <n v="53727.06"/>
    <n v="3275"/>
    <n v="92715.25"/>
    <n v="38988.19"/>
    <n v="0.255"/>
    <n v="1"/>
    <s v="High"/>
    <n v="0.42051539525590453"/>
    <n v="38"/>
  </r>
  <r>
    <x v="420"/>
    <x v="339"/>
    <d v="2025-05-17T00:00:00"/>
    <d v="2025-05-17T00:00:00"/>
    <n v="20"/>
    <n v="20"/>
    <n v="0"/>
    <s v="April"/>
    <s v="Q2-2025"/>
    <x v="0"/>
    <x v="2"/>
    <x v="0"/>
    <x v="2"/>
    <s v="Austin"/>
    <s v="Corporate"/>
    <x v="1"/>
    <x v="6"/>
    <x v="9"/>
    <x v="5"/>
    <x v="418"/>
    <n v="932.26"/>
    <n v="26103.279999999999"/>
    <n v="1624.67"/>
    <n v="34800.431400000001"/>
    <n v="8697.1514000000025"/>
    <n v="0.23499999999999999"/>
    <n v="1"/>
    <s v="High"/>
    <n v="0.24991504559337163"/>
    <n v="28"/>
  </r>
  <r>
    <x v="421"/>
    <x v="340"/>
    <d v="2023-03-24T00:00:00"/>
    <d v="2023-03-24T00:00:00"/>
    <n v="20"/>
    <n v="20"/>
    <n v="0"/>
    <s v="March"/>
    <s v="Q1-2023"/>
    <x v="0"/>
    <x v="0"/>
    <x v="0"/>
    <x v="0"/>
    <s v="Montreal"/>
    <s v="Consumer"/>
    <x v="0"/>
    <x v="13"/>
    <x v="28"/>
    <x v="3"/>
    <x v="419"/>
    <n v="481.71"/>
    <n v="11561.039999999999"/>
    <n v="912.45"/>
    <n v="17453.3436"/>
    <n v="5892.3036000000011"/>
    <n v="0.20300000000000001"/>
    <n v="1"/>
    <s v="High"/>
    <n v="0.33760313983619739"/>
    <n v="24"/>
  </r>
  <r>
    <x v="422"/>
    <x v="341"/>
    <d v="2024-03-26T00:00:00"/>
    <d v="2024-03-26T00:00:00"/>
    <n v="20"/>
    <n v="20"/>
    <n v="0"/>
    <s v="March"/>
    <s v="Q1-2024"/>
    <x v="0"/>
    <x v="5"/>
    <x v="3"/>
    <x v="5"/>
    <s v="Port Harcourt"/>
    <s v="Consumer"/>
    <x v="2"/>
    <x v="13"/>
    <x v="20"/>
    <x v="5"/>
    <x v="420"/>
    <n v="65.64"/>
    <n v="1509.72"/>
    <n v="151.88"/>
    <n v="2909.8689199999999"/>
    <n v="1400.1489199999999"/>
    <n v="0.16700000000000001"/>
    <n v="0"/>
    <s v="Low"/>
    <n v="0.48117250587356353"/>
    <n v="23"/>
  </r>
  <r>
    <x v="423"/>
    <x v="342"/>
    <d v="2024-07-31T00:00:00"/>
    <d v="2024-07-31T00:00:00"/>
    <n v="20"/>
    <n v="20"/>
    <n v="0"/>
    <s v="July"/>
    <s v="Q3-2024"/>
    <x v="0"/>
    <x v="7"/>
    <x v="1"/>
    <x v="7"/>
    <s v="Shenzhen"/>
    <s v="Consumer"/>
    <x v="3"/>
    <x v="2"/>
    <x v="6"/>
    <x v="5"/>
    <x v="421"/>
    <n v="647.26"/>
    <n v="14239.72"/>
    <n v="1374.72"/>
    <n v="28247.74656"/>
    <n v="14008.02656"/>
    <n v="6.6000000000000003E-2"/>
    <n v="0"/>
    <s v="High"/>
    <n v="0.49589890401508901"/>
    <n v="22"/>
  </r>
  <r>
    <x v="424"/>
    <x v="343"/>
    <d v="2025-01-13T00:00:00"/>
    <d v="2025-01-13T00:00:00"/>
    <n v="20"/>
    <n v="20"/>
    <n v="0"/>
    <s v="December"/>
    <s v="Q4-2024"/>
    <x v="0"/>
    <x v="1"/>
    <x v="1"/>
    <x v="11"/>
    <s v="Bengaluru"/>
    <s v="Corporate"/>
    <x v="2"/>
    <x v="9"/>
    <x v="21"/>
    <x v="2"/>
    <x v="422"/>
    <n v="126.15"/>
    <n v="2775.3"/>
    <n v="284.23"/>
    <n v="5546.4642200000008"/>
    <n v="2771.1642200000006"/>
    <n v="0.113"/>
    <n v="0"/>
    <s v="Low"/>
    <n v="0.49962716968541088"/>
    <n v="22"/>
  </r>
  <r>
    <x v="425"/>
    <x v="291"/>
    <d v="2025-07-14T00:00:00"/>
    <d v="2025-07-14T00:00:00"/>
    <n v="20"/>
    <n v="20"/>
    <n v="0"/>
    <s v="June"/>
    <s v="Q2-2025"/>
    <x v="0"/>
    <x v="6"/>
    <x v="3"/>
    <x v="6"/>
    <s v="Johannesburg"/>
    <s v="Enterprise"/>
    <x v="2"/>
    <x v="10"/>
    <x v="29"/>
    <x v="3"/>
    <x v="423"/>
    <n v="1151.06"/>
    <n v="23021.199999999997"/>
    <n v="2821.36"/>
    <n v="42433.254400000005"/>
    <n v="19412.054400000008"/>
    <n v="0.248"/>
    <n v="1"/>
    <s v="High"/>
    <n v="0.45747267501594235"/>
    <n v="20"/>
  </r>
  <r>
    <x v="426"/>
    <x v="344"/>
    <d v="2023-08-13T00:00:00"/>
    <d v="2023-08-13T00:00:00"/>
    <n v="20"/>
    <n v="20"/>
    <n v="0"/>
    <s v="July"/>
    <s v="Q3-2023"/>
    <x v="0"/>
    <x v="0"/>
    <x v="0"/>
    <x v="0"/>
    <s v="Montreal"/>
    <s v="Education"/>
    <x v="1"/>
    <x v="14"/>
    <x v="16"/>
    <x v="1"/>
    <x v="424"/>
    <n v="1082.3800000000001"/>
    <n v="21647.600000000002"/>
    <n v="1766.55"/>
    <n v="29536.716"/>
    <n v="7889.1159999999982"/>
    <n v="0.16400000000000001"/>
    <n v="0"/>
    <s v="High"/>
    <n v="0.26709523157550752"/>
    <n v="20"/>
  </r>
  <r>
    <x v="427"/>
    <x v="345"/>
    <d v="2025-01-23T00:00:00"/>
    <d v="2025-01-23T00:00:00"/>
    <n v="20"/>
    <n v="20"/>
    <n v="0"/>
    <s v="January"/>
    <s v="Q1-2025"/>
    <x v="1"/>
    <x v="3"/>
    <x v="1"/>
    <x v="3"/>
    <s v="Osaka"/>
    <s v="Corporate"/>
    <x v="0"/>
    <x v="0"/>
    <x v="21"/>
    <x v="5"/>
    <x v="425"/>
    <n v="908.6"/>
    <n v="18172"/>
    <n v="691.37"/>
    <n v="10370.549999999999"/>
    <n v="-7801.4500000000007"/>
    <n v="0.25"/>
    <n v="1"/>
    <s v="Low"/>
    <n v="-0.75226964818645115"/>
    <n v="20"/>
  </r>
  <r>
    <x v="428"/>
    <x v="25"/>
    <d v="2023-03-20T00:00:00"/>
    <d v="2023-03-20T00:00:00"/>
    <n v="20"/>
    <n v="20"/>
    <n v="0"/>
    <s v="February"/>
    <s v="Q1-2023"/>
    <x v="0"/>
    <x v="10"/>
    <x v="2"/>
    <x v="10"/>
    <s v="Berlin"/>
    <s v="Small Business"/>
    <x v="1"/>
    <x v="8"/>
    <x v="11"/>
    <x v="3"/>
    <x v="426"/>
    <n v="1200.78"/>
    <n v="21614.04"/>
    <n v="2001.17"/>
    <n v="25502.910479999999"/>
    <n v="3888.8704799999978"/>
    <n v="0.29199999999999998"/>
    <n v="1"/>
    <s v="High"/>
    <n v="0.15248732034132906"/>
    <n v="18"/>
  </r>
  <r>
    <x v="429"/>
    <x v="346"/>
    <d v="2023-07-23T00:00:00"/>
    <d v="2023-07-23T00:00:00"/>
    <n v="20"/>
    <n v="20"/>
    <n v="0"/>
    <s v="July"/>
    <s v="Q3-2023"/>
    <x v="0"/>
    <x v="6"/>
    <x v="3"/>
    <x v="6"/>
    <s v="Johannesburg"/>
    <s v="Small Business"/>
    <x v="0"/>
    <x v="0"/>
    <x v="7"/>
    <x v="3"/>
    <x v="427"/>
    <n v="1001.96"/>
    <n v="18035.28"/>
    <n v="1254.95"/>
    <n v="21572.590500000002"/>
    <n v="3537.3105000000032"/>
    <n v="4.4999999999999998E-2"/>
    <n v="0"/>
    <s v="High"/>
    <n v="0.16397244920585699"/>
    <n v="18"/>
  </r>
  <r>
    <x v="430"/>
    <x v="347"/>
    <d v="2024-08-07T00:00:00"/>
    <d v="2024-08-07T00:00:00"/>
    <n v="20"/>
    <n v="20"/>
    <n v="0"/>
    <s v="July"/>
    <s v="Q3-2024"/>
    <x v="0"/>
    <x v="8"/>
    <x v="2"/>
    <x v="8"/>
    <s v="Marseille"/>
    <s v="Corporate"/>
    <x v="4"/>
    <x v="0"/>
    <x v="1"/>
    <x v="1"/>
    <x v="428"/>
    <n v="941.35"/>
    <n v="16944.3"/>
    <n v="899.83"/>
    <n v="15257.51748"/>
    <n v="-1686.7825199999988"/>
    <n v="5.8000000000000003E-2"/>
    <n v="0"/>
    <s v="High"/>
    <n v="-0.11055419220139073"/>
    <n v="18"/>
  </r>
  <r>
    <x v="431"/>
    <x v="348"/>
    <d v="2024-09-25T00:00:00"/>
    <d v="2024-09-25T00:00:00"/>
    <n v="20"/>
    <n v="20"/>
    <n v="0"/>
    <s v="September"/>
    <s v="Q3-2024"/>
    <x v="1"/>
    <x v="3"/>
    <x v="1"/>
    <x v="3"/>
    <s v="Osaka"/>
    <s v="Enterprise"/>
    <x v="0"/>
    <x v="9"/>
    <x v="1"/>
    <x v="1"/>
    <x v="429"/>
    <n v="195.54"/>
    <n v="3128.64"/>
    <n v="405.97"/>
    <n v="5280.8577599999999"/>
    <n v="2152.21776"/>
    <n v="0.187"/>
    <n v="0"/>
    <s v="Low"/>
    <n v="0.40755079152141377"/>
    <n v="16"/>
  </r>
  <r>
    <x v="432"/>
    <x v="349"/>
    <d v="2024-05-19T00:00:00"/>
    <d v="2024-05-19T00:00:00"/>
    <n v="20"/>
    <n v="20"/>
    <n v="0"/>
    <s v="April"/>
    <s v="Q2-2024"/>
    <x v="0"/>
    <x v="10"/>
    <x v="2"/>
    <x v="10"/>
    <s v="Frankfurt"/>
    <s v="Enterprise"/>
    <x v="2"/>
    <x v="14"/>
    <x v="8"/>
    <x v="3"/>
    <x v="430"/>
    <n v="668.97"/>
    <n v="10034.550000000001"/>
    <n v="1667.44"/>
    <n v="24161.205600000001"/>
    <n v="14126.6556"/>
    <n v="3.4000000000000002E-2"/>
    <n v="0"/>
    <s v="High"/>
    <n v="0.58468339013679016"/>
    <n v="15"/>
  </r>
  <r>
    <x v="433"/>
    <x v="206"/>
    <d v="2024-11-14T00:00:00"/>
    <d v="2024-11-14T00:00:00"/>
    <n v="20"/>
    <n v="20"/>
    <n v="0"/>
    <s v="October"/>
    <s v="Q4-2024"/>
    <x v="0"/>
    <x v="9"/>
    <x v="3"/>
    <x v="9"/>
    <s v="Mombasa"/>
    <s v="Corporate"/>
    <x v="1"/>
    <x v="8"/>
    <x v="15"/>
    <x v="0"/>
    <x v="431"/>
    <n v="1396.48"/>
    <n v="19550.72"/>
    <n v="3204.5"/>
    <n v="30596.565999999999"/>
    <n v="11045.845999999998"/>
    <n v="0.318"/>
    <n v="1"/>
    <s v="High"/>
    <n v="0.36101587348070363"/>
    <n v="14"/>
  </r>
  <r>
    <x v="434"/>
    <x v="274"/>
    <d v="2025-08-21T00:00:00"/>
    <d v="2025-08-21T00:00:00"/>
    <n v="20"/>
    <n v="20"/>
    <n v="0"/>
    <s v="August"/>
    <s v="Q3-2025"/>
    <x v="0"/>
    <x v="7"/>
    <x v="1"/>
    <x v="7"/>
    <s v="Shanghai"/>
    <s v="Corporate"/>
    <x v="1"/>
    <x v="13"/>
    <x v="25"/>
    <x v="5"/>
    <x v="432"/>
    <n v="1220.4100000000001"/>
    <n v="17085.740000000002"/>
    <n v="2552.2199999999998"/>
    <n v="29263.754519999995"/>
    <n v="12178.014519999993"/>
    <n v="0.18099999999999999"/>
    <n v="0"/>
    <s v="High"/>
    <n v="0.41614668793360271"/>
    <n v="14"/>
  </r>
  <r>
    <x v="435"/>
    <x v="350"/>
    <d v="2024-04-24T00:00:00"/>
    <d v="2024-04-24T00:00:00"/>
    <n v="20"/>
    <n v="20"/>
    <n v="0"/>
    <s v="April"/>
    <s v="Q2-2024"/>
    <x v="0"/>
    <x v="10"/>
    <x v="2"/>
    <x v="10"/>
    <s v="Frankfurt"/>
    <s v="Non-Profit"/>
    <x v="1"/>
    <x v="4"/>
    <x v="31"/>
    <x v="4"/>
    <x v="433"/>
    <n v="683.42"/>
    <n v="9567.8799999999992"/>
    <n v="951.51"/>
    <n v="13321.14"/>
    <n v="3753.26"/>
    <n v="0"/>
    <n v="0"/>
    <s v="High"/>
    <n v="0.28175216235247136"/>
    <n v="14"/>
  </r>
  <r>
    <x v="436"/>
    <x v="351"/>
    <d v="2025-08-30T00:00:00"/>
    <d v="2025-08-30T00:00:00"/>
    <n v="20"/>
    <n v="20"/>
    <n v="0"/>
    <s v="August"/>
    <s v="Q3-2025"/>
    <x v="0"/>
    <x v="2"/>
    <x v="0"/>
    <x v="2"/>
    <s v="San Francisco"/>
    <s v="Corporate"/>
    <x v="2"/>
    <x v="12"/>
    <x v="25"/>
    <x v="0"/>
    <x v="434"/>
    <n v="933.29"/>
    <n v="12132.77"/>
    <n v="1456.81"/>
    <n v="16609.090809999998"/>
    <n v="4476.3208099999974"/>
    <n v="0.123"/>
    <n v="0"/>
    <s v="High"/>
    <n v="0.26951028573489977"/>
    <n v="13"/>
  </r>
  <r>
    <x v="437"/>
    <x v="83"/>
    <d v="2025-07-23T00:00:00"/>
    <d v="2025-07-23T00:00:00"/>
    <n v="20"/>
    <n v="20"/>
    <n v="0"/>
    <s v="July"/>
    <s v="Q3-2025"/>
    <x v="0"/>
    <x v="7"/>
    <x v="1"/>
    <x v="7"/>
    <s v="Beijing"/>
    <s v="Small Business"/>
    <x v="3"/>
    <x v="1"/>
    <x v="29"/>
    <x v="6"/>
    <x v="435"/>
    <n v="647.36"/>
    <n v="7768.32"/>
    <n v="1383.6"/>
    <n v="15374.563199999999"/>
    <n v="7606.243199999999"/>
    <n v="7.3999999999999996E-2"/>
    <n v="0"/>
    <s v="High"/>
    <n v="0.49472906000997802"/>
    <n v="12"/>
  </r>
  <r>
    <x v="438"/>
    <x v="352"/>
    <d v="2025-03-01T00:00:00"/>
    <d v="2025-03-01T00:00:00"/>
    <n v="20"/>
    <n v="20"/>
    <n v="0"/>
    <s v="February"/>
    <s v="Q1-2025"/>
    <x v="0"/>
    <x v="1"/>
    <x v="0"/>
    <x v="1"/>
    <s v="São Paulo"/>
    <s v="Corporate"/>
    <x v="0"/>
    <x v="11"/>
    <x v="22"/>
    <x v="3"/>
    <x v="436"/>
    <n v="1154.6400000000001"/>
    <n v="12701.04"/>
    <n v="2794.13"/>
    <n v="29659.68995"/>
    <n v="16958.649949999999"/>
    <n v="3.5000000000000003E-2"/>
    <n v="0"/>
    <s v="High"/>
    <n v="0.57177435025749479"/>
    <n v="11"/>
  </r>
  <r>
    <x v="439"/>
    <x v="353"/>
    <d v="2024-05-08T00:00:00"/>
    <d v="2024-05-08T00:00:00"/>
    <n v="20"/>
    <n v="20"/>
    <n v="0"/>
    <s v="April"/>
    <s v="Q2-2024"/>
    <x v="0"/>
    <x v="4"/>
    <x v="2"/>
    <x v="4"/>
    <s v="London"/>
    <s v="Non-Profit"/>
    <x v="5"/>
    <x v="9"/>
    <x v="31"/>
    <x v="3"/>
    <x v="437"/>
    <n v="645.33000000000004"/>
    <n v="6453.3"/>
    <n v="1321.85"/>
    <n v="13218.5"/>
    <n v="6765.2"/>
    <n v="0"/>
    <n v="0"/>
    <s v="High"/>
    <n v="0.51179785906116426"/>
    <n v="10"/>
  </r>
  <r>
    <x v="440"/>
    <x v="354"/>
    <d v="2023-08-24T00:00:00"/>
    <d v="2023-08-24T00:00:00"/>
    <n v="20"/>
    <n v="20"/>
    <n v="0"/>
    <s v="August"/>
    <s v="Q3-2023"/>
    <x v="0"/>
    <x v="1"/>
    <x v="0"/>
    <x v="1"/>
    <s v="Brasília"/>
    <s v="Non-Profit"/>
    <x v="1"/>
    <x v="15"/>
    <x v="16"/>
    <x v="2"/>
    <x v="438"/>
    <n v="582.88"/>
    <n v="5828.8"/>
    <n v="1044.1400000000001"/>
    <n v="8186.057600000001"/>
    <n v="2357.2576000000008"/>
    <n v="0.216"/>
    <n v="1"/>
    <s v="High"/>
    <n v="0.28796005539956138"/>
    <n v="10"/>
  </r>
  <r>
    <x v="441"/>
    <x v="355"/>
    <d v="2023-02-15T00:00:00"/>
    <d v="2023-02-15T00:00:00"/>
    <n v="20"/>
    <n v="20"/>
    <n v="0"/>
    <s v="January"/>
    <s v="Q1-2023"/>
    <x v="0"/>
    <x v="10"/>
    <x v="2"/>
    <x v="10"/>
    <s v="Berlin"/>
    <s v="Small Business"/>
    <x v="3"/>
    <x v="4"/>
    <x v="5"/>
    <x v="2"/>
    <x v="439"/>
    <n v="492.62"/>
    <n v="4926.2"/>
    <n v="366.7"/>
    <n v="3340.6370000000002"/>
    <n v="-1585.5629999999996"/>
    <n v="8.8999999999999996E-2"/>
    <n v="0"/>
    <s v="Low"/>
    <n v="-0.47462894052840809"/>
    <n v="10"/>
  </r>
  <r>
    <x v="442"/>
    <x v="191"/>
    <d v="2025-05-12T00:00:00"/>
    <d v="2025-05-12T00:00:00"/>
    <n v="20"/>
    <n v="20"/>
    <n v="0"/>
    <s v="April"/>
    <s v="Q2-2025"/>
    <x v="0"/>
    <x v="8"/>
    <x v="2"/>
    <x v="8"/>
    <s v="Lyon"/>
    <s v="Enterprise"/>
    <x v="2"/>
    <x v="12"/>
    <x v="9"/>
    <x v="1"/>
    <x v="440"/>
    <n v="59.51"/>
    <n v="535.59"/>
    <n v="67.040000000000006"/>
    <n v="534.57695999999999"/>
    <n v="-1.0130400000000463"/>
    <n v="0.114"/>
    <n v="0"/>
    <s v="Low"/>
    <n v="-1.8950311663264469E-3"/>
    <n v="9"/>
  </r>
  <r>
    <x v="443"/>
    <x v="161"/>
    <d v="2023-08-19T00:00:00"/>
    <d v="2023-08-19T00:00:00"/>
    <n v="20"/>
    <n v="20"/>
    <n v="0"/>
    <s v="July"/>
    <s v="Q3-2023"/>
    <x v="0"/>
    <x v="8"/>
    <x v="2"/>
    <x v="8"/>
    <s v="Paris"/>
    <s v="Enterprise"/>
    <x v="2"/>
    <x v="2"/>
    <x v="16"/>
    <x v="2"/>
    <x v="441"/>
    <n v="1418.51"/>
    <n v="11348.08"/>
    <n v="2789.61"/>
    <n v="18500.693520000001"/>
    <n v="7152.6135200000008"/>
    <n v="0.17100000000000001"/>
    <n v="0"/>
    <s v="High"/>
    <n v="0.38661326464695689"/>
    <n v="8"/>
  </r>
  <r>
    <x v="444"/>
    <x v="160"/>
    <d v="2024-01-13T00:00:00"/>
    <d v="2024-01-13T00:00:00"/>
    <n v="20"/>
    <n v="20"/>
    <n v="0"/>
    <s v="December"/>
    <s v="Q4-2023"/>
    <x v="1"/>
    <x v="3"/>
    <x v="1"/>
    <x v="3"/>
    <s v="Nagoya"/>
    <s v="Education"/>
    <x v="1"/>
    <x v="11"/>
    <x v="12"/>
    <x v="3"/>
    <x v="442"/>
    <n v="625.37"/>
    <n v="5002.96"/>
    <n v="1319.04"/>
    <n v="9771.4483199999995"/>
    <n v="4768.4883199999995"/>
    <n v="7.3999999999999996E-2"/>
    <n v="0"/>
    <s v="High"/>
    <n v="0.48800220436513547"/>
    <n v="8"/>
  </r>
  <r>
    <x v="445"/>
    <x v="291"/>
    <d v="2025-07-14T00:00:00"/>
    <d v="2025-07-14T00:00:00"/>
    <n v="20"/>
    <n v="20"/>
    <n v="0"/>
    <s v="June"/>
    <s v="Q2-2025"/>
    <x v="0"/>
    <x v="10"/>
    <x v="2"/>
    <x v="10"/>
    <s v="Berlin"/>
    <s v="Corporate"/>
    <x v="1"/>
    <x v="4"/>
    <x v="29"/>
    <x v="4"/>
    <x v="443"/>
    <n v="385.08"/>
    <n v="3080.64"/>
    <n v="893.19"/>
    <n v="6066.54648"/>
    <n v="2985.9064800000001"/>
    <n v="0.151"/>
    <n v="0"/>
    <s v="High"/>
    <n v="0.49219213762621666"/>
    <n v="8"/>
  </r>
  <r>
    <x v="446"/>
    <x v="356"/>
    <d v="2024-11-06T00:00:00"/>
    <d v="2024-11-06T00:00:00"/>
    <n v="20"/>
    <n v="20"/>
    <n v="0"/>
    <s v="October"/>
    <s v="Q4-2024"/>
    <x v="0"/>
    <x v="1"/>
    <x v="1"/>
    <x v="11"/>
    <s v="Bengaluru"/>
    <s v="Enterprise"/>
    <x v="0"/>
    <x v="4"/>
    <x v="24"/>
    <x v="1"/>
    <x v="444"/>
    <n v="72.94"/>
    <n v="583.52"/>
    <n v="106.3"/>
    <n v="599.53200000000004"/>
    <n v="16.012000000000057"/>
    <n v="0.29499999999999998"/>
    <n v="1"/>
    <s v="Low"/>
    <n v="2.6707498515508857E-2"/>
    <n v="8"/>
  </r>
  <r>
    <x v="447"/>
    <x v="357"/>
    <d v="2024-06-08T00:00:00"/>
    <d v="2024-06-08T00:00:00"/>
    <n v="20"/>
    <n v="20"/>
    <n v="0"/>
    <s v="May"/>
    <s v="Q2-2024"/>
    <x v="0"/>
    <x v="1"/>
    <x v="0"/>
    <x v="1"/>
    <s v="Brasília"/>
    <s v="Small Business"/>
    <x v="4"/>
    <x v="7"/>
    <x v="8"/>
    <x v="1"/>
    <x v="445"/>
    <n v="1075.9000000000001"/>
    <n v="7531.3000000000011"/>
    <n v="1242.1500000000001"/>
    <n v="8590.7094000000016"/>
    <n v="1059.4094000000005"/>
    <n v="1.2E-2"/>
    <n v="0"/>
    <s v="High"/>
    <n v="0.12332036280961853"/>
    <n v="7"/>
  </r>
  <r>
    <x v="448"/>
    <x v="358"/>
    <d v="2023-10-08T00:00:00"/>
    <d v="2023-10-08T00:00:00"/>
    <n v="20"/>
    <n v="20"/>
    <n v="0"/>
    <s v="September"/>
    <s v="Q3-2023"/>
    <x v="0"/>
    <x v="1"/>
    <x v="1"/>
    <x v="11"/>
    <s v="Delhi"/>
    <s v="Small Business"/>
    <x v="1"/>
    <x v="11"/>
    <x v="30"/>
    <x v="6"/>
    <x v="446"/>
    <n v="825.64"/>
    <n v="5779.48"/>
    <n v="1108.43"/>
    <n v="6874.4828600000001"/>
    <n v="1095.0028600000005"/>
    <n v="0.114"/>
    <n v="0"/>
    <s v="High"/>
    <n v="0.15928512475773349"/>
    <n v="7"/>
  </r>
  <r>
    <x v="449"/>
    <x v="359"/>
    <d v="2025-03-17T00:00:00"/>
    <d v="2025-03-17T00:00:00"/>
    <n v="20"/>
    <n v="20"/>
    <n v="0"/>
    <s v="February"/>
    <s v="Q1-2025"/>
    <x v="0"/>
    <x v="2"/>
    <x v="0"/>
    <x v="2"/>
    <s v="San Francisco"/>
    <s v="Non-Profit"/>
    <x v="2"/>
    <x v="8"/>
    <x v="13"/>
    <x v="5"/>
    <x v="447"/>
    <n v="1205.26"/>
    <n v="7231.5599999999995"/>
    <n v="1696.35"/>
    <n v="9984.7160999999978"/>
    <n v="2753.1560999999983"/>
    <n v="1.9E-2"/>
    <n v="0"/>
    <s v="High"/>
    <n v="0.27573704374028213"/>
    <n v="6"/>
  </r>
  <r>
    <x v="450"/>
    <x v="75"/>
    <d v="2025-09-30T00:00:00"/>
    <d v="2025-09-30T00:00:00"/>
    <n v="20"/>
    <n v="20"/>
    <n v="0"/>
    <s v="September"/>
    <s v="Q3-2025"/>
    <x v="0"/>
    <x v="9"/>
    <x v="3"/>
    <x v="9"/>
    <s v="Mombasa"/>
    <s v="Corporate"/>
    <x v="1"/>
    <x v="5"/>
    <x v="4"/>
    <x v="5"/>
    <x v="448"/>
    <n v="1009.48"/>
    <n v="6056.88"/>
    <n v="1088.81"/>
    <n v="5487.6023999999998"/>
    <n v="-569.27760000000035"/>
    <n v="0.16"/>
    <n v="0"/>
    <s v="High"/>
    <n v="-0.10373885688219693"/>
    <n v="6"/>
  </r>
  <r>
    <x v="451"/>
    <x v="39"/>
    <d v="2024-02-21T00:00:00"/>
    <d v="2024-02-21T00:00:00"/>
    <n v="20"/>
    <n v="20"/>
    <n v="0"/>
    <s v="February"/>
    <s v="Q1-2024"/>
    <x v="0"/>
    <x v="8"/>
    <x v="2"/>
    <x v="8"/>
    <s v="Paris"/>
    <s v="Small Business"/>
    <x v="2"/>
    <x v="3"/>
    <x v="19"/>
    <x v="2"/>
    <x v="449"/>
    <n v="656.2"/>
    <n v="3281"/>
    <n v="1467.17"/>
    <n v="7203.8047000000006"/>
    <n v="3922.8047000000006"/>
    <n v="1.7999999999999999E-2"/>
    <n v="0"/>
    <s v="High"/>
    <n v="0.54454623124360946"/>
    <n v="5"/>
  </r>
  <r>
    <x v="452"/>
    <x v="360"/>
    <d v="2023-04-06T00:00:00"/>
    <d v="2023-04-06T00:00:00"/>
    <n v="20"/>
    <n v="20"/>
    <n v="0"/>
    <s v="March"/>
    <s v="Q1-2023"/>
    <x v="0"/>
    <x v="10"/>
    <x v="2"/>
    <x v="10"/>
    <s v="Munich"/>
    <s v="Consumer"/>
    <x v="4"/>
    <x v="4"/>
    <x v="11"/>
    <x v="5"/>
    <x v="450"/>
    <n v="692.18"/>
    <n v="1384.36"/>
    <n v="1159.3499999999999"/>
    <n v="2059.0056"/>
    <n v="674.64560000000006"/>
    <n v="0.112"/>
    <n v="0"/>
    <s v="High"/>
    <n v="0.32765602968734037"/>
    <n v="2"/>
  </r>
  <r>
    <x v="453"/>
    <x v="361"/>
    <d v="2023-03-12T00:00:00"/>
    <d v="2023-03-12T00:00:00"/>
    <n v="21"/>
    <n v="21"/>
    <n v="0"/>
    <s v="February"/>
    <s v="Q1-2023"/>
    <x v="0"/>
    <x v="10"/>
    <x v="2"/>
    <x v="10"/>
    <s v="Berlin"/>
    <s v="Small Business"/>
    <x v="1"/>
    <x v="5"/>
    <x v="5"/>
    <x v="1"/>
    <x v="451"/>
    <n v="1234.81"/>
    <n v="54331.64"/>
    <n v="2055.2399999999998"/>
    <n v="85637.740319999997"/>
    <n v="31306.100319999998"/>
    <n v="5.2999999999999999E-2"/>
    <n v="0"/>
    <s v="High"/>
    <n v="0.36556429680441616"/>
    <n v="44"/>
  </r>
  <r>
    <x v="454"/>
    <x v="362"/>
    <d v="2024-06-24T00:00:00"/>
    <d v="2024-06-24T00:00:00"/>
    <n v="21"/>
    <n v="21"/>
    <n v="0"/>
    <s v="June"/>
    <s v="Q2-2024"/>
    <x v="0"/>
    <x v="0"/>
    <x v="0"/>
    <x v="0"/>
    <s v="Toronto"/>
    <s v="Small Business"/>
    <x v="1"/>
    <x v="2"/>
    <x v="6"/>
    <x v="1"/>
    <x v="452"/>
    <n v="1205.5"/>
    <n v="27726.5"/>
    <n v="2210.17"/>
    <n v="45547.183360000003"/>
    <n v="17820.683360000003"/>
    <n v="0.104"/>
    <n v="0"/>
    <s v="High"/>
    <n v="0.39125763758314652"/>
    <n v="23"/>
  </r>
  <r>
    <x v="455"/>
    <x v="270"/>
    <d v="2023-09-19T00:00:00"/>
    <d v="2023-09-19T00:00:00"/>
    <n v="21"/>
    <n v="21"/>
    <n v="0"/>
    <s v="August"/>
    <s v="Q3-2023"/>
    <x v="0"/>
    <x v="8"/>
    <x v="2"/>
    <x v="8"/>
    <s v="Lyon"/>
    <s v="Small Business"/>
    <x v="1"/>
    <x v="11"/>
    <x v="30"/>
    <x v="0"/>
    <x v="453"/>
    <n v="784.46"/>
    <n v="18042.580000000002"/>
    <n v="1843.51"/>
    <n v="36549.429260000004"/>
    <n v="18506.849260000003"/>
    <n v="0.13800000000000001"/>
    <n v="0"/>
    <s v="High"/>
    <n v="0.50635125184441798"/>
    <n v="23"/>
  </r>
  <r>
    <x v="456"/>
    <x v="363"/>
    <d v="2024-06-17T00:00:00"/>
    <d v="2024-06-17T00:00:00"/>
    <n v="21"/>
    <n v="21"/>
    <n v="0"/>
    <s v="May"/>
    <s v="Q2-2024"/>
    <x v="0"/>
    <x v="1"/>
    <x v="1"/>
    <x v="11"/>
    <s v="Delhi"/>
    <s v="Small Business"/>
    <x v="3"/>
    <x v="8"/>
    <x v="8"/>
    <x v="4"/>
    <x v="454"/>
    <n v="465.02"/>
    <n v="8835.3799999999992"/>
    <n v="651.55999999999995"/>
    <n v="11859.695119999998"/>
    <n v="3024.3151199999993"/>
    <n v="4.2000000000000003E-2"/>
    <n v="0"/>
    <s v="Low"/>
    <n v="0.25500783025187918"/>
    <n v="19"/>
  </r>
  <r>
    <x v="457"/>
    <x v="68"/>
    <d v="2023-04-27T00:00:00"/>
    <d v="2023-04-27T00:00:00"/>
    <n v="21"/>
    <n v="21"/>
    <n v="0"/>
    <s v="April"/>
    <s v="Q2-2023"/>
    <x v="0"/>
    <x v="4"/>
    <x v="2"/>
    <x v="4"/>
    <s v="Manchester"/>
    <s v="Enterprise"/>
    <x v="0"/>
    <x v="13"/>
    <x v="28"/>
    <x v="0"/>
    <x v="455"/>
    <n v="1084.79"/>
    <n v="19526.22"/>
    <n v="2484.9899999999998"/>
    <n v="43209.006119999991"/>
    <n v="23682.78611999999"/>
    <n v="3.4000000000000002E-2"/>
    <n v="0"/>
    <s v="High"/>
    <n v="0.54809837685755114"/>
    <n v="18"/>
  </r>
  <r>
    <x v="458"/>
    <x v="364"/>
    <d v="2025-09-03T00:00:00"/>
    <d v="2025-09-03T00:00:00"/>
    <n v="21"/>
    <n v="21"/>
    <n v="0"/>
    <s v="August"/>
    <s v="Q3-2025"/>
    <x v="0"/>
    <x v="8"/>
    <x v="2"/>
    <x v="8"/>
    <s v="Paris"/>
    <s v="Education"/>
    <x v="4"/>
    <x v="13"/>
    <x v="4"/>
    <x v="5"/>
    <x v="456"/>
    <n v="603.47"/>
    <n v="10862.460000000001"/>
    <n v="1344.05"/>
    <n v="19233.355499999998"/>
    <n v="8370.8954999999969"/>
    <n v="0.20499999999999999"/>
    <n v="1"/>
    <s v="High"/>
    <n v="0.43522803392262976"/>
    <n v="18"/>
  </r>
  <r>
    <x v="459"/>
    <x v="365"/>
    <d v="2023-04-09T00:00:00"/>
    <d v="2023-04-09T00:00:00"/>
    <n v="21"/>
    <n v="21"/>
    <n v="0"/>
    <s v="March"/>
    <s v="Q1-2023"/>
    <x v="0"/>
    <x v="4"/>
    <x v="2"/>
    <x v="4"/>
    <s v="Manchester"/>
    <s v="Consumer"/>
    <x v="4"/>
    <x v="5"/>
    <x v="28"/>
    <x v="4"/>
    <x v="457"/>
    <n v="1082.17"/>
    <n v="17314.72"/>
    <n v="1234.0999999999999"/>
    <n v="16013.681599999998"/>
    <n v="-1301.0384000000031"/>
    <n v="0.189"/>
    <n v="0"/>
    <s v="High"/>
    <n v="-8.124542703534228E-2"/>
    <n v="16"/>
  </r>
  <r>
    <x v="460"/>
    <x v="366"/>
    <d v="2025-08-04T00:00:00"/>
    <d v="2025-08-04T00:00:00"/>
    <n v="21"/>
    <n v="21"/>
    <n v="0"/>
    <s v="July"/>
    <s v="Q3-2025"/>
    <x v="0"/>
    <x v="0"/>
    <x v="0"/>
    <x v="0"/>
    <s v="Montreal"/>
    <s v="Consumer"/>
    <x v="3"/>
    <x v="8"/>
    <x v="25"/>
    <x v="1"/>
    <x v="458"/>
    <n v="90.3"/>
    <n v="1354.5"/>
    <n v="131.76"/>
    <n v="1774.8072"/>
    <n v="420.30719999999997"/>
    <n v="0.10199999999999999"/>
    <n v="0"/>
    <s v="Low"/>
    <n v="0.23681851189244668"/>
    <n v="15"/>
  </r>
  <r>
    <x v="461"/>
    <x v="367"/>
    <d v="2024-03-03T00:00:00"/>
    <d v="2024-03-03T00:00:00"/>
    <n v="21"/>
    <n v="21"/>
    <n v="0"/>
    <s v="February"/>
    <s v="Q1-2024"/>
    <x v="0"/>
    <x v="9"/>
    <x v="3"/>
    <x v="9"/>
    <s v="Kisumu"/>
    <s v="Enterprise"/>
    <x v="3"/>
    <x v="11"/>
    <x v="19"/>
    <x v="5"/>
    <x v="459"/>
    <n v="516.86"/>
    <n v="7236.04"/>
    <n v="852.54"/>
    <n v="11326.846439999999"/>
    <n v="4090.8064399999994"/>
    <n v="5.0999999999999997E-2"/>
    <n v="0"/>
    <s v="High"/>
    <n v="0.36116022775355994"/>
    <n v="14"/>
  </r>
  <r>
    <x v="462"/>
    <x v="368"/>
    <d v="2024-09-04T00:00:00"/>
    <d v="2024-09-04T00:00:00"/>
    <n v="21"/>
    <n v="21"/>
    <n v="0"/>
    <s v="August"/>
    <s v="Q3-2024"/>
    <x v="0"/>
    <x v="4"/>
    <x v="2"/>
    <x v="4"/>
    <s v="Manchester"/>
    <s v="Non-Profit"/>
    <x v="3"/>
    <x v="10"/>
    <x v="1"/>
    <x v="5"/>
    <x v="460"/>
    <n v="1138.8"/>
    <n v="13665.599999999999"/>
    <n v="2250.81"/>
    <n v="23687.524440000001"/>
    <n v="10021.924440000003"/>
    <n v="0.123"/>
    <n v="0"/>
    <s v="High"/>
    <n v="0.42308872188756258"/>
    <n v="12"/>
  </r>
  <r>
    <x v="463"/>
    <x v="110"/>
    <d v="2025-02-25T00:00:00"/>
    <d v="2025-02-25T00:00:00"/>
    <n v="21"/>
    <n v="21"/>
    <n v="0"/>
    <s v="February"/>
    <s v="Q1-2025"/>
    <x v="0"/>
    <x v="4"/>
    <x v="2"/>
    <x v="4"/>
    <s v="Birmingham"/>
    <s v="Corporate"/>
    <x v="2"/>
    <x v="9"/>
    <x v="22"/>
    <x v="1"/>
    <x v="461"/>
    <n v="1016.32"/>
    <n v="12195.84"/>
    <n v="2253.42"/>
    <n v="25553.782800000001"/>
    <n v="13357.942800000001"/>
    <n v="5.5E-2"/>
    <n v="0"/>
    <s v="High"/>
    <n v="0.52273837124419797"/>
    <n v="12"/>
  </r>
  <r>
    <x v="464"/>
    <x v="26"/>
    <d v="2024-08-03T00:00:00"/>
    <d v="2024-08-03T00:00:00"/>
    <n v="21"/>
    <n v="21"/>
    <n v="0"/>
    <s v="July"/>
    <s v="Q3-2024"/>
    <x v="0"/>
    <x v="1"/>
    <x v="0"/>
    <x v="1"/>
    <s v="Rio de Janeiro"/>
    <s v="Corporate"/>
    <x v="2"/>
    <x v="1"/>
    <x v="6"/>
    <x v="1"/>
    <x v="462"/>
    <n v="702.98"/>
    <n v="8435.76"/>
    <n v="1104.8"/>
    <n v="10937.519999999999"/>
    <n v="2501.7599999999984"/>
    <n v="0.17499999999999999"/>
    <n v="0"/>
    <s v="High"/>
    <n v="0.22873192460448061"/>
    <n v="12"/>
  </r>
  <r>
    <x v="465"/>
    <x v="251"/>
    <d v="2024-03-23T00:00:00"/>
    <d v="2024-03-23T00:00:00"/>
    <n v="21"/>
    <n v="21"/>
    <n v="0"/>
    <s v="March"/>
    <s v="Q1-2024"/>
    <x v="0"/>
    <x v="2"/>
    <x v="0"/>
    <x v="2"/>
    <s v="Chicago"/>
    <s v="Small Business"/>
    <x v="3"/>
    <x v="0"/>
    <x v="20"/>
    <x v="6"/>
    <x v="463"/>
    <n v="225.01"/>
    <n v="2700.12"/>
    <n v="333.48"/>
    <n v="3525.5505600000001"/>
    <n v="825.43056000000024"/>
    <n v="0.11899999999999999"/>
    <n v="0"/>
    <s v="Low"/>
    <n v="0.23412813004729685"/>
    <n v="12"/>
  </r>
  <r>
    <x v="466"/>
    <x v="369"/>
    <d v="2025-03-24T00:00:00"/>
    <d v="2025-03-24T00:00:00"/>
    <n v="21"/>
    <n v="21"/>
    <n v="0"/>
    <s v="March"/>
    <s v="Q1-2025"/>
    <x v="0"/>
    <x v="5"/>
    <x v="3"/>
    <x v="5"/>
    <s v="Abuja"/>
    <s v="Enterprise"/>
    <x v="1"/>
    <x v="8"/>
    <x v="13"/>
    <x v="4"/>
    <x v="464"/>
    <n v="555.95000000000005"/>
    <n v="6115.4500000000007"/>
    <n v="468.09"/>
    <n v="4417.8334199999999"/>
    <n v="-1697.6165800000008"/>
    <n v="0.14199999999999999"/>
    <n v="0"/>
    <s v="Low"/>
    <n v="-0.38426450674095375"/>
    <n v="11"/>
  </r>
  <r>
    <x v="467"/>
    <x v="310"/>
    <d v="2025-05-19T00:00:00"/>
    <d v="2025-05-19T00:00:00"/>
    <n v="21"/>
    <n v="21"/>
    <n v="0"/>
    <s v="April"/>
    <s v="Q2-2025"/>
    <x v="0"/>
    <x v="10"/>
    <x v="2"/>
    <x v="10"/>
    <s v="Berlin"/>
    <s v="Corporate"/>
    <x v="0"/>
    <x v="11"/>
    <x v="9"/>
    <x v="5"/>
    <x v="465"/>
    <n v="350.76"/>
    <n v="3858.3599999999997"/>
    <n v="492.18"/>
    <n v="5127.0390600000001"/>
    <n v="1268.6790600000004"/>
    <n v="5.2999999999999999E-2"/>
    <n v="0"/>
    <s v="Low"/>
    <n v="0.24744868239798437"/>
    <n v="11"/>
  </r>
  <r>
    <x v="468"/>
    <x v="5"/>
    <d v="2024-06-18T00:00:00"/>
    <d v="2024-06-18T00:00:00"/>
    <n v="21"/>
    <n v="21"/>
    <n v="0"/>
    <s v="May"/>
    <s v="Q2-2024"/>
    <x v="0"/>
    <x v="10"/>
    <x v="2"/>
    <x v="10"/>
    <s v="Frankfurt"/>
    <s v="Small Business"/>
    <x v="3"/>
    <x v="7"/>
    <x v="3"/>
    <x v="5"/>
    <x v="466"/>
    <n v="986.85"/>
    <n v="9868.5"/>
    <n v="2422.1"/>
    <n v="22380.204000000002"/>
    <n v="12511.704000000002"/>
    <n v="7.5999999999999998E-2"/>
    <n v="0"/>
    <s v="High"/>
    <n v="0.55905227673527913"/>
    <n v="10"/>
  </r>
  <r>
    <x v="469"/>
    <x v="370"/>
    <d v="2024-10-23T00:00:00"/>
    <d v="2024-10-23T00:00:00"/>
    <n v="21"/>
    <n v="21"/>
    <n v="0"/>
    <s v="October"/>
    <s v="Q4-2024"/>
    <x v="0"/>
    <x v="6"/>
    <x v="3"/>
    <x v="6"/>
    <s v="Durban"/>
    <s v="Corporate"/>
    <x v="2"/>
    <x v="3"/>
    <x v="24"/>
    <x v="6"/>
    <x v="467"/>
    <n v="1095.6099999999999"/>
    <n v="9860.49"/>
    <n v="2366.5100000000002"/>
    <n v="18061.204320000004"/>
    <n v="8200.7143200000046"/>
    <n v="0.152"/>
    <n v="0"/>
    <s v="High"/>
    <n v="0.4540513564158607"/>
    <n v="9"/>
  </r>
  <r>
    <x v="470"/>
    <x v="371"/>
    <d v="2024-07-06T00:00:00"/>
    <d v="2024-07-06T00:00:00"/>
    <n v="21"/>
    <n v="21"/>
    <n v="0"/>
    <s v="June"/>
    <s v="Q2-2024"/>
    <x v="0"/>
    <x v="0"/>
    <x v="0"/>
    <x v="0"/>
    <s v="Toronto"/>
    <s v="Enterprise"/>
    <x v="0"/>
    <x v="5"/>
    <x v="6"/>
    <x v="0"/>
    <x v="468"/>
    <n v="817.23"/>
    <n v="7355.07"/>
    <n v="1467.17"/>
    <n v="9969.4201499999999"/>
    <n v="2614.3501500000002"/>
    <n v="0.245"/>
    <n v="1"/>
    <s v="High"/>
    <n v="0.26223693160328893"/>
    <n v="9"/>
  </r>
  <r>
    <x v="471"/>
    <x v="8"/>
    <d v="2024-07-21T00:00:00"/>
    <d v="2024-07-21T00:00:00"/>
    <n v="21"/>
    <n v="21"/>
    <n v="0"/>
    <s v="June"/>
    <s v="Q2-2024"/>
    <x v="0"/>
    <x v="9"/>
    <x v="3"/>
    <x v="9"/>
    <s v="Kisumu"/>
    <s v="Small Business"/>
    <x v="4"/>
    <x v="12"/>
    <x v="6"/>
    <x v="3"/>
    <x v="469"/>
    <n v="753.43"/>
    <n v="6780.87"/>
    <n v="1787.2"/>
    <n v="14910.609600000002"/>
    <n v="8129.7396000000017"/>
    <n v="7.2999999999999995E-2"/>
    <n v="0"/>
    <s v="High"/>
    <n v="0.54523187301476939"/>
    <n v="9"/>
  </r>
  <r>
    <x v="472"/>
    <x v="372"/>
    <d v="2024-10-05T00:00:00"/>
    <d v="2024-10-05T00:00:00"/>
    <n v="21"/>
    <n v="21"/>
    <n v="0"/>
    <s v="September"/>
    <s v="Q3-2024"/>
    <x v="0"/>
    <x v="7"/>
    <x v="1"/>
    <x v="7"/>
    <s v="Shanghai"/>
    <s v="Small Business"/>
    <x v="3"/>
    <x v="8"/>
    <x v="24"/>
    <x v="3"/>
    <x v="470"/>
    <n v="1405.56"/>
    <n v="7027.7999999999993"/>
    <n v="2968.87"/>
    <n v="12335.654849999999"/>
    <n v="5307.8548499999997"/>
    <n v="0.16900000000000001"/>
    <n v="0"/>
    <s v="High"/>
    <n v="0.4302856163327235"/>
    <n v="5"/>
  </r>
  <r>
    <x v="473"/>
    <x v="373"/>
    <d v="2023-12-06T00:00:00"/>
    <d v="2023-12-06T00:00:00"/>
    <n v="21"/>
    <n v="21"/>
    <n v="0"/>
    <s v="November"/>
    <s v="Q4-2023"/>
    <x v="0"/>
    <x v="4"/>
    <x v="2"/>
    <x v="4"/>
    <s v="Manchester"/>
    <s v="Education"/>
    <x v="1"/>
    <x v="8"/>
    <x v="12"/>
    <x v="4"/>
    <x v="471"/>
    <n v="1184.99"/>
    <n v="5924.95"/>
    <n v="1154.3399999999999"/>
    <n v="5610.0923999999995"/>
    <n v="-314.85760000000028"/>
    <n v="2.8000000000000001E-2"/>
    <n v="0"/>
    <s v="High"/>
    <n v="-5.6123424990290764E-2"/>
    <n v="5"/>
  </r>
  <r>
    <x v="474"/>
    <x v="374"/>
    <d v="2025-06-05T00:00:00"/>
    <d v="2025-06-05T00:00:00"/>
    <n v="21"/>
    <n v="21"/>
    <n v="0"/>
    <s v="May"/>
    <s v="Q2-2025"/>
    <x v="1"/>
    <x v="3"/>
    <x v="1"/>
    <x v="3"/>
    <s v="Osaka"/>
    <s v="Enterprise"/>
    <x v="1"/>
    <x v="8"/>
    <x v="23"/>
    <x v="5"/>
    <x v="472"/>
    <n v="1466.5"/>
    <n v="5866"/>
    <n v="2778.74"/>
    <n v="9614.4403999999995"/>
    <n v="3748.4403999999995"/>
    <n v="0.13500000000000001"/>
    <n v="0"/>
    <s v="High"/>
    <n v="0.38987608680792279"/>
    <n v="4"/>
  </r>
  <r>
    <x v="475"/>
    <x v="88"/>
    <d v="2024-09-03T00:00:00"/>
    <d v="2024-09-03T00:00:00"/>
    <n v="22"/>
    <n v="22"/>
    <n v="0"/>
    <s v="August"/>
    <s v="Q3-2024"/>
    <x v="0"/>
    <x v="2"/>
    <x v="0"/>
    <x v="2"/>
    <s v="Austin"/>
    <s v="Consumer"/>
    <x v="0"/>
    <x v="13"/>
    <x v="1"/>
    <x v="3"/>
    <x v="473"/>
    <n v="797.8"/>
    <n v="28720.799999999999"/>
    <n v="886.22"/>
    <n v="24374.594880000001"/>
    <n v="-4346.2051199999987"/>
    <n v="0.23599999999999999"/>
    <n v="1"/>
    <s v="High"/>
    <n v="-0.17830881462428633"/>
    <n v="36"/>
  </r>
  <r>
    <x v="476"/>
    <x v="375"/>
    <d v="2023-08-01T00:00:00"/>
    <d v="2023-08-01T00:00:00"/>
    <n v="22"/>
    <n v="22"/>
    <n v="0"/>
    <s v="July"/>
    <s v="Q3-2023"/>
    <x v="0"/>
    <x v="8"/>
    <x v="2"/>
    <x v="8"/>
    <s v="Marseille"/>
    <s v="Consumer"/>
    <x v="2"/>
    <x v="11"/>
    <x v="16"/>
    <x v="0"/>
    <x v="474"/>
    <n v="1303.56"/>
    <n v="28678.32"/>
    <n v="1791.37"/>
    <n v="34444.462359999998"/>
    <n v="5766.142359999998"/>
    <n v="0.126"/>
    <n v="0"/>
    <s v="High"/>
    <n v="0.16740404596055358"/>
    <n v="22"/>
  </r>
  <r>
    <x v="477"/>
    <x v="18"/>
    <d v="2024-11-14T00:00:00"/>
    <d v="2024-11-14T00:00:00"/>
    <n v="22"/>
    <n v="22"/>
    <n v="0"/>
    <s v="October"/>
    <s v="Q4-2024"/>
    <x v="1"/>
    <x v="3"/>
    <x v="1"/>
    <x v="3"/>
    <s v="Osaka"/>
    <s v="Non-Profit"/>
    <x v="1"/>
    <x v="11"/>
    <x v="10"/>
    <x v="5"/>
    <x v="475"/>
    <n v="1406.4"/>
    <n v="23908.800000000003"/>
    <n v="1564.76"/>
    <n v="21679.749799999998"/>
    <n v="-2229.0502000000051"/>
    <n v="0.185"/>
    <n v="0"/>
    <s v="High"/>
    <n v="-0.10281715520536151"/>
    <n v="17"/>
  </r>
  <r>
    <x v="478"/>
    <x v="376"/>
    <d v="2024-09-18T00:00:00"/>
    <d v="2024-09-18T00:00:00"/>
    <n v="22"/>
    <n v="22"/>
    <n v="0"/>
    <s v="August"/>
    <s v="Q3-2024"/>
    <x v="0"/>
    <x v="1"/>
    <x v="1"/>
    <x v="11"/>
    <s v="Delhi"/>
    <s v="Consumer"/>
    <x v="1"/>
    <x v="11"/>
    <x v="1"/>
    <x v="6"/>
    <x v="476"/>
    <n v="896.75"/>
    <n v="13451.25"/>
    <n v="1651.14"/>
    <n v="24147.922500000001"/>
    <n v="10696.672500000001"/>
    <n v="2.5000000000000001E-2"/>
    <n v="0"/>
    <s v="High"/>
    <n v="0.44296450346815552"/>
    <n v="15"/>
  </r>
  <r>
    <x v="479"/>
    <x v="377"/>
    <d v="2024-02-02T00:00:00"/>
    <d v="2024-02-02T00:00:00"/>
    <n v="22"/>
    <n v="22"/>
    <n v="0"/>
    <s v="January"/>
    <s v="Q1-2024"/>
    <x v="1"/>
    <x v="3"/>
    <x v="1"/>
    <x v="3"/>
    <s v="Nagoya"/>
    <s v="Small Business"/>
    <x v="3"/>
    <x v="15"/>
    <x v="17"/>
    <x v="0"/>
    <x v="477"/>
    <n v="1237.68"/>
    <n v="16089.84"/>
    <n v="1432.8"/>
    <n v="17359.804799999998"/>
    <n v="1269.9647999999979"/>
    <n v="6.8000000000000005E-2"/>
    <n v="0"/>
    <s v="High"/>
    <n v="7.315547695559331E-2"/>
    <n v="13"/>
  </r>
  <r>
    <x v="480"/>
    <x v="378"/>
    <d v="2025-09-12T00:00:00"/>
    <d v="2025-09-12T00:00:00"/>
    <n v="22"/>
    <n v="22"/>
    <n v="0"/>
    <s v="August"/>
    <s v="Q3-2025"/>
    <x v="0"/>
    <x v="7"/>
    <x v="1"/>
    <x v="7"/>
    <s v="Shenzhen"/>
    <s v="Education"/>
    <x v="4"/>
    <x v="11"/>
    <x v="4"/>
    <x v="0"/>
    <x v="478"/>
    <n v="352.66"/>
    <n v="4584.58"/>
    <n v="411.18"/>
    <n v="4420.5961799999995"/>
    <n v="-163.98382000000038"/>
    <n v="0.17299999999999999"/>
    <n v="0"/>
    <s v="Low"/>
    <n v="-3.7095408248758066E-2"/>
    <n v="13"/>
  </r>
  <r>
    <x v="481"/>
    <x v="244"/>
    <d v="2024-03-11T00:00:00"/>
    <d v="2024-03-11T00:00:00"/>
    <n v="22"/>
    <n v="22"/>
    <n v="0"/>
    <s v="February"/>
    <s v="Q1-2024"/>
    <x v="0"/>
    <x v="1"/>
    <x v="0"/>
    <x v="1"/>
    <s v="São Paulo"/>
    <s v="Consumer"/>
    <x v="3"/>
    <x v="3"/>
    <x v="19"/>
    <x v="6"/>
    <x v="479"/>
    <n v="80.48"/>
    <n v="1046.24"/>
    <n v="65.650000000000006"/>
    <n v="703.2428000000001"/>
    <n v="-342.99719999999991"/>
    <n v="0.17599999999999999"/>
    <n v="0"/>
    <s v="Low"/>
    <n v="-0.48773652570634191"/>
    <n v="13"/>
  </r>
  <r>
    <x v="482"/>
    <x v="379"/>
    <d v="2024-01-20T00:00:00"/>
    <d v="2024-01-20T00:00:00"/>
    <n v="22"/>
    <n v="22"/>
    <n v="0"/>
    <s v="December"/>
    <s v="Q4-2023"/>
    <x v="0"/>
    <x v="9"/>
    <x v="3"/>
    <x v="9"/>
    <s v="Kisumu"/>
    <s v="Corporate"/>
    <x v="1"/>
    <x v="5"/>
    <x v="18"/>
    <x v="5"/>
    <x v="480"/>
    <n v="1395.49"/>
    <n v="16745.88"/>
    <n v="1679.42"/>
    <n v="16061.972879999999"/>
    <n v="-683.90712000000167"/>
    <n v="0.20300000000000001"/>
    <n v="1"/>
    <s v="High"/>
    <n v="-4.2579272490964493E-2"/>
    <n v="12"/>
  </r>
  <r>
    <x v="483"/>
    <x v="13"/>
    <d v="2023-05-29T00:00:00"/>
    <d v="2023-05-29T00:00:00"/>
    <n v="22"/>
    <n v="22"/>
    <n v="0"/>
    <s v="May"/>
    <s v="Q2-2023"/>
    <x v="0"/>
    <x v="6"/>
    <x v="3"/>
    <x v="6"/>
    <s v="Durban"/>
    <s v="Education"/>
    <x v="0"/>
    <x v="12"/>
    <x v="14"/>
    <x v="4"/>
    <x v="481"/>
    <n v="653.86"/>
    <n v="7846.32"/>
    <n v="931.84"/>
    <n v="9829.0483199999999"/>
    <n v="1982.7283200000002"/>
    <n v="0.121"/>
    <n v="0"/>
    <s v="High"/>
    <n v="0.20172129136506273"/>
    <n v="12"/>
  </r>
  <r>
    <x v="484"/>
    <x v="219"/>
    <d v="2023-05-26T00:00:00"/>
    <d v="2023-05-26T00:00:00"/>
    <n v="22"/>
    <n v="22"/>
    <n v="0"/>
    <s v="May"/>
    <s v="Q2-2023"/>
    <x v="0"/>
    <x v="2"/>
    <x v="0"/>
    <x v="2"/>
    <s v="San Francisco"/>
    <s v="Enterprise"/>
    <x v="3"/>
    <x v="10"/>
    <x v="2"/>
    <x v="2"/>
    <x v="482"/>
    <n v="249.71"/>
    <n v="2996.52"/>
    <n v="361.33"/>
    <n v="3928.3797600000003"/>
    <n v="931.85976000000028"/>
    <n v="9.4E-2"/>
    <n v="0"/>
    <s v="Low"/>
    <n v="0.23721223937881206"/>
    <n v="12"/>
  </r>
  <r>
    <x v="485"/>
    <x v="380"/>
    <d v="2023-05-14T00:00:00"/>
    <d v="2023-05-14T00:00:00"/>
    <n v="22"/>
    <n v="22"/>
    <n v="0"/>
    <s v="April"/>
    <s v="Q2-2023"/>
    <x v="1"/>
    <x v="3"/>
    <x v="1"/>
    <x v="3"/>
    <s v="Nagoya"/>
    <s v="Enterprise"/>
    <x v="4"/>
    <x v="3"/>
    <x v="11"/>
    <x v="4"/>
    <x v="483"/>
    <n v="1209.22"/>
    <n v="13301.42"/>
    <n v="1404.33"/>
    <n v="13856.52411"/>
    <n v="555.10411000000022"/>
    <n v="0.10299999999999999"/>
    <n v="0"/>
    <s v="High"/>
    <n v="4.0060848275751328E-2"/>
    <n v="11"/>
  </r>
  <r>
    <x v="486"/>
    <x v="381"/>
    <d v="2023-04-04T00:00:00"/>
    <d v="2023-04-04T00:00:00"/>
    <n v="22"/>
    <n v="22"/>
    <n v="0"/>
    <s v="March"/>
    <s v="Q1-2023"/>
    <x v="0"/>
    <x v="6"/>
    <x v="3"/>
    <x v="6"/>
    <s v="Durban"/>
    <s v="Small Business"/>
    <x v="4"/>
    <x v="3"/>
    <x v="28"/>
    <x v="6"/>
    <x v="484"/>
    <n v="1113.7"/>
    <n v="12250.7"/>
    <n v="1620.6"/>
    <n v="15348.702599999999"/>
    <n v="3098.002599999998"/>
    <n v="0.13900000000000001"/>
    <n v="0"/>
    <s v="High"/>
    <n v="0.20184133348182787"/>
    <n v="11"/>
  </r>
  <r>
    <x v="487"/>
    <x v="382"/>
    <d v="2025-06-20T00:00:00"/>
    <d v="2025-06-20T00:00:00"/>
    <n v="22"/>
    <n v="22"/>
    <n v="0"/>
    <s v="May"/>
    <s v="Q2-2025"/>
    <x v="0"/>
    <x v="10"/>
    <x v="2"/>
    <x v="10"/>
    <s v="Berlin"/>
    <s v="Corporate"/>
    <x v="1"/>
    <x v="3"/>
    <x v="0"/>
    <x v="0"/>
    <x v="485"/>
    <n v="483.47"/>
    <n v="5318.17"/>
    <n v="1135.43"/>
    <n v="10666.229420000001"/>
    <n v="5348.0594200000014"/>
    <n v="0.14599999999999999"/>
    <n v="0"/>
    <s v="High"/>
    <n v="0.50140112399719983"/>
    <n v="11"/>
  </r>
  <r>
    <x v="488"/>
    <x v="211"/>
    <d v="2024-06-14T00:00:00"/>
    <d v="2024-06-14T00:00:00"/>
    <n v="22"/>
    <n v="22"/>
    <n v="0"/>
    <s v="May"/>
    <s v="Q2-2024"/>
    <x v="0"/>
    <x v="8"/>
    <x v="2"/>
    <x v="8"/>
    <s v="Marseille"/>
    <s v="Small Business"/>
    <x v="3"/>
    <x v="6"/>
    <x v="3"/>
    <x v="1"/>
    <x v="486"/>
    <n v="1481.74"/>
    <n v="13335.66"/>
    <n v="1848.97"/>
    <n v="12413.98458"/>
    <n v="-921.67541999999958"/>
    <n v="0.254"/>
    <n v="1"/>
    <s v="High"/>
    <n v="-7.4244930309072407E-2"/>
    <n v="9"/>
  </r>
  <r>
    <x v="489"/>
    <x v="383"/>
    <d v="2023-06-20T00:00:00"/>
    <d v="2023-06-20T00:00:00"/>
    <n v="22"/>
    <n v="22"/>
    <n v="0"/>
    <s v="May"/>
    <s v="Q2-2023"/>
    <x v="0"/>
    <x v="4"/>
    <x v="2"/>
    <x v="4"/>
    <s v="London"/>
    <s v="Small Business"/>
    <x v="1"/>
    <x v="12"/>
    <x v="14"/>
    <x v="6"/>
    <x v="487"/>
    <n v="1295.3900000000001"/>
    <n v="10363.120000000001"/>
    <n v="2905.06"/>
    <n v="19800.88896"/>
    <n v="9437.7689599999994"/>
    <n v="0.14799999999999999"/>
    <n v="0"/>
    <s v="High"/>
    <n v="0.47663359857556614"/>
    <n v="8"/>
  </r>
  <r>
    <x v="490"/>
    <x v="384"/>
    <d v="2025-06-09T00:00:00"/>
    <d v="2025-06-09T00:00:00"/>
    <n v="22"/>
    <n v="22"/>
    <n v="0"/>
    <s v="May"/>
    <s v="Q2-2025"/>
    <x v="0"/>
    <x v="2"/>
    <x v="0"/>
    <x v="2"/>
    <s v="New York"/>
    <s v="Consumer"/>
    <x v="4"/>
    <x v="8"/>
    <x v="0"/>
    <x v="2"/>
    <x v="488"/>
    <n v="382.96"/>
    <n v="3063.68"/>
    <n v="552.84"/>
    <n v="3644.3212800000006"/>
    <n v="580.64128000000073"/>
    <n v="0.17599999999999999"/>
    <n v="0"/>
    <s v="Low"/>
    <n v="0.15932768693763483"/>
    <n v="8"/>
  </r>
  <r>
    <x v="491"/>
    <x v="385"/>
    <d v="2023-09-16T00:00:00"/>
    <d v="2023-09-16T00:00:00"/>
    <n v="22"/>
    <n v="22"/>
    <n v="0"/>
    <s v="August"/>
    <s v="Q3-2023"/>
    <x v="0"/>
    <x v="5"/>
    <x v="3"/>
    <x v="5"/>
    <s v="Abuja"/>
    <s v="Corporate"/>
    <x v="2"/>
    <x v="5"/>
    <x v="30"/>
    <x v="5"/>
    <x v="489"/>
    <n v="1196.83"/>
    <n v="8377.81"/>
    <n v="2513.5100000000002"/>
    <n v="16134.22069"/>
    <n v="7756.4106900000006"/>
    <n v="8.3000000000000004E-2"/>
    <n v="0"/>
    <s v="High"/>
    <n v="0.48074281609445374"/>
    <n v="7"/>
  </r>
  <r>
    <x v="492"/>
    <x v="386"/>
    <d v="2023-02-21T00:00:00"/>
    <d v="2023-02-21T00:00:00"/>
    <n v="22"/>
    <n v="22"/>
    <n v="0"/>
    <s v="January"/>
    <s v="Q1-2023"/>
    <x v="0"/>
    <x v="10"/>
    <x v="2"/>
    <x v="10"/>
    <s v="Munich"/>
    <s v="Small Business"/>
    <x v="2"/>
    <x v="2"/>
    <x v="5"/>
    <x v="2"/>
    <x v="490"/>
    <n v="1142.8800000000001"/>
    <n v="8000.1600000000008"/>
    <n v="1465.29"/>
    <n v="8349.2224200000001"/>
    <n v="349.06241999999929"/>
    <n v="0.186"/>
    <n v="0"/>
    <s v="High"/>
    <n v="4.1807775915017401E-2"/>
    <n v="7"/>
  </r>
  <r>
    <x v="493"/>
    <x v="377"/>
    <d v="2024-02-02T00:00:00"/>
    <d v="2024-02-02T00:00:00"/>
    <n v="22"/>
    <n v="22"/>
    <n v="0"/>
    <s v="January"/>
    <s v="Q1-2024"/>
    <x v="0"/>
    <x v="6"/>
    <x v="3"/>
    <x v="6"/>
    <s v="Durban"/>
    <s v="Consumer"/>
    <x v="3"/>
    <x v="12"/>
    <x v="19"/>
    <x v="2"/>
    <x v="491"/>
    <n v="1206.2"/>
    <n v="7237.2000000000007"/>
    <n v="1759.79"/>
    <n v="10558.74"/>
    <n v="3321.5399999999991"/>
    <n v="0"/>
    <n v="0"/>
    <s v="High"/>
    <n v="0.31457730751964713"/>
    <n v="6"/>
  </r>
  <r>
    <x v="494"/>
    <x v="103"/>
    <d v="2024-10-01T00:00:00"/>
    <d v="2024-10-01T00:00:00"/>
    <n v="22"/>
    <n v="22"/>
    <n v="0"/>
    <s v="September"/>
    <s v="Q3-2024"/>
    <x v="0"/>
    <x v="7"/>
    <x v="1"/>
    <x v="7"/>
    <s v="Shenzhen"/>
    <s v="Consumer"/>
    <x v="1"/>
    <x v="5"/>
    <x v="10"/>
    <x v="0"/>
    <x v="492"/>
    <n v="1166.18"/>
    <n v="6997.08"/>
    <n v="1335.02"/>
    <n v="6984.8246399999998"/>
    <n v="-12.25536000000011"/>
    <n v="0.128"/>
    <n v="0"/>
    <s v="High"/>
    <n v="-1.7545694604582242E-3"/>
    <n v="6"/>
  </r>
  <r>
    <x v="495"/>
    <x v="387"/>
    <d v="2024-02-28T00:00:00"/>
    <d v="2024-02-28T00:00:00"/>
    <n v="22"/>
    <n v="22"/>
    <n v="0"/>
    <s v="February"/>
    <s v="Q1-2024"/>
    <x v="0"/>
    <x v="9"/>
    <x v="3"/>
    <x v="9"/>
    <s v="Kisumu"/>
    <s v="Non-Profit"/>
    <x v="3"/>
    <x v="12"/>
    <x v="19"/>
    <x v="1"/>
    <x v="493"/>
    <n v="834.93"/>
    <n v="5009.58"/>
    <n v="1588.53"/>
    <n v="8330.2513199999994"/>
    <n v="3320.6713199999995"/>
    <n v="0.126"/>
    <n v="0"/>
    <s v="High"/>
    <n v="0.39862798761274343"/>
    <n v="6"/>
  </r>
  <r>
    <x v="496"/>
    <x v="388"/>
    <d v="2023-04-15T00:00:00"/>
    <d v="2023-04-15T00:00:00"/>
    <n v="23"/>
    <n v="23"/>
    <n v="0"/>
    <s v="March"/>
    <s v="Q1-2023"/>
    <x v="0"/>
    <x v="9"/>
    <x v="3"/>
    <x v="9"/>
    <s v="Mombasa"/>
    <s v="Small Business"/>
    <x v="4"/>
    <x v="14"/>
    <x v="28"/>
    <x v="4"/>
    <x v="494"/>
    <n v="875.36"/>
    <n v="46394.080000000002"/>
    <n v="1178.6199999999999"/>
    <n v="53034.364139999991"/>
    <n v="6640.2841399999888"/>
    <n v="0.151"/>
    <n v="0"/>
    <s v="High"/>
    <n v="0.12520719815685888"/>
    <n v="53"/>
  </r>
  <r>
    <x v="497"/>
    <x v="389"/>
    <d v="2024-12-15T00:00:00"/>
    <d v="2024-12-15T00:00:00"/>
    <n v="23"/>
    <n v="23"/>
    <n v="0"/>
    <s v="November"/>
    <s v="Q4-2024"/>
    <x v="0"/>
    <x v="9"/>
    <x v="3"/>
    <x v="9"/>
    <s v="Mombasa"/>
    <s v="Non-Profit"/>
    <x v="0"/>
    <x v="14"/>
    <x v="21"/>
    <x v="6"/>
    <x v="495"/>
    <n v="1335.76"/>
    <n v="53430.400000000001"/>
    <n v="2665.91"/>
    <n v="84136.119600000005"/>
    <n v="30705.719600000004"/>
    <n v="0.21099999999999999"/>
    <n v="1"/>
    <s v="High"/>
    <n v="0.36495288522909253"/>
    <n v="40"/>
  </r>
  <r>
    <x v="498"/>
    <x v="390"/>
    <d v="2024-12-28T00:00:00"/>
    <d v="2024-12-28T00:00:00"/>
    <n v="23"/>
    <n v="23"/>
    <n v="0"/>
    <s v="December"/>
    <s v="Q4-2024"/>
    <x v="0"/>
    <x v="0"/>
    <x v="0"/>
    <x v="0"/>
    <s v="Vancouver"/>
    <s v="Corporate"/>
    <x v="1"/>
    <x v="0"/>
    <x v="26"/>
    <x v="4"/>
    <x v="496"/>
    <n v="107.03"/>
    <n v="3210.9"/>
    <n v="242.29"/>
    <n v="5960.3340000000007"/>
    <n v="2749.4340000000007"/>
    <n v="0.18"/>
    <n v="0"/>
    <s v="Low"/>
    <n v="0.46128857879440988"/>
    <n v="30"/>
  </r>
  <r>
    <x v="499"/>
    <x v="376"/>
    <d v="2024-09-19T00:00:00"/>
    <d v="2024-09-19T00:00:00"/>
    <n v="23"/>
    <n v="23"/>
    <n v="0"/>
    <s v="August"/>
    <s v="Q3-2024"/>
    <x v="0"/>
    <x v="10"/>
    <x v="2"/>
    <x v="10"/>
    <s v="Berlin"/>
    <s v="Small Business"/>
    <x v="1"/>
    <x v="9"/>
    <x v="10"/>
    <x v="1"/>
    <x v="497"/>
    <n v="1024.01"/>
    <n v="27648.27"/>
    <n v="1580.97"/>
    <n v="41106.800970000004"/>
    <n v="13458.530970000003"/>
    <n v="3.6999999999999998E-2"/>
    <n v="0"/>
    <s v="High"/>
    <n v="0.3274039976942531"/>
    <n v="27"/>
  </r>
  <r>
    <x v="500"/>
    <x v="201"/>
    <d v="2023-09-07T00:00:00"/>
    <d v="2023-09-07T00:00:00"/>
    <n v="23"/>
    <n v="23"/>
    <n v="0"/>
    <s v="August"/>
    <s v="Q3-2023"/>
    <x v="0"/>
    <x v="2"/>
    <x v="0"/>
    <x v="2"/>
    <s v="New York"/>
    <s v="Enterprise"/>
    <x v="3"/>
    <x v="12"/>
    <x v="30"/>
    <x v="5"/>
    <x v="498"/>
    <n v="590.33000000000004"/>
    <n v="15348.580000000002"/>
    <n v="973.04"/>
    <n v="25299.040000000001"/>
    <n v="9950.4599999999991"/>
    <n v="0"/>
    <n v="0"/>
    <s v="High"/>
    <n v="0.39331373838691108"/>
    <n v="26"/>
  </r>
  <r>
    <x v="501"/>
    <x v="78"/>
    <d v="2025-07-12T00:00:00"/>
    <d v="2025-07-12T00:00:00"/>
    <n v="23"/>
    <n v="23"/>
    <n v="0"/>
    <s v="June"/>
    <s v="Q2-2025"/>
    <x v="0"/>
    <x v="4"/>
    <x v="2"/>
    <x v="4"/>
    <m/>
    <s v="Non-Profit"/>
    <x v="1"/>
    <x v="15"/>
    <x v="29"/>
    <x v="2"/>
    <x v="499"/>
    <n v="801.24"/>
    <n v="18428.52"/>
    <n v="1959.09"/>
    <n v="39516.804389999998"/>
    <n v="21088.284389999997"/>
    <n v="0.123"/>
    <n v="0"/>
    <s v="High"/>
    <n v="0.53365358650651762"/>
    <n v="23"/>
  </r>
  <r>
    <x v="502"/>
    <x v="391"/>
    <d v="2023-06-28T00:00:00"/>
    <d v="2023-06-28T00:00:00"/>
    <n v="23"/>
    <n v="23"/>
    <n v="0"/>
    <s v="June"/>
    <s v="Q2-2023"/>
    <x v="0"/>
    <x v="4"/>
    <x v="2"/>
    <x v="4"/>
    <s v="Birmingham"/>
    <s v="Corporate"/>
    <x v="1"/>
    <x v="12"/>
    <x v="14"/>
    <x v="0"/>
    <x v="500"/>
    <n v="605.82000000000005"/>
    <n v="11510.580000000002"/>
    <n v="771.12"/>
    <n v="12717.311040000001"/>
    <n v="1206.7310399999988"/>
    <n v="0.13200000000000001"/>
    <n v="0"/>
    <s v="Low"/>
    <n v="9.4888851597986767E-2"/>
    <n v="19"/>
  </r>
  <r>
    <x v="503"/>
    <x v="120"/>
    <d v="2025-08-03T00:00:00"/>
    <d v="2025-08-03T00:00:00"/>
    <n v="23"/>
    <n v="23"/>
    <n v="0"/>
    <s v="July"/>
    <s v="Q3-2025"/>
    <x v="0"/>
    <x v="9"/>
    <x v="3"/>
    <x v="9"/>
    <s v="Nakuru"/>
    <s v="Small Business"/>
    <x v="4"/>
    <x v="14"/>
    <x v="29"/>
    <x v="5"/>
    <x v="501"/>
    <n v="389.93"/>
    <n v="6628.81"/>
    <n v="486.13"/>
    <n v="7173.3342799999991"/>
    <n v="544.52427999999873"/>
    <n v="0.13200000000000001"/>
    <n v="0"/>
    <s v="Low"/>
    <n v="7.5909508569562828E-2"/>
    <n v="17"/>
  </r>
  <r>
    <x v="504"/>
    <x v="108"/>
    <d v="2025-09-22T00:00:00"/>
    <d v="2025-09-22T00:00:00"/>
    <n v="23"/>
    <n v="23"/>
    <n v="0"/>
    <s v="August"/>
    <s v="Q3-2025"/>
    <x v="0"/>
    <x v="8"/>
    <x v="2"/>
    <x v="8"/>
    <s v="Marseille"/>
    <s v="Corporate"/>
    <x v="1"/>
    <x v="7"/>
    <x v="4"/>
    <x v="6"/>
    <x v="502"/>
    <n v="663.9"/>
    <n v="9958.5"/>
    <n v="947.77"/>
    <n v="11742.8703"/>
    <n v="1784.3703000000005"/>
    <n v="0.17399999999999999"/>
    <n v="0"/>
    <s v="High"/>
    <n v="0.1519535049280073"/>
    <n v="15"/>
  </r>
  <r>
    <x v="505"/>
    <x v="392"/>
    <d v="2023-12-12T00:00:00"/>
    <d v="2023-12-12T00:00:00"/>
    <n v="23"/>
    <n v="23"/>
    <n v="0"/>
    <s v="November"/>
    <s v="Q4-2023"/>
    <x v="0"/>
    <x v="1"/>
    <x v="1"/>
    <x v="11"/>
    <s v="Delhi"/>
    <s v="Small Business"/>
    <x v="1"/>
    <x v="14"/>
    <x v="12"/>
    <x v="2"/>
    <x v="503"/>
    <n v="1349.04"/>
    <n v="18886.559999999998"/>
    <n v="2636.6"/>
    <n v="32704.386400000003"/>
    <n v="13817.826400000005"/>
    <n v="0.114"/>
    <n v="0"/>
    <s v="High"/>
    <n v="0.42250682312143928"/>
    <n v="14"/>
  </r>
  <r>
    <x v="506"/>
    <x v="51"/>
    <d v="2025-04-17T00:00:00"/>
    <d v="2025-04-17T00:00:00"/>
    <n v="23"/>
    <n v="23"/>
    <n v="0"/>
    <s v="March"/>
    <s v="Q1-2025"/>
    <x v="0"/>
    <x v="4"/>
    <x v="2"/>
    <x v="4"/>
    <s v="London"/>
    <s v="Consumer"/>
    <x v="4"/>
    <x v="8"/>
    <x v="23"/>
    <x v="2"/>
    <x v="504"/>
    <n v="1421.19"/>
    <n v="18475.47"/>
    <n v="1808.26"/>
    <n v="21062.61248"/>
    <n v="2587.1424799999986"/>
    <n v="0.104"/>
    <n v="0"/>
    <s v="High"/>
    <n v="0.12283103449093123"/>
    <n v="13"/>
  </r>
  <r>
    <x v="507"/>
    <x v="393"/>
    <d v="2023-12-26T00:00:00"/>
    <d v="2023-12-26T00:00:00"/>
    <n v="23"/>
    <n v="23"/>
    <n v="0"/>
    <s v="December"/>
    <s v="Q4-2023"/>
    <x v="0"/>
    <x v="1"/>
    <x v="0"/>
    <x v="1"/>
    <s v="Rio de Janeiro"/>
    <s v="Education"/>
    <x v="4"/>
    <x v="4"/>
    <x v="17"/>
    <x v="5"/>
    <x v="505"/>
    <n v="1303.1099999999999"/>
    <n v="16940.43"/>
    <n v="1145.67"/>
    <n v="12153.267360000002"/>
    <n v="-4787.1626399999986"/>
    <n v="0.184"/>
    <n v="0"/>
    <s v="High"/>
    <n v="-0.39389922875851208"/>
    <n v="13"/>
  </r>
  <r>
    <x v="508"/>
    <x v="105"/>
    <d v="2023-08-10T00:00:00"/>
    <d v="2023-08-10T00:00:00"/>
    <n v="23"/>
    <n v="23"/>
    <n v="0"/>
    <s v="July"/>
    <s v="Q3-2023"/>
    <x v="0"/>
    <x v="6"/>
    <x v="3"/>
    <x v="6"/>
    <s v="Johannesburg"/>
    <s v="Small Business"/>
    <x v="4"/>
    <x v="5"/>
    <x v="16"/>
    <x v="6"/>
    <x v="506"/>
    <n v="1271.56"/>
    <n v="16530.28"/>
    <n v="995.47"/>
    <n v="10456.416880000001"/>
    <n v="-6073.8631199999982"/>
    <n v="0.192"/>
    <n v="0"/>
    <s v="High"/>
    <n v="-0.58087423155607754"/>
    <n v="13"/>
  </r>
  <r>
    <x v="509"/>
    <x v="82"/>
    <d v="2024-02-05T00:00:00"/>
    <d v="2024-02-05T00:00:00"/>
    <n v="23"/>
    <n v="23"/>
    <n v="0"/>
    <s v="January"/>
    <s v="Q1-2024"/>
    <x v="0"/>
    <x v="10"/>
    <x v="2"/>
    <x v="10"/>
    <s v="Frankfurt"/>
    <s v="Education"/>
    <x v="1"/>
    <x v="11"/>
    <x v="18"/>
    <x v="3"/>
    <x v="507"/>
    <n v="1017.93"/>
    <n v="12215.16"/>
    <n v="1529.14"/>
    <n v="15505.479600000001"/>
    <n v="3290.3196000000007"/>
    <n v="0.155"/>
    <n v="0"/>
    <s v="High"/>
    <n v="0.21220366508366503"/>
    <n v="12"/>
  </r>
  <r>
    <x v="510"/>
    <x v="394"/>
    <d v="2023-02-28T00:00:00"/>
    <d v="2023-02-28T00:00:00"/>
    <n v="23"/>
    <n v="23"/>
    <n v="0"/>
    <s v="February"/>
    <s v="Q1-2023"/>
    <x v="0"/>
    <x v="2"/>
    <x v="0"/>
    <x v="2"/>
    <s v="Austin"/>
    <s v="Non-Profit"/>
    <x v="0"/>
    <x v="5"/>
    <x v="5"/>
    <x v="5"/>
    <x v="508"/>
    <n v="1214.49"/>
    <n v="13359.39"/>
    <n v="1533.95"/>
    <n v="16873.45"/>
    <n v="3514.0600000000013"/>
    <n v="0"/>
    <n v="0"/>
    <s v="High"/>
    <n v="0.20825972163369086"/>
    <n v="11"/>
  </r>
  <r>
    <x v="511"/>
    <x v="174"/>
    <d v="2025-08-28T00:00:00"/>
    <d v="2025-08-28T00:00:00"/>
    <n v="23"/>
    <n v="23"/>
    <n v="0"/>
    <s v="August"/>
    <s v="Q3-2025"/>
    <x v="0"/>
    <x v="1"/>
    <x v="1"/>
    <x v="11"/>
    <s v="Mumbai"/>
    <s v="Non-Profit"/>
    <x v="0"/>
    <x v="6"/>
    <x v="25"/>
    <x v="3"/>
    <x v="509"/>
    <n v="638.54"/>
    <n v="7023.94"/>
    <n v="987.24"/>
    <n v="10859.64"/>
    <n v="3835.7"/>
    <n v="0"/>
    <n v="0"/>
    <s v="High"/>
    <n v="0.35320692030306716"/>
    <n v="11"/>
  </r>
  <r>
    <x v="512"/>
    <x v="395"/>
    <d v="2024-11-08T00:00:00"/>
    <d v="2024-11-08T00:00:00"/>
    <n v="23"/>
    <n v="23"/>
    <n v="0"/>
    <s v="October"/>
    <s v="Q4-2024"/>
    <x v="1"/>
    <x v="3"/>
    <x v="1"/>
    <x v="3"/>
    <s v="Osaka"/>
    <s v="Small Business"/>
    <x v="4"/>
    <x v="10"/>
    <x v="10"/>
    <x v="2"/>
    <x v="510"/>
    <n v="82.14"/>
    <n v="821.4"/>
    <n v="166.04"/>
    <n v="1660.3999999999999"/>
    <n v="838.99999999999989"/>
    <n v="0"/>
    <n v="0"/>
    <s v="Low"/>
    <n v="0.50529992772825827"/>
    <n v="10"/>
  </r>
  <r>
    <x v="513"/>
    <x v="396"/>
    <d v="2025-05-04T00:00:00"/>
    <d v="2025-05-04T00:00:00"/>
    <n v="23"/>
    <n v="23"/>
    <n v="0"/>
    <s v="April"/>
    <s v="Q2-2025"/>
    <x v="1"/>
    <x v="3"/>
    <x v="1"/>
    <x v="3"/>
    <s v="Osaka"/>
    <s v="Small Business"/>
    <x v="3"/>
    <x v="1"/>
    <x v="13"/>
    <x v="6"/>
    <x v="511"/>
    <n v="786.2"/>
    <n v="7075.8"/>
    <n v="1075.3"/>
    <n v="8903.4839999999986"/>
    <n v="1827.6839999999984"/>
    <n v="0.08"/>
    <n v="0"/>
    <s v="High"/>
    <n v="0.20527739478163815"/>
    <n v="9"/>
  </r>
  <r>
    <x v="514"/>
    <x v="397"/>
    <d v="2023-06-19T00:00:00"/>
    <d v="2023-06-19T00:00:00"/>
    <n v="23"/>
    <n v="23"/>
    <n v="0"/>
    <s v="May"/>
    <s v="Q2-2023"/>
    <x v="0"/>
    <x v="10"/>
    <x v="2"/>
    <x v="10"/>
    <s v="Berlin"/>
    <s v="Education"/>
    <x v="4"/>
    <x v="4"/>
    <x v="14"/>
    <x v="4"/>
    <x v="512"/>
    <n v="1471.58"/>
    <n v="10301.06"/>
    <n v="2576.65"/>
    <n v="17964.4038"/>
    <n v="7663.3438000000006"/>
    <n v="4.0000000000000001E-3"/>
    <n v="0"/>
    <s v="High"/>
    <n v="0.4265849223451546"/>
    <n v="7"/>
  </r>
  <r>
    <x v="515"/>
    <x v="236"/>
    <d v="2023-03-18T00:00:00"/>
    <d v="2023-03-18T00:00:00"/>
    <n v="23"/>
    <n v="23"/>
    <n v="0"/>
    <s v="February"/>
    <s v="Q1-2023"/>
    <x v="0"/>
    <x v="7"/>
    <x v="1"/>
    <x v="7"/>
    <s v="Beijing"/>
    <s v="Education"/>
    <x v="0"/>
    <x v="12"/>
    <x v="11"/>
    <x v="0"/>
    <x v="513"/>
    <n v="770.11"/>
    <n v="5390.77"/>
    <n v="1667.82"/>
    <n v="10869.182940000001"/>
    <n v="5478.4129400000002"/>
    <n v="6.9000000000000006E-2"/>
    <n v="0"/>
    <s v="High"/>
    <n v="0.50403171703355287"/>
    <n v="7"/>
  </r>
  <r>
    <x v="516"/>
    <x v="398"/>
    <d v="2023-01-30T00:00:00"/>
    <d v="2023-01-30T00:00:00"/>
    <n v="23"/>
    <n v="23"/>
    <n v="0"/>
    <s v="January"/>
    <s v="Q1-2023"/>
    <x v="0"/>
    <x v="6"/>
    <x v="3"/>
    <x v="6"/>
    <s v="Cape Town"/>
    <s v="Consumer"/>
    <x v="3"/>
    <x v="3"/>
    <x v="5"/>
    <x v="0"/>
    <x v="514"/>
    <n v="299.02"/>
    <n v="1495.1"/>
    <n v="724.7"/>
    <n v="3116.21"/>
    <n v="1621.1100000000001"/>
    <n v="0.14000000000000001"/>
    <n v="0"/>
    <s v="Low"/>
    <n v="0.52021847051386139"/>
    <n v="5"/>
  </r>
  <r>
    <x v="517"/>
    <x v="399"/>
    <d v="2025-04-30T00:00:00"/>
    <d v="2025-04-30T00:00:00"/>
    <n v="24"/>
    <n v="24"/>
    <n v="0"/>
    <s v="April"/>
    <s v="Q2-2025"/>
    <x v="0"/>
    <x v="1"/>
    <x v="0"/>
    <x v="1"/>
    <s v="Brasília"/>
    <s v="Education"/>
    <x v="3"/>
    <x v="12"/>
    <x v="23"/>
    <x v="1"/>
    <x v="515"/>
    <n v="855.78"/>
    <n v="32519.64"/>
    <n v="977.38"/>
    <n v="31680.795320000001"/>
    <n v="-838.84467999999833"/>
    <n v="0.14699999999999999"/>
    <n v="0"/>
    <s v="High"/>
    <n v="-2.6478018355506307E-2"/>
    <n v="38"/>
  </r>
  <r>
    <x v="518"/>
    <x v="378"/>
    <d v="2025-09-14T00:00:00"/>
    <d v="2025-09-14T00:00:00"/>
    <n v="24"/>
    <n v="24"/>
    <n v="0"/>
    <s v="August"/>
    <s v="Q3-2025"/>
    <x v="0"/>
    <x v="10"/>
    <x v="2"/>
    <x v="10"/>
    <s v="Berlin"/>
    <s v="Non-Profit"/>
    <x v="3"/>
    <x v="3"/>
    <x v="25"/>
    <x v="1"/>
    <x v="516"/>
    <n v="1397.67"/>
    <n v="27953.4"/>
    <n v="3131.37"/>
    <n v="56176.777799999996"/>
    <n v="28223.377799999995"/>
    <n v="0.10299999999999999"/>
    <n v="0"/>
    <s v="High"/>
    <n v="0.50240293062874808"/>
    <n v="20"/>
  </r>
  <r>
    <x v="519"/>
    <x v="400"/>
    <d v="2024-04-06T00:00:00"/>
    <d v="2024-04-06T00:00:00"/>
    <n v="24"/>
    <n v="24"/>
    <n v="0"/>
    <s v="March"/>
    <s v="Q1-2024"/>
    <x v="0"/>
    <x v="5"/>
    <x v="3"/>
    <x v="5"/>
    <s v="Abuja"/>
    <s v="Consumer"/>
    <x v="0"/>
    <x v="5"/>
    <x v="20"/>
    <x v="6"/>
    <x v="517"/>
    <n v="1232.78"/>
    <n v="19724.48"/>
    <n v="1731.75"/>
    <n v="25131.155999999999"/>
    <n v="5406.6759999999995"/>
    <n v="9.2999999999999999E-2"/>
    <n v="0"/>
    <s v="High"/>
    <n v="0.21513837246484005"/>
    <n v="16"/>
  </r>
  <r>
    <x v="520"/>
    <x v="117"/>
    <d v="2023-09-12T00:00:00"/>
    <d v="2023-09-12T00:00:00"/>
    <n v="24"/>
    <n v="24"/>
    <n v="0"/>
    <s v="August"/>
    <s v="Q3-2023"/>
    <x v="0"/>
    <x v="0"/>
    <x v="0"/>
    <x v="0"/>
    <s v="Vancouver"/>
    <s v="Enterprise"/>
    <x v="4"/>
    <x v="13"/>
    <x v="30"/>
    <x v="0"/>
    <x v="518"/>
    <n v="1183.95"/>
    <n v="18943.2"/>
    <n v="1503.53"/>
    <n v="18258.868320000001"/>
    <n v="-684.33167999999932"/>
    <n v="0.24099999999999999"/>
    <n v="1"/>
    <s v="High"/>
    <n v="-3.7479413729623705E-2"/>
    <n v="16"/>
  </r>
  <r>
    <x v="521"/>
    <x v="401"/>
    <d v="2024-02-13T00:00:00"/>
    <d v="2024-02-13T00:00:00"/>
    <n v="24"/>
    <n v="24"/>
    <n v="0"/>
    <s v="January"/>
    <s v="Q1-2024"/>
    <x v="0"/>
    <x v="8"/>
    <x v="2"/>
    <x v="8"/>
    <s v="Marseille"/>
    <s v="Corporate"/>
    <x v="4"/>
    <x v="8"/>
    <x v="19"/>
    <x v="0"/>
    <x v="519"/>
    <n v="643.53"/>
    <n v="9652.9499999999989"/>
    <n v="1439.01"/>
    <n v="21585.15"/>
    <n v="11932.200000000003"/>
    <n v="0"/>
    <n v="0"/>
    <s v="High"/>
    <n v="0.55279671440782208"/>
    <n v="15"/>
  </r>
  <r>
    <x v="522"/>
    <x v="402"/>
    <d v="2025-02-14T00:00:00"/>
    <d v="2025-02-14T00:00:00"/>
    <n v="24"/>
    <n v="24"/>
    <n v="0"/>
    <s v="January"/>
    <s v="Q1-2025"/>
    <x v="0"/>
    <x v="9"/>
    <x v="3"/>
    <x v="9"/>
    <s v="Nairobi"/>
    <s v="Small Business"/>
    <x v="4"/>
    <x v="10"/>
    <x v="22"/>
    <x v="4"/>
    <x v="520"/>
    <n v="1030.44"/>
    <n v="13395.720000000001"/>
    <n v="2562.84"/>
    <n v="28386.015839999996"/>
    <n v="14990.295839999995"/>
    <n v="0.14799999999999999"/>
    <n v="0"/>
    <s v="High"/>
    <n v="0.52808734852027039"/>
    <n v="13"/>
  </r>
  <r>
    <x v="523"/>
    <x v="392"/>
    <d v="2023-12-13T00:00:00"/>
    <d v="2023-12-13T00:00:00"/>
    <n v="24"/>
    <n v="24"/>
    <n v="0"/>
    <s v="November"/>
    <s v="Q4-2023"/>
    <x v="0"/>
    <x v="8"/>
    <x v="2"/>
    <x v="8"/>
    <s v="Lyon"/>
    <s v="Non-Profit"/>
    <x v="1"/>
    <x v="8"/>
    <x v="17"/>
    <x v="1"/>
    <x v="521"/>
    <n v="1297.42"/>
    <n v="11676.78"/>
    <n v="2742.97"/>
    <n v="22983.34563"/>
    <n v="11306.565629999999"/>
    <n v="6.9000000000000006E-2"/>
    <n v="0"/>
    <s v="High"/>
    <n v="0.49194602961727291"/>
    <n v="9"/>
  </r>
  <r>
    <x v="524"/>
    <x v="403"/>
    <d v="2024-11-20T00:00:00"/>
    <d v="2024-11-20T00:00:00"/>
    <n v="24"/>
    <n v="24"/>
    <n v="0"/>
    <s v="October"/>
    <s v="Q4-2024"/>
    <x v="1"/>
    <x v="3"/>
    <x v="1"/>
    <x v="3"/>
    <s v="Nagoya"/>
    <s v="Non-Profit"/>
    <x v="3"/>
    <x v="8"/>
    <x v="10"/>
    <x v="1"/>
    <x v="522"/>
    <n v="317.25"/>
    <n v="2855.25"/>
    <n v="758.92"/>
    <n v="6468.2751599999992"/>
    <n v="3613.0251599999992"/>
    <n v="5.2999999999999999E-2"/>
    <n v="0"/>
    <s v="Low"/>
    <n v="0.5585762928489888"/>
    <n v="9"/>
  </r>
  <r>
    <x v="525"/>
    <x v="144"/>
    <d v="2023-10-02T00:00:00"/>
    <d v="2023-10-02T00:00:00"/>
    <n v="24"/>
    <n v="24"/>
    <n v="0"/>
    <s v="September"/>
    <s v="Q3-2023"/>
    <x v="0"/>
    <x v="0"/>
    <x v="0"/>
    <x v="0"/>
    <s v="Toronto"/>
    <s v="Education"/>
    <x v="1"/>
    <x v="3"/>
    <x v="27"/>
    <x v="4"/>
    <x v="523"/>
    <n v="1299.03"/>
    <n v="10392.24"/>
    <n v="2451.2199999999998"/>
    <n v="15530.929919999999"/>
    <n v="5138.6899199999989"/>
    <n v="0.20799999999999999"/>
    <n v="1"/>
    <s v="High"/>
    <n v="0.3308681416032041"/>
    <n v="8"/>
  </r>
  <r>
    <x v="526"/>
    <x v="404"/>
    <d v="2024-10-14T00:00:00"/>
    <d v="2024-10-14T00:00:00"/>
    <n v="25"/>
    <n v="25"/>
    <n v="0"/>
    <s v="September"/>
    <s v="Q3-2024"/>
    <x v="0"/>
    <x v="1"/>
    <x v="0"/>
    <x v="1"/>
    <s v="Rio de Janeiro"/>
    <s v="Small Business"/>
    <x v="4"/>
    <x v="12"/>
    <x v="10"/>
    <x v="0"/>
    <x v="524"/>
    <n v="386.96"/>
    <n v="15865.359999999999"/>
    <n v="937.46"/>
    <n v="28211.92124"/>
    <n v="12346.561240000001"/>
    <n v="0.26600000000000001"/>
    <n v="1"/>
    <s v="High"/>
    <n v="0.43763631462626335"/>
    <n v="41"/>
  </r>
  <r>
    <x v="527"/>
    <x v="405"/>
    <d v="2025-08-17T00:00:00"/>
    <d v="2025-08-17T00:00:00"/>
    <n v="25"/>
    <n v="25"/>
    <n v="0"/>
    <s v="July"/>
    <s v="Q3-2025"/>
    <x v="0"/>
    <x v="4"/>
    <x v="2"/>
    <x v="4"/>
    <s v="Birmingham"/>
    <s v="Education"/>
    <x v="3"/>
    <x v="13"/>
    <x v="25"/>
    <x v="0"/>
    <x v="525"/>
    <n v="1142.06"/>
    <n v="31977.68"/>
    <n v="1455"/>
    <n v="37562.28"/>
    <n v="5584.5999999999985"/>
    <n v="7.8E-2"/>
    <n v="0"/>
    <s v="High"/>
    <n v="0.1486757459877302"/>
    <n v="28"/>
  </r>
  <r>
    <x v="528"/>
    <x v="406"/>
    <d v="2024-04-09T00:00:00"/>
    <d v="2024-04-09T00:00:00"/>
    <n v="25"/>
    <n v="25"/>
    <n v="0"/>
    <s v="March"/>
    <s v="Q1-2024"/>
    <x v="0"/>
    <x v="0"/>
    <x v="0"/>
    <x v="0"/>
    <s v="Vancouver"/>
    <s v="Consumer"/>
    <x v="3"/>
    <x v="0"/>
    <x v="31"/>
    <x v="1"/>
    <x v="526"/>
    <n v="648.64"/>
    <n v="18161.919999999998"/>
    <n v="815.19"/>
    <n v="17689.623"/>
    <n v="-472.29699999999866"/>
    <n v="0.22500000000000001"/>
    <n v="1"/>
    <s v="Low"/>
    <n v="-2.6699099240272032E-2"/>
    <n v="28"/>
  </r>
  <r>
    <x v="529"/>
    <x v="407"/>
    <d v="2024-11-08T00:00:00"/>
    <d v="2024-11-08T00:00:00"/>
    <n v="25"/>
    <n v="25"/>
    <n v="0"/>
    <s v="October"/>
    <s v="Q4-2024"/>
    <x v="0"/>
    <x v="5"/>
    <x v="3"/>
    <x v="5"/>
    <s v="Lagos"/>
    <s v="Enterprise"/>
    <x v="3"/>
    <x v="4"/>
    <x v="24"/>
    <x v="2"/>
    <x v="527"/>
    <n v="859.35"/>
    <n v="20624.400000000001"/>
    <n v="1825.61"/>
    <n v="35621.302319999995"/>
    <n v="14996.902319999994"/>
    <n v="0.187"/>
    <n v="0"/>
    <s v="High"/>
    <n v="0.42100937762681989"/>
    <n v="24"/>
  </r>
  <r>
    <x v="530"/>
    <x v="195"/>
    <d v="2023-07-18T00:00:00"/>
    <d v="2023-07-18T00:00:00"/>
    <n v="25"/>
    <n v="25"/>
    <n v="0"/>
    <s v="June"/>
    <s v="Q2-2023"/>
    <x v="0"/>
    <x v="0"/>
    <x v="0"/>
    <x v="0"/>
    <s v="Vancouver"/>
    <s v="Enterprise"/>
    <x v="3"/>
    <x v="6"/>
    <x v="7"/>
    <x v="5"/>
    <x v="528"/>
    <n v="807.02"/>
    <n v="18561.46"/>
    <n v="1435.54"/>
    <n v="33017.42"/>
    <n v="14455.96"/>
    <n v="0"/>
    <n v="0"/>
    <s v="High"/>
    <n v="0.43782827368098415"/>
    <n v="23"/>
  </r>
  <r>
    <x v="531"/>
    <x v="408"/>
    <d v="2024-12-15T00:00:00"/>
    <d v="2024-12-15T00:00:00"/>
    <n v="25"/>
    <n v="25"/>
    <n v="0"/>
    <s v="November"/>
    <s v="Q4-2024"/>
    <x v="0"/>
    <x v="8"/>
    <x v="2"/>
    <x v="8"/>
    <s v="Paris"/>
    <s v="Corporate"/>
    <x v="3"/>
    <x v="2"/>
    <x v="21"/>
    <x v="0"/>
    <x v="529"/>
    <n v="1203.58"/>
    <n v="26478.76"/>
    <n v="1856.16"/>
    <n v="35567.737920000007"/>
    <n v="9088.9779200000085"/>
    <n v="0.129"/>
    <n v="0"/>
    <s v="High"/>
    <n v="0.25553994860295032"/>
    <n v="22"/>
  </r>
  <r>
    <x v="532"/>
    <x v="409"/>
    <d v="2024-10-18T00:00:00"/>
    <d v="2024-10-18T00:00:00"/>
    <n v="25"/>
    <n v="25"/>
    <n v="0"/>
    <s v="September"/>
    <s v="Q3-2024"/>
    <x v="0"/>
    <x v="0"/>
    <x v="0"/>
    <x v="0"/>
    <s v="Vancouver"/>
    <s v="Small Business"/>
    <x v="3"/>
    <x v="6"/>
    <x v="24"/>
    <x v="5"/>
    <x v="530"/>
    <n v="1297"/>
    <n v="23346"/>
    <n v="2411.52"/>
    <n v="42495.805439999996"/>
    <n v="19149.805439999996"/>
    <n v="2.1000000000000001E-2"/>
    <n v="0"/>
    <s v="High"/>
    <n v="0.45062813239385913"/>
    <n v="18"/>
  </r>
  <r>
    <x v="533"/>
    <x v="410"/>
    <d v="2024-09-12T00:00:00"/>
    <d v="2024-09-12T00:00:00"/>
    <n v="25"/>
    <n v="25"/>
    <n v="0"/>
    <s v="August"/>
    <s v="Q3-2024"/>
    <x v="0"/>
    <x v="1"/>
    <x v="1"/>
    <x v="11"/>
    <s v="Mumbai"/>
    <s v="Consumer"/>
    <x v="2"/>
    <x v="14"/>
    <x v="1"/>
    <x v="5"/>
    <x v="531"/>
    <n v="1154.03"/>
    <n v="20772.54"/>
    <n v="1590.36"/>
    <n v="19637.76528"/>
    <n v="-1134.7747200000013"/>
    <n v="0.314"/>
    <n v="1"/>
    <s v="High"/>
    <n v="-5.7785328616576745E-2"/>
    <n v="18"/>
  </r>
  <r>
    <x v="534"/>
    <x v="411"/>
    <d v="2024-05-07T00:00:00"/>
    <d v="2024-05-07T00:00:00"/>
    <n v="25"/>
    <n v="25"/>
    <n v="0"/>
    <s v="April"/>
    <s v="Q2-2024"/>
    <x v="0"/>
    <x v="6"/>
    <x v="3"/>
    <x v="6"/>
    <s v="Johannesburg"/>
    <s v="Education"/>
    <x v="0"/>
    <x v="3"/>
    <x v="8"/>
    <x v="3"/>
    <x v="532"/>
    <n v="1376.51"/>
    <n v="23400.67"/>
    <n v="1455.91"/>
    <n v="20171.63305"/>
    <n v="-3229.0369499999979"/>
    <n v="0.185"/>
    <n v="0"/>
    <s v="High"/>
    <n v="-0.1600781127634085"/>
    <n v="17"/>
  </r>
  <r>
    <x v="535"/>
    <x v="58"/>
    <d v="2024-01-16T00:00:00"/>
    <d v="2024-01-16T00:00:00"/>
    <n v="25"/>
    <n v="25"/>
    <n v="0"/>
    <s v="December"/>
    <s v="Q4-2023"/>
    <x v="0"/>
    <x v="1"/>
    <x v="1"/>
    <x v="11"/>
    <s v="Hyderabad"/>
    <s v="Small Business"/>
    <x v="4"/>
    <x v="3"/>
    <x v="17"/>
    <x v="6"/>
    <x v="533"/>
    <n v="1346.81"/>
    <n v="22895.77"/>
    <n v="978.09"/>
    <n v="13983.752729999998"/>
    <n v="-8912.0172700000021"/>
    <n v="0.159"/>
    <n v="0"/>
    <s v="High"/>
    <n v="-0.6373122753293996"/>
    <n v="17"/>
  </r>
  <r>
    <x v="536"/>
    <x v="412"/>
    <d v="2024-04-24T00:00:00"/>
    <d v="2024-04-24T00:00:00"/>
    <n v="25"/>
    <n v="25"/>
    <n v="0"/>
    <s v="March"/>
    <s v="Q1-2024"/>
    <x v="0"/>
    <x v="2"/>
    <x v="0"/>
    <x v="2"/>
    <s v="Austin"/>
    <s v="Non-Profit"/>
    <x v="3"/>
    <x v="2"/>
    <x v="31"/>
    <x v="3"/>
    <x v="534"/>
    <n v="160.82"/>
    <n v="2733.94"/>
    <n v="258.52"/>
    <n v="3823.5108"/>
    <n v="1089.5708"/>
    <n v="0.13"/>
    <n v="0"/>
    <s v="Low"/>
    <n v="0.28496605789631874"/>
    <n v="17"/>
  </r>
  <r>
    <x v="537"/>
    <x v="413"/>
    <d v="2023-12-31T00:00:00"/>
    <d v="2023-12-31T00:00:00"/>
    <n v="25"/>
    <n v="25"/>
    <n v="0"/>
    <s v="December"/>
    <s v="Q4-2023"/>
    <x v="1"/>
    <x v="3"/>
    <x v="1"/>
    <x v="3"/>
    <s v="Osaka"/>
    <s v="Consumer"/>
    <x v="4"/>
    <x v="5"/>
    <x v="12"/>
    <x v="0"/>
    <x v="535"/>
    <n v="663.03"/>
    <n v="9945.4499999999989"/>
    <n v="813.51"/>
    <n v="10957.9797"/>
    <n v="1012.529700000001"/>
    <n v="0.10199999999999999"/>
    <n v="0"/>
    <s v="Low"/>
    <n v="9.2401129379715952E-2"/>
    <n v="15"/>
  </r>
  <r>
    <x v="538"/>
    <x v="414"/>
    <d v="2025-01-14T00:00:00"/>
    <d v="2025-01-14T00:00:00"/>
    <n v="25"/>
    <n v="25"/>
    <n v="0"/>
    <s v="December"/>
    <s v="Q4-2024"/>
    <x v="0"/>
    <x v="1"/>
    <x v="1"/>
    <x v="11"/>
    <s v="Delhi"/>
    <s v="Small Business"/>
    <x v="4"/>
    <x v="1"/>
    <x v="21"/>
    <x v="0"/>
    <x v="536"/>
    <n v="1361.34"/>
    <n v="19058.759999999998"/>
    <n v="1737.9"/>
    <n v="22457.143800000002"/>
    <n v="3398.3838000000032"/>
    <n v="7.6999999999999999E-2"/>
    <n v="0"/>
    <s v="High"/>
    <n v="0.15132751654731813"/>
    <n v="14"/>
  </r>
  <r>
    <x v="539"/>
    <x v="415"/>
    <d v="2023-09-06T00:00:00"/>
    <d v="2023-09-06T00:00:00"/>
    <n v="25"/>
    <n v="25"/>
    <n v="0"/>
    <s v="August"/>
    <s v="Q3-2023"/>
    <x v="0"/>
    <x v="7"/>
    <x v="1"/>
    <x v="7"/>
    <s v="Shanghai"/>
    <s v="Small Business"/>
    <x v="4"/>
    <x v="11"/>
    <x v="30"/>
    <x v="6"/>
    <x v="537"/>
    <n v="950.77"/>
    <n v="13310.779999999999"/>
    <n v="694.78"/>
    <n v="8909.8587200000002"/>
    <n v="-4400.9212799999987"/>
    <n v="8.4000000000000005E-2"/>
    <n v="0"/>
    <s v="Low"/>
    <n v="-0.49393839097821279"/>
    <n v="14"/>
  </r>
  <r>
    <x v="540"/>
    <x v="25"/>
    <d v="2023-03-25T00:00:00"/>
    <d v="2023-03-25T00:00:00"/>
    <n v="25"/>
    <n v="25"/>
    <n v="0"/>
    <s v="February"/>
    <s v="Q1-2023"/>
    <x v="0"/>
    <x v="9"/>
    <x v="3"/>
    <x v="9"/>
    <s v="Nairobi"/>
    <s v="Corporate"/>
    <x v="4"/>
    <x v="13"/>
    <x v="11"/>
    <x v="2"/>
    <x v="538"/>
    <n v="1460.76"/>
    <n v="17529.12"/>
    <n v="30.66"/>
    <n v="319.72248000000002"/>
    <n v="-17209.397519999999"/>
    <n v="0.13100000000000001"/>
    <n v="0"/>
    <s v="Low"/>
    <n v="-53.826047890032626"/>
    <n v="12"/>
  </r>
  <r>
    <x v="541"/>
    <x v="416"/>
    <d v="2023-11-16T00:00:00"/>
    <d v="2023-11-16T00:00:00"/>
    <n v="25"/>
    <n v="25"/>
    <n v="0"/>
    <s v="October"/>
    <s v="Q4-2023"/>
    <x v="0"/>
    <x v="0"/>
    <x v="0"/>
    <x v="0"/>
    <s v="Toronto"/>
    <s v="Small Business"/>
    <x v="2"/>
    <x v="13"/>
    <x v="12"/>
    <x v="3"/>
    <x v="539"/>
    <n v="1373.31"/>
    <n v="15106.41"/>
    <n v="3154.14"/>
    <n v="27756.432000000001"/>
    <n v="12650.022000000001"/>
    <n v="0.2"/>
    <n v="0"/>
    <s v="High"/>
    <n v="0.45575101295440279"/>
    <n v="11"/>
  </r>
  <r>
    <x v="542"/>
    <x v="417"/>
    <d v="2023-04-01T00:00:00"/>
    <d v="2023-04-01T00:00:00"/>
    <n v="25"/>
    <n v="25"/>
    <n v="0"/>
    <s v="March"/>
    <s v="Q1-2023"/>
    <x v="0"/>
    <x v="9"/>
    <x v="3"/>
    <x v="9"/>
    <s v="Nairobi"/>
    <s v="Consumer"/>
    <x v="2"/>
    <x v="9"/>
    <x v="11"/>
    <x v="0"/>
    <x v="540"/>
    <n v="1024.0999999999999"/>
    <n v="10241"/>
    <n v="918.19"/>
    <n v="7446.5209000000004"/>
    <n v="-2794.4790999999996"/>
    <n v="0.189"/>
    <n v="0"/>
    <s v="High"/>
    <n v="-0.37527311579827827"/>
    <n v="10"/>
  </r>
  <r>
    <x v="543"/>
    <x v="418"/>
    <d v="2025-03-31T00:00:00"/>
    <d v="2025-03-31T00:00:00"/>
    <n v="25"/>
    <n v="25"/>
    <n v="0"/>
    <s v="March"/>
    <s v="Q1-2025"/>
    <x v="0"/>
    <x v="1"/>
    <x v="0"/>
    <x v="1"/>
    <s v="Brasília"/>
    <s v="Non-Profit"/>
    <x v="3"/>
    <x v="10"/>
    <x v="13"/>
    <x v="6"/>
    <x v="541"/>
    <n v="331.57"/>
    <n v="3315.7"/>
    <n v="548.4"/>
    <n v="4968.5039999999999"/>
    <n v="1652.8040000000001"/>
    <n v="9.4E-2"/>
    <n v="0"/>
    <s v="Low"/>
    <n v="0.33265626836568918"/>
    <n v="10"/>
  </r>
  <r>
    <x v="544"/>
    <x v="419"/>
    <d v="2024-01-14T00:00:00"/>
    <d v="2024-01-14T00:00:00"/>
    <n v="25"/>
    <n v="25"/>
    <n v="0"/>
    <s v="December"/>
    <s v="Q4-2023"/>
    <x v="0"/>
    <x v="1"/>
    <x v="1"/>
    <x v="11"/>
    <s v="Mumbai"/>
    <s v="Non-Profit"/>
    <x v="2"/>
    <x v="5"/>
    <x v="17"/>
    <x v="1"/>
    <x v="542"/>
    <n v="1085.6099999999999"/>
    <n v="7599.2699999999995"/>
    <n v="1246.4100000000001"/>
    <n v="7738.9596900000006"/>
    <n v="139.68969000000106"/>
    <n v="0.113"/>
    <n v="0"/>
    <s v="High"/>
    <n v="1.8050189637310417E-2"/>
    <n v="7"/>
  </r>
  <r>
    <x v="545"/>
    <x v="264"/>
    <d v="2024-05-26T00:00:00"/>
    <d v="2024-05-26T00:00:00"/>
    <n v="25"/>
    <n v="25"/>
    <n v="0"/>
    <s v="May"/>
    <s v="Q2-2024"/>
    <x v="0"/>
    <x v="10"/>
    <x v="2"/>
    <x v="10"/>
    <s v="Berlin"/>
    <s v="Non-Profit"/>
    <x v="4"/>
    <x v="11"/>
    <x v="8"/>
    <x v="2"/>
    <x v="543"/>
    <n v="930.71"/>
    <n v="6514.97"/>
    <n v="1625.42"/>
    <n v="9807.7842799999999"/>
    <n v="3292.8142799999996"/>
    <n v="0.13800000000000001"/>
    <n v="0"/>
    <s v="High"/>
    <n v="0.33573477821231196"/>
    <n v="7"/>
  </r>
  <r>
    <x v="546"/>
    <x v="420"/>
    <d v="2024-05-29T00:00:00"/>
    <d v="2024-05-29T00:00:00"/>
    <n v="25"/>
    <n v="25"/>
    <n v="0"/>
    <s v="May"/>
    <s v="Q2-2024"/>
    <x v="0"/>
    <x v="5"/>
    <x v="3"/>
    <x v="5"/>
    <s v="Abuja"/>
    <s v="Non-Profit"/>
    <x v="2"/>
    <x v="4"/>
    <x v="8"/>
    <x v="1"/>
    <x v="544"/>
    <n v="1295.3399999999999"/>
    <n v="7772.0399999999991"/>
    <n v="2530.81"/>
    <n v="14714.12934"/>
    <n v="6942.0893400000004"/>
    <n v="3.1E-2"/>
    <n v="0"/>
    <s v="High"/>
    <n v="0.4717974933880798"/>
    <n v="6"/>
  </r>
  <r>
    <x v="547"/>
    <x v="271"/>
    <d v="2025-04-08T00:00:00"/>
    <d v="2025-04-08T00:00:00"/>
    <n v="25"/>
    <n v="25"/>
    <n v="0"/>
    <s v="March"/>
    <s v="Q1-2025"/>
    <x v="0"/>
    <x v="7"/>
    <x v="1"/>
    <x v="7"/>
    <m/>
    <s v="Corporate"/>
    <x v="0"/>
    <x v="9"/>
    <x v="23"/>
    <x v="0"/>
    <x v="545"/>
    <n v="80.59"/>
    <n v="483.54"/>
    <n v="157.82"/>
    <n v="741.43835999999999"/>
    <n v="257.89835999999997"/>
    <n v="0.217"/>
    <n v="1"/>
    <s v="Low"/>
    <n v="0.34783519967863541"/>
    <n v="6"/>
  </r>
  <r>
    <x v="548"/>
    <x v="421"/>
    <d v="2024-11-24T00:00:00"/>
    <d v="2024-11-24T00:00:00"/>
    <n v="25"/>
    <n v="25"/>
    <n v="0"/>
    <s v="October"/>
    <s v="Q4-2024"/>
    <x v="0"/>
    <x v="7"/>
    <x v="1"/>
    <x v="7"/>
    <s v="Shenzhen"/>
    <s v="Small Business"/>
    <x v="3"/>
    <x v="7"/>
    <x v="15"/>
    <x v="6"/>
    <x v="546"/>
    <n v="811.05"/>
    <n v="4055.25"/>
    <n v="1217.71"/>
    <n v="5650.1744000000008"/>
    <n v="1594.9244000000008"/>
    <n v="7.1999999999999995E-2"/>
    <n v="0"/>
    <s v="High"/>
    <n v="0.28227879125288602"/>
    <n v="5"/>
  </r>
  <r>
    <x v="549"/>
    <x v="422"/>
    <d v="2023-10-29T00:00:00"/>
    <d v="2023-10-29T00:00:00"/>
    <n v="25"/>
    <n v="25"/>
    <n v="0"/>
    <s v="October"/>
    <s v="Q4-2023"/>
    <x v="0"/>
    <x v="2"/>
    <x v="0"/>
    <x v="2"/>
    <s v="San Francisco"/>
    <s v="Small Business"/>
    <x v="0"/>
    <x v="4"/>
    <x v="27"/>
    <x v="4"/>
    <x v="547"/>
    <n v="1239.8399999999999"/>
    <n v="4959.3599999999997"/>
    <n v="1482.75"/>
    <n v="5533.6230000000005"/>
    <n v="574.26300000000083"/>
    <n v="6.7000000000000004E-2"/>
    <n v="0"/>
    <s v="High"/>
    <n v="0.10377703721413634"/>
    <n v="4"/>
  </r>
  <r>
    <x v="550"/>
    <x v="308"/>
    <d v="2025-04-04T00:00:00"/>
    <d v="2025-04-04T00:00:00"/>
    <n v="25"/>
    <n v="25"/>
    <n v="0"/>
    <s v="March"/>
    <s v="Q1-2025"/>
    <x v="1"/>
    <x v="3"/>
    <x v="1"/>
    <x v="3"/>
    <s v="Osaka"/>
    <s v="Corporate"/>
    <x v="1"/>
    <x v="8"/>
    <x v="22"/>
    <x v="0"/>
    <x v="548"/>
    <n v="783.72"/>
    <n v="3134.88"/>
    <n v="1355.94"/>
    <n v="4409.5168800000001"/>
    <n v="1274.63688"/>
    <n v="0.187"/>
    <n v="0"/>
    <s v="High"/>
    <n v="0.28906497348525856"/>
    <n v="4"/>
  </r>
  <r>
    <x v="551"/>
    <x v="423"/>
    <d v="2023-04-22T00:00:00"/>
    <d v="2023-04-22T00:00:00"/>
    <n v="26"/>
    <n v="26"/>
    <n v="0"/>
    <s v="March"/>
    <s v="Q1-2023"/>
    <x v="0"/>
    <x v="1"/>
    <x v="1"/>
    <x v="11"/>
    <s v="Delhi"/>
    <s v="Non-Profit"/>
    <x v="2"/>
    <x v="10"/>
    <x v="11"/>
    <x v="0"/>
    <x v="549"/>
    <n v="178.53"/>
    <n v="6605.61"/>
    <n v="199.37"/>
    <n v="6631.6443100000006"/>
    <n v="26.034310000000914"/>
    <n v="0.10100000000000001"/>
    <n v="0"/>
    <s v="Low"/>
    <n v="3.9257699573457538E-3"/>
    <n v="37"/>
  </r>
  <r>
    <x v="552"/>
    <x v="424"/>
    <d v="2024-08-23T00:00:00"/>
    <d v="2024-08-23T00:00:00"/>
    <n v="26"/>
    <n v="26"/>
    <n v="0"/>
    <s v="July"/>
    <s v="Q3-2024"/>
    <x v="0"/>
    <x v="1"/>
    <x v="1"/>
    <x v="11"/>
    <s v="Hyderabad"/>
    <s v="Corporate"/>
    <x v="4"/>
    <x v="10"/>
    <x v="6"/>
    <x v="2"/>
    <x v="550"/>
    <n v="1339.24"/>
    <n v="32141.760000000002"/>
    <n v="1558.89"/>
    <n v="30229.994880000002"/>
    <n v="-1911.76512"/>
    <n v="0.192"/>
    <n v="0"/>
    <s v="High"/>
    <n v="-6.3240669659021781E-2"/>
    <n v="24"/>
  </r>
  <r>
    <x v="553"/>
    <x v="344"/>
    <d v="2023-08-19T00:00:00"/>
    <d v="2023-08-19T00:00:00"/>
    <n v="26"/>
    <n v="26"/>
    <n v="0"/>
    <s v="July"/>
    <s v="Q3-2023"/>
    <x v="0"/>
    <x v="9"/>
    <x v="3"/>
    <x v="9"/>
    <s v="Nairobi"/>
    <s v="Enterprise"/>
    <x v="0"/>
    <x v="1"/>
    <x v="16"/>
    <x v="4"/>
    <x v="551"/>
    <n v="661.45"/>
    <n v="15874.800000000001"/>
    <n v="1634.86"/>
    <n v="17067.938400000003"/>
    <n v="1193.1384000000016"/>
    <n v="0.56499999999999995"/>
    <n v="1"/>
    <s v="High"/>
    <n v="6.9905244092045793E-2"/>
    <n v="24"/>
  </r>
  <r>
    <x v="554"/>
    <x v="425"/>
    <d v="2024-01-27T00:00:00"/>
    <d v="2024-01-27T00:00:00"/>
    <n v="26"/>
    <n v="26"/>
    <n v="0"/>
    <s v="January"/>
    <s v="Q1-2024"/>
    <x v="0"/>
    <x v="4"/>
    <x v="2"/>
    <x v="4"/>
    <s v="Manchester"/>
    <s v="Education"/>
    <x v="0"/>
    <x v="9"/>
    <x v="18"/>
    <x v="4"/>
    <x v="552"/>
    <n v="657.45"/>
    <n v="13806.45"/>
    <n v="1325.96"/>
    <n v="23195.01828"/>
    <n v="9388.5682799999995"/>
    <n v="0.16700000000000001"/>
    <n v="0"/>
    <s v="High"/>
    <n v="0.40476658249048808"/>
    <n v="21"/>
  </r>
  <r>
    <x v="555"/>
    <x v="15"/>
    <d v="2024-01-02T00:00:00"/>
    <d v="2024-01-02T00:00:00"/>
    <n v="26"/>
    <n v="26"/>
    <n v="0"/>
    <s v="December"/>
    <s v="Q4-2023"/>
    <x v="0"/>
    <x v="10"/>
    <x v="2"/>
    <x v="10"/>
    <s v="Frankfurt"/>
    <s v="Enterprise"/>
    <x v="0"/>
    <x v="7"/>
    <x v="17"/>
    <x v="6"/>
    <x v="553"/>
    <n v="1071.99"/>
    <n v="19295.82"/>
    <n v="2397.3000000000002"/>
    <n v="40476.013200000001"/>
    <n v="21180.193200000002"/>
    <n v="6.2E-2"/>
    <n v="0"/>
    <s v="High"/>
    <n v="0.52327765324476183"/>
    <n v="18"/>
  </r>
  <r>
    <x v="556"/>
    <x v="426"/>
    <d v="2024-02-11T00:00:00"/>
    <d v="2024-02-11T00:00:00"/>
    <n v="26"/>
    <n v="26"/>
    <n v="0"/>
    <s v="January"/>
    <s v="Q1-2024"/>
    <x v="0"/>
    <x v="10"/>
    <x v="2"/>
    <x v="10"/>
    <s v="Frankfurt"/>
    <s v="Non-Profit"/>
    <x v="0"/>
    <x v="7"/>
    <x v="18"/>
    <x v="1"/>
    <x v="554"/>
    <n v="504.93"/>
    <n v="7573.95"/>
    <n v="819.06"/>
    <n v="9509.2865999999995"/>
    <n v="1935.3365999999996"/>
    <n v="0.22600000000000001"/>
    <n v="1"/>
    <s v="High"/>
    <n v="0.20352069312959814"/>
    <n v="15"/>
  </r>
  <r>
    <x v="557"/>
    <x v="427"/>
    <d v="2024-09-26T00:00:00"/>
    <d v="2024-09-26T00:00:00"/>
    <n v="26"/>
    <n v="26"/>
    <n v="0"/>
    <s v="August"/>
    <s v="Q3-2024"/>
    <x v="1"/>
    <x v="3"/>
    <x v="1"/>
    <x v="3"/>
    <s v="Tokyo"/>
    <s v="Education"/>
    <x v="3"/>
    <x v="13"/>
    <x v="6"/>
    <x v="5"/>
    <x v="555"/>
    <n v="1189.03"/>
    <n v="15457.39"/>
    <n v="2949.62"/>
    <n v="33551.927499999998"/>
    <n v="18094.537499999999"/>
    <n v="0.125"/>
    <n v="0"/>
    <s v="High"/>
    <n v="0.53929949330034765"/>
    <n v="13"/>
  </r>
  <r>
    <x v="558"/>
    <x v="402"/>
    <d v="2025-02-16T00:00:00"/>
    <d v="2025-02-16T00:00:00"/>
    <n v="26"/>
    <n v="26"/>
    <n v="0"/>
    <s v="January"/>
    <s v="Q1-2025"/>
    <x v="0"/>
    <x v="8"/>
    <x v="2"/>
    <x v="8"/>
    <s v="Lyon"/>
    <s v="Corporate"/>
    <x v="0"/>
    <x v="4"/>
    <x v="22"/>
    <x v="3"/>
    <x v="556"/>
    <n v="204.11"/>
    <n v="2653.4300000000003"/>
    <n v="236.87"/>
    <n v="2518.8755800000004"/>
    <n v="-134.55441999999994"/>
    <n v="0.182"/>
    <n v="0"/>
    <s v="Low"/>
    <n v="-5.3418446337075494E-2"/>
    <n v="13"/>
  </r>
  <r>
    <x v="559"/>
    <x v="428"/>
    <d v="2025-04-27T00:00:00"/>
    <d v="2025-04-27T00:00:00"/>
    <n v="26"/>
    <n v="26"/>
    <n v="0"/>
    <s v="April"/>
    <s v="Q2-2025"/>
    <x v="0"/>
    <x v="2"/>
    <x v="0"/>
    <x v="2"/>
    <s v="San Francisco"/>
    <s v="Corporate"/>
    <x v="1"/>
    <x v="13"/>
    <x v="23"/>
    <x v="1"/>
    <x v="557"/>
    <n v="156.55000000000001"/>
    <n v="2035.15"/>
    <n v="227.45"/>
    <n v="2915.4540999999999"/>
    <n v="880.30409999999983"/>
    <n v="1.4E-2"/>
    <n v="0"/>
    <s v="Low"/>
    <n v="0.3019440779396938"/>
    <n v="13"/>
  </r>
  <r>
    <x v="560"/>
    <x v="60"/>
    <d v="2023-10-31T00:00:00"/>
    <d v="2023-10-31T00:00:00"/>
    <n v="26"/>
    <n v="26"/>
    <n v="0"/>
    <s v="October"/>
    <s v="Q4-2023"/>
    <x v="0"/>
    <x v="7"/>
    <x v="1"/>
    <x v="7"/>
    <s v="Shanghai"/>
    <s v="Consumer"/>
    <x v="5"/>
    <x v="10"/>
    <x v="27"/>
    <x v="0"/>
    <x v="558"/>
    <n v="649.91"/>
    <n v="5849.19"/>
    <n v="1360.12"/>
    <n v="9866.3104799999983"/>
    <n v="4017.1204799999987"/>
    <n v="0.19400000000000001"/>
    <n v="0"/>
    <s v="High"/>
    <n v="0.40715528749506769"/>
    <n v="9"/>
  </r>
  <r>
    <x v="561"/>
    <x v="323"/>
    <d v="2024-04-06T00:00:00"/>
    <d v="2024-04-06T00:00:00"/>
    <n v="26"/>
    <n v="26"/>
    <n v="0"/>
    <s v="March"/>
    <s v="Q1-2024"/>
    <x v="0"/>
    <x v="9"/>
    <x v="3"/>
    <x v="9"/>
    <s v="Kisumu"/>
    <s v="Corporate"/>
    <x v="4"/>
    <x v="14"/>
    <x v="20"/>
    <x v="6"/>
    <x v="559"/>
    <n v="279.24"/>
    <n v="2513.16"/>
    <n v="608.9"/>
    <n v="4866.3287999999993"/>
    <n v="2353.1687999999995"/>
    <n v="0.112"/>
    <n v="0"/>
    <s v="Low"/>
    <n v="0.48356140670149533"/>
    <n v="9"/>
  </r>
  <r>
    <x v="562"/>
    <x v="109"/>
    <d v="2025-06-27T00:00:00"/>
    <d v="2025-06-27T00:00:00"/>
    <n v="26"/>
    <n v="26"/>
    <n v="0"/>
    <s v="June"/>
    <s v="Q2-2025"/>
    <x v="0"/>
    <x v="10"/>
    <x v="2"/>
    <x v="10"/>
    <s v="Munich"/>
    <s v="Consumer"/>
    <x v="0"/>
    <x v="7"/>
    <x v="0"/>
    <x v="3"/>
    <x v="560"/>
    <n v="1362.31"/>
    <n v="9536.17"/>
    <n v="3294.57"/>
    <n v="20455.985130000001"/>
    <n v="10919.815130000001"/>
    <n v="0.113"/>
    <n v="0"/>
    <s v="High"/>
    <n v="0.5338200561157721"/>
    <n v="7"/>
  </r>
  <r>
    <x v="563"/>
    <x v="429"/>
    <d v="2025-02-08T00:00:00"/>
    <d v="2025-02-08T00:00:00"/>
    <n v="26"/>
    <n v="26"/>
    <n v="0"/>
    <s v="January"/>
    <s v="Q1-2025"/>
    <x v="0"/>
    <x v="8"/>
    <x v="2"/>
    <x v="8"/>
    <s v="Paris"/>
    <s v="Non-Profit"/>
    <x v="5"/>
    <x v="7"/>
    <x v="22"/>
    <x v="1"/>
    <x v="561"/>
    <n v="594.74"/>
    <n v="3568.44"/>
    <n v="1020.69"/>
    <n v="4831.9464600000001"/>
    <n v="1263.5064600000001"/>
    <n v="0.21099999999999999"/>
    <n v="1"/>
    <s v="High"/>
    <n v="0.26149016146176424"/>
    <n v="6"/>
  </r>
  <r>
    <x v="564"/>
    <x v="309"/>
    <d v="2023-06-07T00:00:00"/>
    <d v="2023-06-07T00:00:00"/>
    <n v="27"/>
    <n v="27"/>
    <n v="0"/>
    <s v="May"/>
    <s v="Q2-2023"/>
    <x v="0"/>
    <x v="9"/>
    <x v="3"/>
    <x v="9"/>
    <s v="Mombasa"/>
    <s v="Corporate"/>
    <x v="3"/>
    <x v="10"/>
    <x v="2"/>
    <x v="5"/>
    <x v="562"/>
    <n v="12.85"/>
    <n v="501.15"/>
    <n v="15.41"/>
    <n v="518.65436999999997"/>
    <n v="17.504369999999994"/>
    <n v="0.13700000000000001"/>
    <n v="0"/>
    <s v="Low"/>
    <n v="3.3749585489851353E-2"/>
    <n v="39"/>
  </r>
  <r>
    <x v="565"/>
    <x v="430"/>
    <d v="2025-08-18T00:00:00"/>
    <d v="2025-08-18T00:00:00"/>
    <n v="27"/>
    <n v="27"/>
    <n v="0"/>
    <s v="July"/>
    <s v="Q3-2025"/>
    <x v="0"/>
    <x v="7"/>
    <x v="1"/>
    <x v="7"/>
    <s v="Shenzhen"/>
    <s v="Non-Profit"/>
    <x v="2"/>
    <x v="1"/>
    <x v="25"/>
    <x v="2"/>
    <x v="563"/>
    <n v="547.32000000000005"/>
    <n v="7662.4800000000005"/>
    <n v="419.17"/>
    <n v="5328.4890400000004"/>
    <n v="-2333.9909600000001"/>
    <n v="9.1999999999999998E-2"/>
    <n v="0"/>
    <s v="Low"/>
    <n v="-0.43802116181137907"/>
    <n v="14"/>
  </r>
  <r>
    <x v="566"/>
    <x v="431"/>
    <d v="2024-12-24T00:00:00"/>
    <d v="2024-12-24T00:00:00"/>
    <n v="27"/>
    <n v="27"/>
    <n v="0"/>
    <s v="November"/>
    <s v="Q4-2024"/>
    <x v="0"/>
    <x v="9"/>
    <x v="3"/>
    <x v="9"/>
    <s v="Mombasa"/>
    <s v="Corporate"/>
    <x v="0"/>
    <x v="11"/>
    <x v="21"/>
    <x v="0"/>
    <x v="564"/>
    <n v="143.33000000000001"/>
    <n v="2006.6200000000001"/>
    <n v="233.51"/>
    <n v="2736.27018"/>
    <n v="729.65017999999986"/>
    <n v="0.16300000000000001"/>
    <n v="0"/>
    <s v="Low"/>
    <n v="0.26665867476580835"/>
    <n v="14"/>
  </r>
  <r>
    <x v="567"/>
    <x v="159"/>
    <d v="2025-10-05T00:00:00"/>
    <d v="2025-10-05T00:00:00"/>
    <n v="27"/>
    <n v="27"/>
    <n v="0"/>
    <s v="September"/>
    <s v="Q3-2025"/>
    <x v="0"/>
    <x v="1"/>
    <x v="0"/>
    <x v="1"/>
    <s v="Rio de Janeiro"/>
    <s v="Education"/>
    <x v="3"/>
    <x v="14"/>
    <x v="4"/>
    <x v="1"/>
    <x v="565"/>
    <n v="660.78"/>
    <n v="8590.14"/>
    <n v="1630.39"/>
    <n v="16574.544740000001"/>
    <n v="7984.4047400000018"/>
    <n v="0.218"/>
    <n v="1"/>
    <s v="High"/>
    <n v="0.48172694123724097"/>
    <n v="13"/>
  </r>
  <r>
    <x v="568"/>
    <x v="265"/>
    <d v="2025-07-12T00:00:00"/>
    <d v="2025-07-12T00:00:00"/>
    <n v="27"/>
    <n v="27"/>
    <n v="0"/>
    <s v="June"/>
    <s v="Q2-2025"/>
    <x v="0"/>
    <x v="8"/>
    <x v="2"/>
    <x v="8"/>
    <s v="Marseille"/>
    <s v="Consumer"/>
    <x v="1"/>
    <x v="14"/>
    <x v="29"/>
    <x v="4"/>
    <x v="566"/>
    <n v="318.83"/>
    <n v="4144.79"/>
    <n v="699.5"/>
    <n v="8366.02"/>
    <n v="4221.2300000000005"/>
    <n v="0.08"/>
    <n v="0"/>
    <s v="Low"/>
    <n v="0.50456848059172699"/>
    <n v="13"/>
  </r>
  <r>
    <x v="569"/>
    <x v="432"/>
    <d v="2025-02-06T00:00:00"/>
    <d v="2025-02-06T00:00:00"/>
    <n v="27"/>
    <n v="27"/>
    <n v="0"/>
    <s v="January"/>
    <s v="Q1-2025"/>
    <x v="0"/>
    <x v="1"/>
    <x v="0"/>
    <x v="1"/>
    <s v="Brasília"/>
    <s v="Non-Profit"/>
    <x v="4"/>
    <x v="11"/>
    <x v="26"/>
    <x v="3"/>
    <x v="567"/>
    <n v="725.62"/>
    <n v="8707.44"/>
    <n v="1559.19"/>
    <n v="15155.326800000001"/>
    <n v="6447.8868000000002"/>
    <n v="0.19"/>
    <n v="0"/>
    <s v="High"/>
    <n v="0.42545349797405885"/>
    <n v="12"/>
  </r>
  <r>
    <x v="570"/>
    <x v="96"/>
    <d v="2025-05-06T00:00:00"/>
    <d v="2025-05-06T00:00:00"/>
    <n v="27"/>
    <n v="27"/>
    <n v="0"/>
    <s v="April"/>
    <s v="Q2-2025"/>
    <x v="0"/>
    <x v="1"/>
    <x v="0"/>
    <x v="1"/>
    <s v="Brasília"/>
    <s v="Enterprise"/>
    <x v="2"/>
    <x v="0"/>
    <x v="23"/>
    <x v="3"/>
    <x v="568"/>
    <n v="264.19"/>
    <n v="3170.2799999999997"/>
    <n v="620.92999999999995"/>
    <n v="6393.0952799999995"/>
    <n v="3222.8152799999998"/>
    <n v="0.14199999999999999"/>
    <n v="0"/>
    <s v="Low"/>
    <n v="0.50410875152794532"/>
    <n v="12"/>
  </r>
  <r>
    <x v="571"/>
    <x v="433"/>
    <d v="2024-10-07T00:00:00"/>
    <d v="2024-10-07T00:00:00"/>
    <n v="27"/>
    <n v="27"/>
    <n v="0"/>
    <s v="September"/>
    <s v="Q3-2024"/>
    <x v="0"/>
    <x v="9"/>
    <x v="3"/>
    <x v="9"/>
    <s v="Kisumu"/>
    <s v="Consumer"/>
    <x v="4"/>
    <x v="5"/>
    <x v="10"/>
    <x v="0"/>
    <x v="569"/>
    <n v="1248.3900000000001"/>
    <n v="13732.29"/>
    <n v="1805.11"/>
    <n v="15825.399369999997"/>
    <n v="2093.1093699999965"/>
    <n v="0.20300000000000001"/>
    <n v="1"/>
    <s v="High"/>
    <n v="0.13226265707820786"/>
    <n v="11"/>
  </r>
  <r>
    <x v="572"/>
    <x v="405"/>
    <d v="2025-08-19T00:00:00"/>
    <d v="2025-08-19T00:00:00"/>
    <n v="27"/>
    <n v="27"/>
    <n v="0"/>
    <s v="July"/>
    <s v="Q3-2025"/>
    <x v="1"/>
    <x v="3"/>
    <x v="1"/>
    <x v="3"/>
    <s v="Nagoya"/>
    <s v="Consumer"/>
    <x v="2"/>
    <x v="11"/>
    <x v="0"/>
    <x v="4"/>
    <x v="570"/>
    <n v="896.09"/>
    <n v="9856.99"/>
    <n v="744.27"/>
    <n v="7507.4514899999995"/>
    <n v="-2349.5385100000003"/>
    <n v="8.3000000000000004E-2"/>
    <n v="0"/>
    <s v="Low"/>
    <n v="-0.31296086469950679"/>
    <n v="11"/>
  </r>
  <r>
    <x v="573"/>
    <x v="19"/>
    <d v="2023-08-30T00:00:00"/>
    <d v="2023-08-30T00:00:00"/>
    <n v="27"/>
    <n v="27"/>
    <n v="0"/>
    <s v="August"/>
    <s v="Q3-2023"/>
    <x v="0"/>
    <x v="7"/>
    <x v="1"/>
    <x v="7"/>
    <s v="Shanghai"/>
    <s v="Consumer"/>
    <x v="0"/>
    <x v="6"/>
    <x v="16"/>
    <x v="1"/>
    <x v="571"/>
    <n v="226.04"/>
    <n v="2486.44"/>
    <n v="545.72"/>
    <n v="5096.4790800000001"/>
    <n v="2610.03908"/>
    <n v="0.151"/>
    <n v="0"/>
    <s v="Low"/>
    <n v="0.51212592831834014"/>
    <n v="11"/>
  </r>
  <r>
    <x v="574"/>
    <x v="434"/>
    <d v="2023-09-20T00:00:00"/>
    <d v="2023-09-20T00:00:00"/>
    <n v="27"/>
    <n v="27"/>
    <n v="0"/>
    <s v="August"/>
    <s v="Q3-2023"/>
    <x v="0"/>
    <x v="6"/>
    <x v="3"/>
    <x v="6"/>
    <s v="Durban"/>
    <s v="Small Business"/>
    <x v="2"/>
    <x v="1"/>
    <x v="30"/>
    <x v="0"/>
    <x v="572"/>
    <n v="1399.64"/>
    <n v="13996.400000000001"/>
    <n v="3342.11"/>
    <n v="33421.1"/>
    <n v="19424.699999999997"/>
    <n v="0"/>
    <n v="0"/>
    <s v="High"/>
    <n v="0.58121067229983447"/>
    <n v="10"/>
  </r>
  <r>
    <x v="575"/>
    <x v="435"/>
    <d v="2024-07-26T00:00:00"/>
    <d v="2024-07-26T00:00:00"/>
    <n v="27"/>
    <n v="27"/>
    <n v="0"/>
    <s v="June"/>
    <s v="Q2-2024"/>
    <x v="0"/>
    <x v="6"/>
    <x v="3"/>
    <x v="6"/>
    <s v="Durban"/>
    <s v="Enterprise"/>
    <x v="0"/>
    <x v="11"/>
    <x v="6"/>
    <x v="2"/>
    <x v="573"/>
    <n v="5.36"/>
    <n v="48.24"/>
    <n v="4.37"/>
    <n v="34.689059999999998"/>
    <n v="-13.550940000000004"/>
    <n v="0.11799999999999999"/>
    <n v="0"/>
    <s v="Low"/>
    <n v="-0.39064016148030545"/>
    <n v="9"/>
  </r>
  <r>
    <x v="576"/>
    <x v="279"/>
    <d v="2024-11-29T00:00:00"/>
    <d v="2024-11-29T00:00:00"/>
    <n v="27"/>
    <n v="27"/>
    <n v="0"/>
    <s v="November"/>
    <s v="Q4-2024"/>
    <x v="0"/>
    <x v="1"/>
    <x v="0"/>
    <x v="1"/>
    <s v="Brasília"/>
    <s v="Small Business"/>
    <x v="1"/>
    <x v="13"/>
    <x v="15"/>
    <x v="2"/>
    <x v="574"/>
    <n v="1363.51"/>
    <n v="10908.08"/>
    <n v="1433.9"/>
    <n v="10817.3416"/>
    <n v="-90.738400000000183"/>
    <n v="5.7000000000000002E-2"/>
    <n v="0"/>
    <s v="High"/>
    <n v="-8.3882346842037592E-3"/>
    <n v="8"/>
  </r>
  <r>
    <x v="577"/>
    <x v="436"/>
    <d v="2024-01-14T00:00:00"/>
    <d v="2024-01-14T00:00:00"/>
    <n v="27"/>
    <n v="27"/>
    <n v="0"/>
    <s v="December"/>
    <s v="Q4-2023"/>
    <x v="0"/>
    <x v="1"/>
    <x v="1"/>
    <x v="11"/>
    <s v="Mumbai"/>
    <s v="Consumer"/>
    <x v="0"/>
    <x v="9"/>
    <x v="17"/>
    <x v="2"/>
    <x v="575"/>
    <n v="1408.3"/>
    <n v="9858.1"/>
    <n v="2193.13"/>
    <n v="14261.92439"/>
    <n v="4403.8243899999998"/>
    <n v="7.0999999999999994E-2"/>
    <n v="0"/>
    <s v="High"/>
    <n v="0.30878191957656281"/>
    <n v="7"/>
  </r>
  <r>
    <x v="578"/>
    <x v="166"/>
    <d v="2023-07-12T00:00:00"/>
    <d v="2023-07-12T00:00:00"/>
    <n v="27"/>
    <n v="27"/>
    <n v="0"/>
    <s v="June"/>
    <s v="Q2-2023"/>
    <x v="0"/>
    <x v="4"/>
    <x v="2"/>
    <x v="4"/>
    <s v="Manchester"/>
    <s v="Consumer"/>
    <x v="1"/>
    <x v="13"/>
    <x v="14"/>
    <x v="4"/>
    <x v="576"/>
    <n v="751.28"/>
    <n v="5258.96"/>
    <n v="1111.8800000000001"/>
    <n v="6732.4334000000008"/>
    <n v="1473.4734000000008"/>
    <n v="0.13500000000000001"/>
    <n v="0"/>
    <s v="High"/>
    <n v="0.21886193482433863"/>
    <n v="7"/>
  </r>
  <r>
    <x v="579"/>
    <x v="9"/>
    <d v="2023-07-21T00:00:00"/>
    <d v="2023-07-21T00:00:00"/>
    <n v="27"/>
    <n v="27"/>
    <n v="0"/>
    <s v="June"/>
    <s v="Q2-2023"/>
    <x v="1"/>
    <x v="3"/>
    <x v="1"/>
    <x v="3"/>
    <s v="Nagoya"/>
    <s v="Consumer"/>
    <x v="2"/>
    <x v="10"/>
    <x v="2"/>
    <x v="5"/>
    <x v="577"/>
    <n v="554.76"/>
    <n v="3883.3199999999997"/>
    <n v="728.69"/>
    <n v="3978.6474000000003"/>
    <n v="95.32740000000058"/>
    <n v="0.22"/>
    <n v="1"/>
    <s v="Low"/>
    <n v="2.395975074343119E-2"/>
    <n v="7"/>
  </r>
  <r>
    <x v="580"/>
    <x v="317"/>
    <d v="2024-04-03T00:00:00"/>
    <d v="2024-04-03T00:00:00"/>
    <n v="27"/>
    <n v="27"/>
    <n v="0"/>
    <s v="March"/>
    <s v="Q1-2024"/>
    <x v="0"/>
    <x v="10"/>
    <x v="2"/>
    <x v="10"/>
    <s v="Frankfurt"/>
    <s v="Corporate"/>
    <x v="1"/>
    <x v="1"/>
    <x v="20"/>
    <x v="0"/>
    <x v="578"/>
    <n v="738.16"/>
    <n v="3690.7999999999997"/>
    <n v="956.49"/>
    <n v="4055.5175999999997"/>
    <n v="364.71759999999995"/>
    <n v="0.152"/>
    <n v="0"/>
    <s v="High"/>
    <n v="8.9931208780847108E-2"/>
    <n v="5"/>
  </r>
  <r>
    <x v="581"/>
    <x v="437"/>
    <d v="2024-07-07T00:00:00"/>
    <d v="2024-07-07T00:00:00"/>
    <n v="28"/>
    <n v="28"/>
    <n v="0"/>
    <s v="June"/>
    <s v="Q2-2024"/>
    <x v="0"/>
    <x v="7"/>
    <x v="1"/>
    <x v="7"/>
    <s v="Shenzhen"/>
    <s v="Corporate"/>
    <x v="3"/>
    <x v="10"/>
    <x v="3"/>
    <x v="6"/>
    <x v="579"/>
    <n v="550.22"/>
    <n v="14855.94"/>
    <n v="1025.05"/>
    <n v="27676.35"/>
    <n v="12820.409999999998"/>
    <n v="0"/>
    <n v="0"/>
    <s v="High"/>
    <n v="0.46322618408858102"/>
    <n v="27"/>
  </r>
  <r>
    <x v="582"/>
    <x v="438"/>
    <d v="2023-08-13T00:00:00"/>
    <d v="2023-08-13T00:00:00"/>
    <n v="28"/>
    <n v="28"/>
    <n v="0"/>
    <s v="July"/>
    <s v="Q3-2023"/>
    <x v="0"/>
    <x v="4"/>
    <x v="2"/>
    <x v="4"/>
    <s v="Manchester"/>
    <s v="Non-Profit"/>
    <x v="3"/>
    <x v="10"/>
    <x v="7"/>
    <x v="3"/>
    <x v="580"/>
    <n v="1039.03"/>
    <n v="21819.63"/>
    <n v="2545.81"/>
    <n v="41914.215840000004"/>
    <n v="20094.585840000003"/>
    <n v="0.216"/>
    <n v="1"/>
    <s v="High"/>
    <n v="0.47942172929364774"/>
    <n v="21"/>
  </r>
  <r>
    <x v="583"/>
    <x v="439"/>
    <d v="2024-04-13T00:00:00"/>
    <d v="2024-04-13T00:00:00"/>
    <n v="28"/>
    <n v="28"/>
    <n v="0"/>
    <s v="March"/>
    <s v="Q1-2024"/>
    <x v="0"/>
    <x v="8"/>
    <x v="2"/>
    <x v="8"/>
    <s v="Paris"/>
    <s v="Small Business"/>
    <x v="3"/>
    <x v="12"/>
    <x v="31"/>
    <x v="0"/>
    <x v="581"/>
    <n v="287.61"/>
    <n v="6039.81"/>
    <n v="628.54"/>
    <n v="11417.429099999999"/>
    <n v="5377.619099999999"/>
    <n v="0.13500000000000001"/>
    <n v="0"/>
    <s v="Low"/>
    <n v="0.47100087531964613"/>
    <n v="21"/>
  </r>
  <r>
    <x v="584"/>
    <x v="440"/>
    <d v="2025-03-21T00:00:00"/>
    <d v="2025-03-21T00:00:00"/>
    <n v="28"/>
    <n v="28"/>
    <n v="0"/>
    <s v="February"/>
    <s v="Q1-2025"/>
    <x v="0"/>
    <x v="5"/>
    <x v="3"/>
    <x v="5"/>
    <s v="Abuja"/>
    <s v="Enterprise"/>
    <x v="2"/>
    <x v="13"/>
    <x v="13"/>
    <x v="5"/>
    <x v="582"/>
    <n v="1437.39"/>
    <n v="25873.02"/>
    <n v="1388.31"/>
    <n v="21541.017959999997"/>
    <n v="-4332.002040000003"/>
    <n v="0.13800000000000001"/>
    <n v="0"/>
    <s v="High"/>
    <n v="-0.20110479681341872"/>
    <n v="18"/>
  </r>
  <r>
    <x v="585"/>
    <x v="441"/>
    <d v="2025-09-11T00:00:00"/>
    <d v="2025-09-11T00:00:00"/>
    <n v="28"/>
    <n v="28"/>
    <n v="0"/>
    <s v="August"/>
    <s v="Q3-2025"/>
    <x v="0"/>
    <x v="1"/>
    <x v="0"/>
    <x v="1"/>
    <s v="São Paulo"/>
    <s v="Non-Profit"/>
    <x v="1"/>
    <x v="0"/>
    <x v="25"/>
    <x v="0"/>
    <x v="583"/>
    <n v="1203.02"/>
    <n v="21654.36"/>
    <n v="2439.33"/>
    <n v="43907.94"/>
    <n v="22253.58"/>
    <n v="0"/>
    <n v="0"/>
    <s v="High"/>
    <n v="0.50682359500354612"/>
    <n v="18"/>
  </r>
  <r>
    <x v="586"/>
    <x v="442"/>
    <d v="2024-07-09T00:00:00"/>
    <d v="2024-07-09T00:00:00"/>
    <n v="28"/>
    <n v="28"/>
    <n v="0"/>
    <s v="June"/>
    <s v="Q2-2024"/>
    <x v="0"/>
    <x v="5"/>
    <x v="3"/>
    <x v="5"/>
    <s v="Port Harcourt"/>
    <s v="Corporate"/>
    <x v="2"/>
    <x v="13"/>
    <x v="3"/>
    <x v="5"/>
    <x v="584"/>
    <n v="895.54"/>
    <n v="13433.099999999999"/>
    <n v="1045"/>
    <n v="12289.2"/>
    <n v="-1143.8999999999978"/>
    <n v="0.216"/>
    <n v="1"/>
    <s v="High"/>
    <n v="-9.3081730299775234E-2"/>
    <n v="15"/>
  </r>
  <r>
    <x v="587"/>
    <x v="443"/>
    <d v="2023-06-21T00:00:00"/>
    <d v="2023-06-21T00:00:00"/>
    <n v="28"/>
    <n v="28"/>
    <n v="0"/>
    <s v="May"/>
    <s v="Q2-2023"/>
    <x v="0"/>
    <x v="2"/>
    <x v="0"/>
    <x v="2"/>
    <s v="Austin"/>
    <s v="Small Business"/>
    <x v="2"/>
    <x v="2"/>
    <x v="14"/>
    <x v="1"/>
    <x v="585"/>
    <n v="813.97"/>
    <n v="12209.550000000001"/>
    <n v="1568.83"/>
    <n v="23132.398349999996"/>
    <n v="10922.848349999995"/>
    <n v="1.7000000000000001E-2"/>
    <n v="0"/>
    <s v="High"/>
    <n v="0.4721883215364911"/>
    <n v="15"/>
  </r>
  <r>
    <x v="588"/>
    <x v="444"/>
    <d v="2024-09-25T00:00:00"/>
    <d v="2024-09-25T00:00:00"/>
    <n v="28"/>
    <n v="28"/>
    <n v="0"/>
    <s v="August"/>
    <s v="Q3-2024"/>
    <x v="0"/>
    <x v="1"/>
    <x v="0"/>
    <x v="1"/>
    <s v="Rio de Janeiro"/>
    <s v="Non-Profit"/>
    <x v="3"/>
    <x v="15"/>
    <x v="1"/>
    <x v="4"/>
    <x v="586"/>
    <n v="1394.65"/>
    <n v="18130.45"/>
    <n v="3144.1"/>
    <n v="35396.277799999996"/>
    <n v="17265.827799999995"/>
    <n v="0.13400000000000001"/>
    <n v="0"/>
    <s v="High"/>
    <n v="0.4877865378263021"/>
    <n v="13"/>
  </r>
  <r>
    <x v="589"/>
    <x v="339"/>
    <d v="2025-05-25T00:00:00"/>
    <d v="2025-05-25T00:00:00"/>
    <n v="28"/>
    <n v="28"/>
    <n v="0"/>
    <s v="April"/>
    <s v="Q2-2025"/>
    <x v="0"/>
    <x v="8"/>
    <x v="2"/>
    <x v="8"/>
    <s v="Paris"/>
    <s v="Small Business"/>
    <x v="2"/>
    <x v="13"/>
    <x v="9"/>
    <x v="5"/>
    <x v="587"/>
    <n v="603.45000000000005"/>
    <n v="6637.9500000000007"/>
    <n v="1244.08"/>
    <n v="10947.904"/>
    <n v="4309.9539999999997"/>
    <n v="0.2"/>
    <n v="0"/>
    <s v="High"/>
    <n v="0.39367846119220623"/>
    <n v="11"/>
  </r>
  <r>
    <x v="590"/>
    <x v="3"/>
    <d v="2024-10-04T00:00:00"/>
    <d v="2024-10-04T00:00:00"/>
    <n v="28"/>
    <n v="28"/>
    <n v="0"/>
    <s v="September"/>
    <s v="Q3-2024"/>
    <x v="0"/>
    <x v="6"/>
    <x v="3"/>
    <x v="6"/>
    <s v="Cape Town"/>
    <s v="Corporate"/>
    <x v="2"/>
    <x v="9"/>
    <x v="10"/>
    <x v="1"/>
    <x v="588"/>
    <n v="1174.17"/>
    <n v="10567.53"/>
    <n v="1641.61"/>
    <n v="12972.00222"/>
    <n v="2404.4722199999997"/>
    <n v="0.122"/>
    <n v="0"/>
    <s v="High"/>
    <n v="0.18535860380079394"/>
    <n v="9"/>
  </r>
  <r>
    <x v="591"/>
    <x v="445"/>
    <d v="2024-03-26T00:00:00"/>
    <d v="2024-03-26T00:00:00"/>
    <n v="28"/>
    <n v="28"/>
    <n v="0"/>
    <s v="February"/>
    <s v="Q1-2024"/>
    <x v="0"/>
    <x v="1"/>
    <x v="1"/>
    <x v="11"/>
    <s v="Mumbai"/>
    <s v="Education"/>
    <x v="2"/>
    <x v="2"/>
    <x v="19"/>
    <x v="3"/>
    <x v="589"/>
    <n v="1035.19"/>
    <n v="8281.52"/>
    <n v="2322.6999999999998"/>
    <n v="15366.983199999999"/>
    <n v="7085.4631999999983"/>
    <n v="0.17299999999999999"/>
    <n v="0"/>
    <s v="High"/>
    <n v="0.46108355217047409"/>
    <n v="8"/>
  </r>
  <r>
    <x v="592"/>
    <x v="446"/>
    <d v="2024-09-07T00:00:00"/>
    <d v="2024-09-07T00:00:00"/>
    <n v="28"/>
    <n v="28"/>
    <n v="0"/>
    <s v="August"/>
    <s v="Q3-2024"/>
    <x v="0"/>
    <x v="8"/>
    <x v="2"/>
    <x v="8"/>
    <s v="Marseille"/>
    <s v="Non-Profit"/>
    <x v="1"/>
    <x v="0"/>
    <x v="10"/>
    <x v="0"/>
    <x v="590"/>
    <n v="229.96"/>
    <n v="1149.8"/>
    <n v="564.26"/>
    <n v="2525.0635000000002"/>
    <n v="1375.2635000000002"/>
    <n v="0.105"/>
    <n v="0"/>
    <s v="Low"/>
    <n v="0.54464511486542821"/>
    <n v="5"/>
  </r>
  <r>
    <x v="593"/>
    <x v="447"/>
    <d v="2024-05-19T00:00:00"/>
    <d v="2024-05-19T00:00:00"/>
    <n v="28"/>
    <n v="28"/>
    <n v="0"/>
    <s v="April"/>
    <s v="Q2-2024"/>
    <x v="0"/>
    <x v="5"/>
    <x v="3"/>
    <x v="5"/>
    <s v="Lagos"/>
    <s v="Corporate"/>
    <x v="0"/>
    <x v="3"/>
    <x v="8"/>
    <x v="4"/>
    <x v="591"/>
    <n v="187.22"/>
    <n v="936.1"/>
    <n v="309.47000000000003"/>
    <n v="1547.3500000000001"/>
    <n v="611.25000000000011"/>
    <n v="0"/>
    <n v="0"/>
    <s v="Low"/>
    <n v="0.39503021294471197"/>
    <n v="5"/>
  </r>
  <r>
    <x v="594"/>
    <x v="448"/>
    <d v="2023-07-01T00:00:00"/>
    <d v="2023-07-01T00:00:00"/>
    <n v="28"/>
    <n v="28"/>
    <n v="0"/>
    <s v="June"/>
    <s v="Q2-2023"/>
    <x v="0"/>
    <x v="1"/>
    <x v="0"/>
    <x v="1"/>
    <s v="Brasília"/>
    <s v="Small Business"/>
    <x v="2"/>
    <x v="3"/>
    <x v="14"/>
    <x v="6"/>
    <x v="592"/>
    <n v="860.4"/>
    <n v="2581.1999999999998"/>
    <n v="2066.6"/>
    <n v="6137.8019999999988"/>
    <n v="3556.601999999999"/>
    <n v="0.01"/>
    <n v="0"/>
    <s v="High"/>
    <n v="0.57945857491004105"/>
    <n v="3"/>
  </r>
  <r>
    <x v="595"/>
    <x v="180"/>
    <d v="2025-01-08T00:00:00"/>
    <d v="2025-01-08T00:00:00"/>
    <n v="29"/>
    <n v="29"/>
    <n v="0"/>
    <s v="December"/>
    <s v="Q4-2024"/>
    <x v="0"/>
    <x v="8"/>
    <x v="2"/>
    <x v="8"/>
    <s v="Marseille"/>
    <s v="Small Business"/>
    <x v="4"/>
    <x v="12"/>
    <x v="26"/>
    <x v="0"/>
    <x v="593"/>
    <n v="891.08"/>
    <n v="24950.240000000002"/>
    <n v="1040.0999999999999"/>
    <n v="25948.414799999995"/>
    <n v="998.17479999999341"/>
    <n v="0.109"/>
    <n v="0"/>
    <s v="High"/>
    <n v="3.8467660074556598E-2"/>
    <n v="28"/>
  </r>
  <r>
    <x v="596"/>
    <x v="449"/>
    <d v="2023-05-13T00:00:00"/>
    <d v="2023-05-13T00:00:00"/>
    <n v="29"/>
    <n v="29"/>
    <n v="0"/>
    <s v="April"/>
    <s v="Q2-2023"/>
    <x v="0"/>
    <x v="10"/>
    <x v="2"/>
    <x v="10"/>
    <s v="Frankfurt"/>
    <s v="Consumer"/>
    <x v="1"/>
    <x v="10"/>
    <x v="28"/>
    <x v="0"/>
    <x v="594"/>
    <n v="1320.33"/>
    <n v="33008.25"/>
    <n v="2645.23"/>
    <n v="55880.483749999999"/>
    <n v="22872.233749999999"/>
    <n v="0.155"/>
    <n v="0"/>
    <s v="High"/>
    <n v="0.40930629470436536"/>
    <n v="25"/>
  </r>
  <r>
    <x v="597"/>
    <x v="450"/>
    <d v="2024-11-02T00:00:00"/>
    <d v="2024-11-02T00:00:00"/>
    <n v="29"/>
    <n v="29"/>
    <n v="0"/>
    <s v="October"/>
    <s v="Q4-2024"/>
    <x v="0"/>
    <x v="5"/>
    <x v="3"/>
    <x v="5"/>
    <s v="Abuja"/>
    <s v="Corporate"/>
    <x v="0"/>
    <x v="0"/>
    <x v="24"/>
    <x v="4"/>
    <x v="595"/>
    <n v="412.09"/>
    <n v="9478.07"/>
    <n v="968.94"/>
    <n v="20079.343620000003"/>
    <n v="10601.273620000004"/>
    <n v="9.9000000000000005E-2"/>
    <n v="0"/>
    <s v="High"/>
    <n v="0.52796913189137418"/>
    <n v="23"/>
  </r>
  <r>
    <x v="598"/>
    <x v="451"/>
    <d v="2025-03-17T00:00:00"/>
    <d v="2025-03-17T00:00:00"/>
    <n v="29"/>
    <n v="29"/>
    <n v="0"/>
    <s v="February"/>
    <s v="Q1-2025"/>
    <x v="0"/>
    <x v="10"/>
    <x v="2"/>
    <x v="10"/>
    <s v="Munich"/>
    <s v="Consumer"/>
    <x v="4"/>
    <x v="5"/>
    <x v="22"/>
    <x v="4"/>
    <x v="596"/>
    <n v="730.42"/>
    <n v="16069.24"/>
    <n v="956.7"/>
    <n v="20163.409200000002"/>
    <n v="4094.1692000000021"/>
    <n v="4.2000000000000003E-2"/>
    <n v="0"/>
    <s v="High"/>
    <n v="0.20304945256975698"/>
    <n v="22"/>
  </r>
  <r>
    <x v="599"/>
    <x v="302"/>
    <d v="2023-06-15T00:00:00"/>
    <d v="2023-06-15T00:00:00"/>
    <n v="29"/>
    <n v="29"/>
    <n v="0"/>
    <s v="May"/>
    <s v="Q2-2023"/>
    <x v="0"/>
    <x v="6"/>
    <x v="3"/>
    <x v="6"/>
    <s v="Durban"/>
    <s v="Enterprise"/>
    <x v="4"/>
    <x v="12"/>
    <x v="14"/>
    <x v="4"/>
    <x v="597"/>
    <n v="40.89"/>
    <n v="695.13"/>
    <n v="62.82"/>
    <n v="930.17574000000002"/>
    <n v="235.04574000000002"/>
    <n v="0.129"/>
    <n v="0"/>
    <s v="Low"/>
    <n v="0.25268960465470752"/>
    <n v="17"/>
  </r>
  <r>
    <x v="600"/>
    <x v="291"/>
    <d v="2025-07-23T00:00:00"/>
    <d v="2025-07-23T00:00:00"/>
    <n v="29"/>
    <n v="29"/>
    <n v="0"/>
    <s v="June"/>
    <s v="Q2-2025"/>
    <x v="0"/>
    <x v="0"/>
    <x v="0"/>
    <x v="0"/>
    <s v="Vancouver"/>
    <s v="Non-Profit"/>
    <x v="2"/>
    <x v="13"/>
    <x v="29"/>
    <x v="0"/>
    <x v="598"/>
    <n v="255.4"/>
    <n v="4086.4"/>
    <n v="322.70999999999998"/>
    <n v="4569.5735999999997"/>
    <n v="483.17359999999962"/>
    <n v="0.115"/>
    <n v="0"/>
    <s v="Low"/>
    <n v="0.10573713048412212"/>
    <n v="16"/>
  </r>
  <r>
    <x v="601"/>
    <x v="452"/>
    <d v="2024-11-09T00:00:00"/>
    <d v="2024-11-09T00:00:00"/>
    <n v="29"/>
    <n v="29"/>
    <n v="0"/>
    <s v="October"/>
    <s v="Q4-2024"/>
    <x v="0"/>
    <x v="7"/>
    <x v="1"/>
    <x v="7"/>
    <s v="Shanghai"/>
    <s v="Non-Profit"/>
    <x v="3"/>
    <x v="0"/>
    <x v="24"/>
    <x v="0"/>
    <x v="599"/>
    <n v="391.64"/>
    <n v="5091.32"/>
    <n v="504.76"/>
    <n v="6535.6324800000002"/>
    <n v="1444.3124800000005"/>
    <n v="4.0000000000000001E-3"/>
    <n v="0"/>
    <s v="Low"/>
    <n v="0.22099046793402319"/>
    <n v="13"/>
  </r>
  <r>
    <x v="602"/>
    <x v="453"/>
    <d v="2025-09-30T00:00:00"/>
    <d v="2025-09-30T00:00:00"/>
    <n v="29"/>
    <n v="29"/>
    <n v="0"/>
    <s v="September"/>
    <s v="Q3-2025"/>
    <x v="0"/>
    <x v="1"/>
    <x v="0"/>
    <x v="1"/>
    <s v="Brasília"/>
    <s v="Education"/>
    <x v="4"/>
    <x v="12"/>
    <x v="4"/>
    <x v="4"/>
    <x v="600"/>
    <n v="780.59"/>
    <n v="9367.08"/>
    <n v="631.57000000000005"/>
    <n v="7578.84"/>
    <n v="-1788.2399999999998"/>
    <n v="0"/>
    <n v="0"/>
    <s v="Low"/>
    <n v="-0.23595167598207639"/>
    <n v="12"/>
  </r>
  <r>
    <x v="603"/>
    <x v="454"/>
    <d v="2023-07-21T00:00:00"/>
    <d v="2023-07-21T00:00:00"/>
    <n v="29"/>
    <n v="29"/>
    <n v="0"/>
    <s v="June"/>
    <s v="Q2-2023"/>
    <x v="0"/>
    <x v="8"/>
    <x v="2"/>
    <x v="8"/>
    <s v="Lyon"/>
    <s v="Corporate"/>
    <x v="4"/>
    <x v="10"/>
    <x v="7"/>
    <x v="4"/>
    <x v="601"/>
    <n v="734.34"/>
    <n v="8812.08"/>
    <n v="887.9"/>
    <n v="10388.429999999998"/>
    <n v="1576.3499999999985"/>
    <n v="2.5000000000000001E-2"/>
    <n v="0"/>
    <s v="High"/>
    <n v="0.15174092716608753"/>
    <n v="12"/>
  </r>
  <r>
    <x v="604"/>
    <x v="103"/>
    <d v="2024-10-08T00:00:00"/>
    <d v="2024-10-08T00:00:00"/>
    <n v="29"/>
    <n v="29"/>
    <n v="0"/>
    <s v="September"/>
    <s v="Q3-2024"/>
    <x v="0"/>
    <x v="1"/>
    <x v="0"/>
    <x v="1"/>
    <s v="São Paulo"/>
    <s v="Education"/>
    <x v="1"/>
    <x v="10"/>
    <x v="10"/>
    <x v="6"/>
    <x v="602"/>
    <n v="1010.33"/>
    <n v="11113.630000000001"/>
    <n v="2492.14"/>
    <n v="26015.449459999996"/>
    <n v="14901.819459999995"/>
    <n v="5.0999999999999997E-2"/>
    <n v="0"/>
    <s v="High"/>
    <n v="0.57280653493656752"/>
    <n v="11"/>
  </r>
  <r>
    <x v="605"/>
    <x v="455"/>
    <d v="2023-04-04T00:00:00"/>
    <d v="2023-04-04T00:00:00"/>
    <n v="29"/>
    <n v="29"/>
    <n v="0"/>
    <s v="March"/>
    <s v="Q1-2023"/>
    <x v="0"/>
    <x v="7"/>
    <x v="1"/>
    <x v="7"/>
    <s v="Beijing"/>
    <s v="Small Business"/>
    <x v="1"/>
    <x v="14"/>
    <x v="11"/>
    <x v="1"/>
    <x v="603"/>
    <n v="1126.29"/>
    <n v="7884.03"/>
    <n v="2050.87"/>
    <n v="13437.300239999999"/>
    <n v="5553.2702399999989"/>
    <n v="6.4000000000000001E-2"/>
    <n v="0"/>
    <s v="High"/>
    <n v="0.41327276616690373"/>
    <n v="7"/>
  </r>
  <r>
    <x v="606"/>
    <x v="456"/>
    <d v="2025-01-12T00:00:00"/>
    <d v="2025-01-12T00:00:00"/>
    <n v="29"/>
    <n v="29"/>
    <n v="0"/>
    <s v="December"/>
    <s v="Q4-2024"/>
    <x v="0"/>
    <x v="7"/>
    <x v="1"/>
    <x v="7"/>
    <s v="Shenzhen"/>
    <s v="Education"/>
    <x v="3"/>
    <x v="10"/>
    <x v="26"/>
    <x v="6"/>
    <x v="604"/>
    <n v="1412.15"/>
    <n v="8472.9000000000015"/>
    <n v="1631.04"/>
    <n v="9698.1638399999993"/>
    <n v="1225.2638399999978"/>
    <n v="8.9999999999999993E-3"/>
    <n v="0"/>
    <s v="High"/>
    <n v="0.12633977526203535"/>
    <n v="6"/>
  </r>
  <r>
    <x v="607"/>
    <x v="457"/>
    <d v="2023-11-13T00:00:00"/>
    <d v="2023-11-13T00:00:00"/>
    <n v="29"/>
    <n v="29"/>
    <n v="0"/>
    <s v="October"/>
    <s v="Q4-2023"/>
    <x v="0"/>
    <x v="7"/>
    <x v="1"/>
    <x v="7"/>
    <s v="Shenzhen"/>
    <s v="Non-Profit"/>
    <x v="0"/>
    <x v="10"/>
    <x v="12"/>
    <x v="0"/>
    <x v="605"/>
    <n v="986.44"/>
    <n v="5918.64"/>
    <n v="790.61"/>
    <n v="4402.1164799999997"/>
    <n v="-1516.5235200000006"/>
    <n v="7.1999999999999995E-2"/>
    <n v="0"/>
    <s v="Low"/>
    <n v="-0.34449872621271499"/>
    <n v="6"/>
  </r>
  <r>
    <x v="608"/>
    <x v="458"/>
    <d v="2024-03-30T00:00:00"/>
    <d v="2024-03-30T00:00:00"/>
    <n v="30"/>
    <n v="30"/>
    <n v="0"/>
    <s v="February"/>
    <s v="Q1-2024"/>
    <x v="1"/>
    <x v="3"/>
    <x v="1"/>
    <x v="3"/>
    <s v="Nagoya"/>
    <s v="Small Business"/>
    <x v="1"/>
    <x v="13"/>
    <x v="18"/>
    <x v="2"/>
    <x v="606"/>
    <n v="231.11"/>
    <n v="13866.6"/>
    <n v="318.17"/>
    <n v="15253.069799999999"/>
    <n v="1386.4697999999989"/>
    <n v="0.20100000000000001"/>
    <n v="1"/>
    <s v="Low"/>
    <n v="9.0897754889969692E-2"/>
    <n v="60"/>
  </r>
  <r>
    <x v="609"/>
    <x v="459"/>
    <d v="2023-05-18T00:00:00"/>
    <d v="2023-05-18T00:00:00"/>
    <n v="30"/>
    <n v="30"/>
    <n v="0"/>
    <s v="April"/>
    <s v="Q2-2023"/>
    <x v="0"/>
    <x v="7"/>
    <x v="1"/>
    <x v="7"/>
    <s v="Shenzhen"/>
    <s v="Non-Profit"/>
    <x v="4"/>
    <x v="8"/>
    <x v="2"/>
    <x v="3"/>
    <x v="607"/>
    <n v="329.03"/>
    <n v="15135.38"/>
    <n v="391.15"/>
    <n v="14448.298699999998"/>
    <n v="-687.08130000000165"/>
    <n v="0.19700000000000001"/>
    <n v="0"/>
    <s v="Low"/>
    <n v="-4.7554477815440081E-2"/>
    <n v="46"/>
  </r>
  <r>
    <x v="610"/>
    <x v="460"/>
    <d v="2023-08-01T00:00:00"/>
    <d v="2023-08-01T00:00:00"/>
    <n v="30"/>
    <n v="30"/>
    <n v="0"/>
    <s v="July"/>
    <s v="Q3-2023"/>
    <x v="0"/>
    <x v="4"/>
    <x v="2"/>
    <x v="4"/>
    <s v="Birmingham"/>
    <s v="Small Business"/>
    <x v="4"/>
    <x v="11"/>
    <x v="7"/>
    <x v="6"/>
    <x v="608"/>
    <n v="137.46"/>
    <n v="5086.0200000000004"/>
    <n v="188.3"/>
    <n v="6702.3501999999999"/>
    <n v="1616.3301999999994"/>
    <n v="3.7999999999999999E-2"/>
    <n v="0"/>
    <s v="Low"/>
    <n v="0.24115872071262398"/>
    <n v="37"/>
  </r>
  <r>
    <x v="611"/>
    <x v="17"/>
    <d v="2023-06-19T00:00:00"/>
    <d v="2023-06-19T00:00:00"/>
    <n v="30"/>
    <n v="30"/>
    <n v="0"/>
    <s v="May"/>
    <s v="Q2-2023"/>
    <x v="0"/>
    <x v="1"/>
    <x v="1"/>
    <x v="11"/>
    <s v="Delhi"/>
    <s v="Non-Profit"/>
    <x v="2"/>
    <x v="8"/>
    <x v="2"/>
    <x v="3"/>
    <x v="609"/>
    <n v="1161.2"/>
    <n v="35997.200000000004"/>
    <n v="878.73"/>
    <n v="22064.910300000003"/>
    <n v="-13932.289700000001"/>
    <n v="0.19"/>
    <n v="0"/>
    <s v="High"/>
    <n v="-0.63142290227212028"/>
    <n v="31"/>
  </r>
  <r>
    <x v="612"/>
    <x v="61"/>
    <d v="2025-01-16T00:00:00"/>
    <d v="2025-01-16T00:00:00"/>
    <n v="30"/>
    <n v="30"/>
    <n v="0"/>
    <s v="December"/>
    <s v="Q4-2024"/>
    <x v="0"/>
    <x v="4"/>
    <x v="2"/>
    <x v="4"/>
    <s v="Manchester"/>
    <s v="Corporate"/>
    <x v="4"/>
    <x v="9"/>
    <x v="21"/>
    <x v="1"/>
    <x v="610"/>
    <n v="722.87"/>
    <n v="20240.36"/>
    <n v="33.659999999999997"/>
    <n v="846.34703999999988"/>
    <n v="-19394.01296"/>
    <n v="0.10199999999999999"/>
    <n v="0"/>
    <s v="Low"/>
    <n v="-22.914965189693348"/>
    <n v="28"/>
  </r>
  <r>
    <x v="613"/>
    <x v="89"/>
    <d v="2023-10-30T00:00:00"/>
    <d v="2023-10-30T00:00:00"/>
    <n v="30"/>
    <n v="30"/>
    <n v="0"/>
    <s v="September"/>
    <s v="Q3-2023"/>
    <x v="1"/>
    <x v="3"/>
    <x v="1"/>
    <x v="3"/>
    <s v="Tokyo"/>
    <s v="Enterprise"/>
    <x v="3"/>
    <x v="9"/>
    <x v="16"/>
    <x v="0"/>
    <x v="611"/>
    <n v="649.13"/>
    <n v="17526.509999999998"/>
    <n v="975.43"/>
    <n v="22201.762229999997"/>
    <n v="4675.2522299999982"/>
    <n v="0.157"/>
    <n v="0"/>
    <s v="High"/>
    <n v="0.21058023149543473"/>
    <n v="27"/>
  </r>
  <r>
    <x v="178"/>
    <x v="154"/>
    <d v="2023-02-28T00:00:00"/>
    <d v="2023-02-28T00:00:00"/>
    <n v="30"/>
    <n v="30"/>
    <n v="0"/>
    <s v="January"/>
    <s v="Q1-2023"/>
    <x v="0"/>
    <x v="1"/>
    <x v="1"/>
    <x v="11"/>
    <s v="Bengaluru"/>
    <s v="Non-Profit"/>
    <x v="4"/>
    <x v="11"/>
    <x v="5"/>
    <x v="4"/>
    <x v="612"/>
    <n v="1262.0999999999999"/>
    <n v="31552.499999999996"/>
    <n v="1395.53"/>
    <n v="26759.28775"/>
    <n v="-4793.2122499999969"/>
    <n v="0.23300000000000001"/>
    <n v="1"/>
    <s v="High"/>
    <n v="-0.17912331205452198"/>
    <n v="25"/>
  </r>
  <r>
    <x v="614"/>
    <x v="164"/>
    <d v="2025-04-29T00:00:00"/>
    <d v="2025-04-29T00:00:00"/>
    <n v="30"/>
    <n v="30"/>
    <n v="0"/>
    <s v="March"/>
    <s v="Q1-2025"/>
    <x v="0"/>
    <x v="6"/>
    <x v="3"/>
    <x v="6"/>
    <s v="Durban"/>
    <s v="Consumer"/>
    <x v="2"/>
    <x v="10"/>
    <x v="23"/>
    <x v="1"/>
    <x v="613"/>
    <n v="194.6"/>
    <n v="4865"/>
    <n v="314.87"/>
    <n v="5565.3272500000003"/>
    <n v="700.32725000000028"/>
    <n v="0.29299999999999998"/>
    <n v="1"/>
    <s v="Low"/>
    <n v="0.1258375686712763"/>
    <n v="25"/>
  </r>
  <r>
    <x v="615"/>
    <x v="461"/>
    <d v="2023-08-25T00:00:00"/>
    <d v="2023-08-25T00:00:00"/>
    <n v="30"/>
    <n v="30"/>
    <n v="0"/>
    <s v="July"/>
    <s v="Q3-2023"/>
    <x v="0"/>
    <x v="2"/>
    <x v="0"/>
    <x v="2"/>
    <s v="New York"/>
    <s v="Consumer"/>
    <x v="4"/>
    <x v="1"/>
    <x v="16"/>
    <x v="4"/>
    <x v="614"/>
    <n v="1261.48"/>
    <n v="29014.04"/>
    <n v="1643.18"/>
    <n v="32086.37586"/>
    <n v="3072.3358599999992"/>
    <n v="0.151"/>
    <n v="0"/>
    <s v="High"/>
    <n v="9.5752037357079045E-2"/>
    <n v="23"/>
  </r>
  <r>
    <x v="616"/>
    <x v="462"/>
    <d v="2024-04-09T00:00:00"/>
    <d v="2024-04-09T00:00:00"/>
    <n v="30"/>
    <n v="30"/>
    <n v="0"/>
    <s v="March"/>
    <s v="Q1-2024"/>
    <x v="0"/>
    <x v="8"/>
    <x v="2"/>
    <x v="8"/>
    <s v="Lyon"/>
    <s v="Corporate"/>
    <x v="1"/>
    <x v="13"/>
    <x v="31"/>
    <x v="6"/>
    <x v="615"/>
    <n v="1176.56"/>
    <n v="23531.199999999997"/>
    <n v="1911.89"/>
    <n v="33687.501800000005"/>
    <n v="10156.301800000008"/>
    <n v="0.11899999999999999"/>
    <n v="0"/>
    <s v="High"/>
    <n v="0.30148575160892477"/>
    <n v="20"/>
  </r>
  <r>
    <x v="617"/>
    <x v="236"/>
    <d v="2023-03-25T00:00:00"/>
    <d v="2023-03-25T00:00:00"/>
    <n v="30"/>
    <n v="30"/>
    <n v="0"/>
    <s v="February"/>
    <s v="Q1-2023"/>
    <x v="0"/>
    <x v="0"/>
    <x v="0"/>
    <x v="0"/>
    <s v="Montreal"/>
    <s v="Enterprise"/>
    <x v="3"/>
    <x v="9"/>
    <x v="11"/>
    <x v="5"/>
    <x v="616"/>
    <n v="1242.6600000000001"/>
    <n v="19882.560000000001"/>
    <n v="1794.07"/>
    <n v="26150.364320000001"/>
    <n v="6267.8043199999993"/>
    <n v="8.8999999999999996E-2"/>
    <n v="0"/>
    <s v="High"/>
    <n v="0.23968325042440553"/>
    <n v="16"/>
  </r>
  <r>
    <x v="618"/>
    <x v="188"/>
    <d v="2025-05-16T00:00:00"/>
    <d v="2025-05-16T00:00:00"/>
    <n v="30"/>
    <n v="30"/>
    <n v="0"/>
    <s v="April"/>
    <s v="Q2-2025"/>
    <x v="0"/>
    <x v="0"/>
    <x v="0"/>
    <x v="0"/>
    <s v="Montreal"/>
    <s v="Enterprise"/>
    <x v="0"/>
    <x v="12"/>
    <x v="9"/>
    <x v="0"/>
    <x v="617"/>
    <n v="763.32"/>
    <n v="12213.12"/>
    <n v="568.29"/>
    <n v="7901.5041599999995"/>
    <n v="-4311.6158400000013"/>
    <n v="0.13100000000000001"/>
    <n v="0"/>
    <s v="Low"/>
    <n v="-0.54567026134426555"/>
    <n v="16"/>
  </r>
  <r>
    <x v="619"/>
    <x v="463"/>
    <d v="2023-09-22T00:00:00"/>
    <d v="2023-09-22T00:00:00"/>
    <n v="30"/>
    <n v="30"/>
    <n v="0"/>
    <s v="August"/>
    <s v="Q3-2023"/>
    <x v="0"/>
    <x v="4"/>
    <x v="2"/>
    <x v="4"/>
    <s v="London"/>
    <s v="Consumer"/>
    <x v="0"/>
    <x v="4"/>
    <x v="30"/>
    <x v="4"/>
    <x v="618"/>
    <n v="209.81"/>
    <n v="3147.15"/>
    <n v="523"/>
    <n v="7382.1450000000004"/>
    <n v="4234.9950000000008"/>
    <n v="5.8999999999999997E-2"/>
    <n v="0"/>
    <s v="Low"/>
    <n v="0.57368082041195356"/>
    <n v="15"/>
  </r>
  <r>
    <x v="620"/>
    <x v="227"/>
    <d v="2025-09-06T00:00:00"/>
    <d v="2025-09-06T00:00:00"/>
    <n v="30"/>
    <n v="30"/>
    <n v="0"/>
    <s v="August"/>
    <s v="Q3-2025"/>
    <x v="0"/>
    <x v="0"/>
    <x v="0"/>
    <x v="0"/>
    <s v="Montreal"/>
    <s v="Education"/>
    <x v="1"/>
    <x v="1"/>
    <x v="4"/>
    <x v="2"/>
    <x v="619"/>
    <n v="833.73"/>
    <n v="11672.220000000001"/>
    <n v="1116.5999999999999"/>
    <n v="12881.097599999999"/>
    <n v="1208.877599999998"/>
    <n v="0.17599999999999999"/>
    <n v="0"/>
    <s v="High"/>
    <n v="9.3848958958279924E-2"/>
    <n v="14"/>
  </r>
  <r>
    <x v="621"/>
    <x v="464"/>
    <d v="2025-09-24T00:00:00"/>
    <d v="2025-09-24T00:00:00"/>
    <n v="30"/>
    <n v="30"/>
    <n v="0"/>
    <s v="August"/>
    <s v="Q3-2025"/>
    <x v="0"/>
    <x v="9"/>
    <x v="3"/>
    <x v="9"/>
    <s v="Nairobi"/>
    <s v="Consumer"/>
    <x v="1"/>
    <x v="11"/>
    <x v="4"/>
    <x v="6"/>
    <x v="620"/>
    <n v="589.14"/>
    <n v="6480.54"/>
    <n v="1300.58"/>
    <n v="13519.529099999998"/>
    <n v="7038.989099999998"/>
    <n v="5.5E-2"/>
    <n v="0"/>
    <s v="High"/>
    <n v="0.52065342275863724"/>
    <n v="11"/>
  </r>
  <r>
    <x v="622"/>
    <x v="95"/>
    <d v="2023-11-24T00:00:00"/>
    <d v="2023-11-24T00:00:00"/>
    <n v="30"/>
    <n v="30"/>
    <n v="0"/>
    <s v="October"/>
    <s v="Q4-2023"/>
    <x v="0"/>
    <x v="8"/>
    <x v="2"/>
    <x v="8"/>
    <s v="Paris"/>
    <s v="Enterprise"/>
    <x v="0"/>
    <x v="14"/>
    <x v="12"/>
    <x v="5"/>
    <x v="621"/>
    <n v="287.85000000000002"/>
    <n v="3166.3500000000004"/>
    <n v="602.91999999999996"/>
    <n v="5159.7893599999998"/>
    <n v="1993.4393599999994"/>
    <n v="0.222"/>
    <n v="1"/>
    <s v="Low"/>
    <n v="0.38634122847216373"/>
    <n v="11"/>
  </r>
  <r>
    <x v="623"/>
    <x v="194"/>
    <d v="2024-12-30T00:00:00"/>
    <d v="2024-12-30T00:00:00"/>
    <n v="30"/>
    <n v="30"/>
    <n v="0"/>
    <s v="November"/>
    <s v="Q4-2024"/>
    <x v="0"/>
    <x v="8"/>
    <x v="2"/>
    <x v="8"/>
    <s v="Marseille"/>
    <s v="Consumer"/>
    <x v="2"/>
    <x v="0"/>
    <x v="21"/>
    <x v="0"/>
    <x v="622"/>
    <n v="117.64"/>
    <n v="1176.4000000000001"/>
    <n v="175.67"/>
    <n v="1756.6999999999998"/>
    <n v="580.29999999999973"/>
    <n v="0"/>
    <n v="0"/>
    <s v="Low"/>
    <n v="0.33033528775545046"/>
    <n v="10"/>
  </r>
  <r>
    <x v="624"/>
    <x v="449"/>
    <d v="2023-05-14T00:00:00"/>
    <d v="2023-05-14T00:00:00"/>
    <n v="30"/>
    <n v="30"/>
    <n v="0"/>
    <s v="April"/>
    <s v="Q2-2023"/>
    <x v="0"/>
    <x v="9"/>
    <x v="3"/>
    <x v="9"/>
    <s v="Nakuru"/>
    <s v="Consumer"/>
    <x v="2"/>
    <x v="1"/>
    <x v="28"/>
    <x v="5"/>
    <x v="623"/>
    <n v="209.25"/>
    <n v="1883.25"/>
    <n v="434.8"/>
    <n v="3913.2000000000003"/>
    <n v="2029.9500000000003"/>
    <n v="0"/>
    <n v="0"/>
    <s v="Low"/>
    <n v="0.51874425022999082"/>
    <n v="9"/>
  </r>
  <r>
    <x v="625"/>
    <x v="392"/>
    <d v="2023-12-19T00:00:00"/>
    <d v="2023-12-19T00:00:00"/>
    <n v="30"/>
    <n v="30"/>
    <n v="0"/>
    <s v="November"/>
    <s v="Q4-2023"/>
    <x v="1"/>
    <x v="3"/>
    <x v="1"/>
    <x v="3"/>
    <s v="Nagoya"/>
    <s v="Consumer"/>
    <x v="4"/>
    <x v="15"/>
    <x v="27"/>
    <x v="5"/>
    <x v="624"/>
    <n v="807.11"/>
    <n v="6456.88"/>
    <n v="1853.86"/>
    <n v="12769.38768"/>
    <n v="6312.5076799999997"/>
    <n v="0.13900000000000001"/>
    <n v="0"/>
    <s v="High"/>
    <n v="0.49434693645388639"/>
    <n v="8"/>
  </r>
  <r>
    <x v="626"/>
    <x v="87"/>
    <d v="2024-08-08T00:00:00"/>
    <d v="2024-08-08T00:00:00"/>
    <n v="30"/>
    <n v="30"/>
    <n v="0"/>
    <s v="July"/>
    <s v="Q3-2024"/>
    <x v="0"/>
    <x v="8"/>
    <x v="2"/>
    <x v="8"/>
    <s v="Marseille"/>
    <s v="Corporate"/>
    <x v="1"/>
    <x v="10"/>
    <x v="6"/>
    <x v="6"/>
    <x v="625"/>
    <n v="1062.3800000000001"/>
    <n v="6374.2800000000007"/>
    <n v="1503.96"/>
    <n v="7399.4832000000006"/>
    <n v="1025.2031999999999"/>
    <n v="0.18"/>
    <n v="0"/>
    <s v="High"/>
    <n v="0.13855064905073369"/>
    <n v="6"/>
  </r>
  <r>
    <x v="627"/>
    <x v="465"/>
    <d v="2025-03-04T00:00:00"/>
    <d v="2025-03-04T00:00:00"/>
    <n v="30"/>
    <n v="30"/>
    <n v="0"/>
    <s v="February"/>
    <s v="Q1-2025"/>
    <x v="1"/>
    <x v="3"/>
    <x v="1"/>
    <x v="3"/>
    <s v="Osaka"/>
    <s v="Education"/>
    <x v="0"/>
    <x v="5"/>
    <x v="21"/>
    <x v="4"/>
    <x v="626"/>
    <n v="766.59"/>
    <n v="3832.9500000000003"/>
    <n v="1912.8"/>
    <n v="7689.4560000000001"/>
    <n v="3856.5059999999999"/>
    <n v="0.19600000000000001"/>
    <n v="0"/>
    <s v="High"/>
    <n v="0.50153170783472845"/>
    <n v="5"/>
  </r>
  <r>
    <x v="628"/>
    <x v="339"/>
    <d v="2025-05-27T00:00:00"/>
    <d v="2025-05-27T00:00:00"/>
    <n v="30"/>
    <n v="30"/>
    <n v="0"/>
    <s v="April"/>
    <s v="Q2-2025"/>
    <x v="0"/>
    <x v="1"/>
    <x v="1"/>
    <x v="11"/>
    <m/>
    <s v="Enterprise"/>
    <x v="2"/>
    <x v="8"/>
    <x v="23"/>
    <x v="5"/>
    <x v="627"/>
    <n v="481.32"/>
    <n v="2406.6"/>
    <n v="1135.99"/>
    <n v="4856.35725"/>
    <n v="2449.7572500000001"/>
    <n v="0.14499999999999999"/>
    <n v="0"/>
    <s v="High"/>
    <n v="0.50444337677175621"/>
    <n v="5"/>
  </r>
  <r>
    <x v="629"/>
    <x v="466"/>
    <d v="2024-11-08T00:00:00"/>
    <d v="2024-11-08T00:00:00"/>
    <n v="30"/>
    <n v="30"/>
    <n v="0"/>
    <s v="October"/>
    <s v="Q4-2024"/>
    <x v="0"/>
    <x v="4"/>
    <x v="2"/>
    <x v="4"/>
    <s v="Manchester"/>
    <s v="Small Business"/>
    <x v="0"/>
    <x v="10"/>
    <x v="24"/>
    <x v="6"/>
    <x v="628"/>
    <n v="343.85"/>
    <n v="1719.25"/>
    <n v="538.04"/>
    <n v="2316.2621999999997"/>
    <n v="597.01219999999967"/>
    <n v="0.13900000000000001"/>
    <n v="0"/>
    <s v="Low"/>
    <n v="0.25774810813732563"/>
    <n v="5"/>
  </r>
  <r>
    <x v="630"/>
    <x v="467"/>
    <d v="2024-12-21T00:00:00"/>
    <d v="2024-12-21T00:00:00"/>
    <n v="30"/>
    <n v="30"/>
    <n v="0"/>
    <s v="November"/>
    <s v="Q4-2024"/>
    <x v="0"/>
    <x v="8"/>
    <x v="2"/>
    <x v="8"/>
    <s v="Marseille"/>
    <s v="Small Business"/>
    <x v="1"/>
    <x v="13"/>
    <x v="21"/>
    <x v="1"/>
    <x v="629"/>
    <n v="1122.68"/>
    <n v="3368.04"/>
    <n v="1997.19"/>
    <n v="4877.1379800000004"/>
    <n v="1509.0979800000005"/>
    <n v="0.186"/>
    <n v="0"/>
    <s v="High"/>
    <n v="0.30942285951073306"/>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398E8-337A-4BDA-B58F-8AF1F3EB5D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I19" firstHeaderRow="1" firstDataRow="2"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axis="axisRow" showAll="0">
      <items count="3">
        <item x="0"/>
        <item x="1"/>
        <item t="default"/>
      </items>
    </pivotField>
    <pivotField numFmtId="14" showAll="0">
      <items count="12">
        <item x="0"/>
        <item x="6"/>
        <item x="8"/>
        <item x="7"/>
        <item x="2"/>
        <item x="5"/>
        <item x="4"/>
        <item x="9"/>
        <item x="10"/>
        <item x="1"/>
        <item x="3"/>
        <item t="default"/>
      </items>
    </pivotField>
    <pivotField showAll="0">
      <items count="5">
        <item x="3"/>
        <item x="0"/>
        <item x="1"/>
        <item x="2"/>
        <item t="default"/>
      </items>
    </pivotField>
    <pivotField axis="axisRow"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axis="axisCol" showAll="0">
      <items count="34">
        <item x="5"/>
        <item x="11"/>
        <item x="28"/>
        <item x="2"/>
        <item x="14"/>
        <item x="7"/>
        <item x="16"/>
        <item x="30"/>
        <item x="27"/>
        <item x="12"/>
        <item x="17"/>
        <item x="18"/>
        <item x="19"/>
        <item x="20"/>
        <item x="31"/>
        <item x="8"/>
        <item x="3"/>
        <item x="6"/>
        <item x="1"/>
        <item x="10"/>
        <item x="24"/>
        <item x="15"/>
        <item x="21"/>
        <item x="26"/>
        <item x="22"/>
        <item x="13"/>
        <item x="23"/>
        <item x="9"/>
        <item x="0"/>
        <item x="29"/>
        <item x="25"/>
        <item x="4"/>
        <item x="32"/>
        <item t="default"/>
      </items>
    </pivotField>
    <pivotField showAll="0">
      <items count="8">
        <item x="4"/>
        <item x="6"/>
        <item x="3"/>
        <item x="1"/>
        <item x="2"/>
        <item x="5"/>
        <item x="0"/>
        <item t="default"/>
      </items>
    </pivotField>
    <pivotField showAll="0"/>
    <pivotField numFmtId="2" showAll="0"/>
    <pivotField numFmtId="2" showAll="0"/>
    <pivotField numFmtId="2" showAll="0"/>
    <pivotField dataField="1" numFmtId="2" showAll="0"/>
    <pivotField numFmtId="2" showAll="0"/>
    <pivotField numFmtId="165" showAll="0"/>
    <pivotField numFmtId="165" showAll="0"/>
    <pivotField showAll="0"/>
    <pivotField numFmtId="165"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9"/>
    <field x="12"/>
  </rowFields>
  <rowItems count="15">
    <i>
      <x/>
    </i>
    <i r="1">
      <x/>
    </i>
    <i r="1">
      <x v="1"/>
    </i>
    <i r="1">
      <x v="2"/>
    </i>
    <i r="1">
      <x v="3"/>
    </i>
    <i r="1">
      <x v="4"/>
    </i>
    <i r="1">
      <x v="5"/>
    </i>
    <i r="1">
      <x v="7"/>
    </i>
    <i r="1">
      <x v="8"/>
    </i>
    <i r="1">
      <x v="9"/>
    </i>
    <i r="1">
      <x v="10"/>
    </i>
    <i r="1">
      <x v="11"/>
    </i>
    <i>
      <x v="1"/>
    </i>
    <i r="1">
      <x v="6"/>
    </i>
    <i t="grand">
      <x/>
    </i>
  </rowItems>
  <colFields count="1">
    <field x="17"/>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59A10-B53C-45B6-8AEE-D88C648DD5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axis="axisRow"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dataField="1"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1"/>
  </rowFields>
  <rowItems count="5">
    <i>
      <x/>
    </i>
    <i>
      <x v="1"/>
    </i>
    <i>
      <x v="2"/>
    </i>
    <i>
      <x v="3"/>
    </i>
    <i t="grand">
      <x/>
    </i>
  </rowItems>
  <colFields count="1">
    <field x="-2"/>
  </colFields>
  <colItems count="2">
    <i>
      <x/>
    </i>
    <i i="1">
      <x v="1"/>
    </i>
  </colItems>
  <dataFields count="2">
    <dataField name="Count of OrderID" fld="0" subtotal="count" baseField="0" baseItem="0"/>
    <dataField name="Sum of HighDiscPct" fld="2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47B601-94EC-4C30-A9AC-D5F2576386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32"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axis="axisRow"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dataField="1"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Count of OrderID" fld="0" subtotal="count" baseField="0" baseItem="0"/>
    <dataField name="Sum of HighDiscPct" fld="2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90502-5762-46BF-AC3A-002DBF6AF13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20"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axis="axisRow" showAll="0" sortType="descending">
      <items count="17">
        <item x="3"/>
        <item x="11"/>
        <item x="14"/>
        <item x="9"/>
        <item x="7"/>
        <item x="0"/>
        <item x="2"/>
        <item x="8"/>
        <item x="13"/>
        <item x="10"/>
        <item x="12"/>
        <item x="5"/>
        <item x="1"/>
        <item x="6"/>
        <item x="4"/>
        <item x="15"/>
        <item t="default"/>
      </items>
      <autoSortScope>
        <pivotArea dataOnly="0" outline="0" fieldPosition="0">
          <references count="1">
            <reference field="4294967294" count="1" selected="0">
              <x v="1"/>
            </reference>
          </references>
        </pivotArea>
      </autoSortScope>
    </pivotField>
    <pivotField showAll="0"/>
    <pivotField showAll="0">
      <items count="8">
        <item x="4"/>
        <item x="6"/>
        <item x="3"/>
        <item x="1"/>
        <item x="2"/>
        <item x="5"/>
        <item x="0"/>
        <item t="default"/>
      </items>
    </pivotField>
    <pivotField showAll="0"/>
    <pivotField numFmtId="2" showAll="0"/>
    <pivotField numFmtId="2" showAll="0"/>
    <pivotField numFmtId="2" showAll="0"/>
    <pivotField dataField="1" numFmtId="2" showAll="0"/>
    <pivotField dataField="1"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17">
    <i>
      <x v="5"/>
    </i>
    <i>
      <x v="9"/>
    </i>
    <i>
      <x v="1"/>
    </i>
    <i>
      <x v="12"/>
    </i>
    <i>
      <x v="11"/>
    </i>
    <i>
      <x/>
    </i>
    <i>
      <x v="7"/>
    </i>
    <i>
      <x v="10"/>
    </i>
    <i>
      <x v="3"/>
    </i>
    <i>
      <x v="8"/>
    </i>
    <i>
      <x v="14"/>
    </i>
    <i>
      <x v="2"/>
    </i>
    <i>
      <x v="4"/>
    </i>
    <i>
      <x v="13"/>
    </i>
    <i>
      <x v="6"/>
    </i>
    <i>
      <x v="15"/>
    </i>
    <i t="grand">
      <x/>
    </i>
  </rowItems>
  <colFields count="1">
    <field x="-2"/>
  </colFields>
  <colItems count="3">
    <i>
      <x/>
    </i>
    <i i="1">
      <x v="1"/>
    </i>
    <i i="2">
      <x v="2"/>
    </i>
  </colItems>
  <dataFields count="3">
    <dataField name="Sum of GrossRevenue" fld="23" baseField="0" baseItem="0" numFmtId="2"/>
    <dataField name="Count of OrderID" fld="0" subtotal="count" baseField="0" baseItem="0"/>
    <dataField name="Sum of GrossProfit" fld="2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F445B2-0124-4064-87B2-5BE3176085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H21" firstHeaderRow="1" firstDataRow="2"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axis="axisRow"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axis="axisCol"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1"/>
  </rowFields>
  <rowItems count="5">
    <i>
      <x/>
    </i>
    <i>
      <x v="1"/>
    </i>
    <i>
      <x v="2"/>
    </i>
    <i>
      <x v="3"/>
    </i>
    <i t="grand">
      <x/>
    </i>
  </rowItems>
  <colFields count="1">
    <field x="15"/>
  </colFields>
  <colItems count="7">
    <i>
      <x/>
    </i>
    <i>
      <x v="1"/>
    </i>
    <i>
      <x v="2"/>
    </i>
    <i>
      <x v="3"/>
    </i>
    <i>
      <x v="4"/>
    </i>
    <i>
      <x v="5"/>
    </i>
    <i t="grand">
      <x/>
    </i>
  </colItems>
  <dataFields count="1">
    <dataField name="Count of Order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E72C4-F799-4B13-A13D-3A05DA7697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7" firstHeaderRow="1" firstDataRow="2"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axis="axisRow"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axis="axisCol"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dataField="1"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1"/>
  </rowFields>
  <rowItems count="5">
    <i>
      <x/>
    </i>
    <i>
      <x v="1"/>
    </i>
    <i>
      <x v="2"/>
    </i>
    <i>
      <x v="3"/>
    </i>
    <i t="grand">
      <x/>
    </i>
  </rowItems>
  <colFields count="1">
    <field x="15"/>
  </colFields>
  <colItems count="7">
    <i>
      <x/>
    </i>
    <i>
      <x v="1"/>
    </i>
    <i>
      <x v="2"/>
    </i>
    <i>
      <x v="3"/>
    </i>
    <i>
      <x v="4"/>
    </i>
    <i>
      <x v="5"/>
    </i>
    <i t="grand">
      <x/>
    </i>
  </colItems>
  <dataFields count="1">
    <dataField name="Sum of GrossRevenue" fld="23"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740EA9-82AC-49CA-BC34-4FFDD6F9F7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dataField="1"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axis="axisRow"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OnTimeFlag" fld="6" baseField="12" baseItem="0" numFmtId="2"/>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89FE5-BEE7-478E-968C-781153D43E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116"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dataField="1"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axis="axisRow"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axis="axisRow"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18"/>
    <field x="12"/>
  </rowFields>
  <rowItems count="9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OnTimeFlag" fld="6" baseField="12" baseItem="0" numFmtId="2"/>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0AB3B5-32C9-4715-BC4D-3E95F1B2D8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2" firstHeaderRow="0" firstDataRow="1" firstDataCol="1"/>
  <pivotFields count="35">
    <pivotField dataField="1" showAll="0">
      <items count="632">
        <item x="485"/>
        <item x="33"/>
        <item x="7"/>
        <item x="377"/>
        <item x="271"/>
        <item x="223"/>
        <item x="306"/>
        <item x="500"/>
        <item x="361"/>
        <item x="483"/>
        <item x="415"/>
        <item x="609"/>
        <item x="89"/>
        <item x="159"/>
        <item x="541"/>
        <item x="560"/>
        <item x="587"/>
        <item x="578"/>
        <item x="484"/>
        <item x="482"/>
        <item x="473"/>
        <item x="362"/>
        <item x="215"/>
        <item x="69"/>
        <item x="62"/>
        <item x="299"/>
        <item x="337"/>
        <item x="327"/>
        <item x="292"/>
        <item x="222"/>
        <item x="85"/>
        <item x="507"/>
        <item x="51"/>
        <item x="455"/>
        <item x="594"/>
        <item x="535"/>
        <item x="564"/>
        <item x="233"/>
        <item x="397"/>
        <item x="102"/>
        <item x="553"/>
        <item x="136"/>
        <item x="171"/>
        <item x="229"/>
        <item x="421"/>
        <item x="486"/>
        <item x="65"/>
        <item x="279"/>
        <item x="182"/>
        <item x="73"/>
        <item x="476"/>
        <item x="323"/>
        <item x="549"/>
        <item x="351"/>
        <item x="232"/>
        <item x="193"/>
        <item x="123"/>
        <item x="49"/>
        <item x="520"/>
        <item x="170"/>
        <item x="414"/>
        <item x="174"/>
        <item x="353"/>
        <item x="508"/>
        <item x="426"/>
        <item x="540"/>
        <item x="30"/>
        <item x="619"/>
        <item x="68"/>
        <item x="285"/>
        <item x="145"/>
        <item x="18"/>
        <item x="502"/>
        <item x="205"/>
        <item x="603"/>
        <item x="100"/>
        <item x="131"/>
        <item x="428"/>
        <item x="226"/>
        <item x="112"/>
        <item x="544"/>
        <item x="295"/>
        <item x="417"/>
        <item x="443"/>
        <item x="164"/>
        <item x="625"/>
        <item x="356"/>
        <item x="141"/>
        <item x="63"/>
        <item x="40"/>
        <item x="231"/>
        <item x="525"/>
        <item x="429"/>
        <item x="385"/>
        <item x="80"/>
        <item x="413"/>
        <item x="514"/>
        <item x="178"/>
        <item x="366"/>
        <item x="191"/>
        <item x="227"/>
        <item x="71"/>
        <item x="459"/>
        <item x="573"/>
        <item x="312"/>
        <item x="505"/>
        <item x="617"/>
        <item x="613"/>
        <item x="582"/>
        <item x="375"/>
        <item x="290"/>
        <item x="492"/>
        <item x="523"/>
        <item x="444"/>
        <item x="160"/>
        <item x="286"/>
        <item x="72"/>
        <item x="110"/>
        <item x="379"/>
        <item x="16"/>
        <item x="622"/>
        <item x="394"/>
        <item x="304"/>
        <item x="384"/>
        <item x="88"/>
        <item x="579"/>
        <item x="253"/>
        <item x="31"/>
        <item x="93"/>
        <item x="21"/>
        <item x="338"/>
        <item x="147"/>
        <item x="365"/>
        <item x="440"/>
        <item x="14"/>
        <item x="388"/>
        <item x="574"/>
        <item x="168"/>
        <item x="389"/>
        <item x="44"/>
        <item x="343"/>
        <item x="320"/>
        <item x="169"/>
        <item x="407"/>
        <item x="96"/>
        <item x="611"/>
        <item x="516"/>
        <item x="303"/>
        <item x="596"/>
        <item x="599"/>
        <item x="319"/>
        <item x="352"/>
        <item x="187"/>
        <item x="448"/>
        <item x="103"/>
        <item x="273"/>
        <item x="577"/>
        <item x="491"/>
        <item x="277"/>
        <item x="515"/>
        <item x="201"/>
        <item x="403"/>
        <item x="15"/>
        <item x="157"/>
        <item x="2"/>
        <item x="247"/>
        <item x="317"/>
        <item x="118"/>
        <item x="194"/>
        <item x="416"/>
        <item x="441"/>
        <item x="190"/>
        <item x="537"/>
        <item x="161"/>
        <item x="22"/>
        <item x="255"/>
        <item x="496"/>
        <item x="225"/>
        <item x="61"/>
        <item x="81"/>
        <item x="184"/>
        <item x="248"/>
        <item x="605"/>
        <item x="510"/>
        <item x="173"/>
        <item x="551"/>
        <item x="167"/>
        <item x="133"/>
        <item x="134"/>
        <item x="371"/>
        <item x="48"/>
        <item x="457"/>
        <item x="99"/>
        <item x="360"/>
        <item x="539"/>
        <item x="408"/>
        <item x="453"/>
        <item x="20"/>
        <item x="78"/>
        <item x="26"/>
        <item x="10"/>
        <item x="624"/>
        <item x="254"/>
        <item x="331"/>
        <item x="615"/>
        <item x="117"/>
        <item x="610"/>
        <item x="530"/>
        <item x="607"/>
        <item x="489"/>
        <item x="183"/>
        <item x="452"/>
        <item x="29"/>
        <item x="125"/>
        <item x="341"/>
        <item x="542"/>
        <item x="270"/>
        <item x="66"/>
        <item x="555"/>
        <item x="207"/>
        <item x="181"/>
        <item x="107"/>
        <item x="324"/>
        <item x="321"/>
        <item x="238"/>
        <item x="179"/>
        <item x="272"/>
        <item x="287"/>
        <item x="259"/>
        <item x="216"/>
        <item x="406"/>
        <item x="376"/>
        <item x="149"/>
        <item x="128"/>
        <item x="294"/>
        <item x="158"/>
        <item x="13"/>
        <item x="95"/>
        <item x="405"/>
        <item x="630"/>
        <item x="608"/>
        <item x="311"/>
        <item x="276"/>
        <item x="464"/>
        <item x="595"/>
        <item x="481"/>
        <item x="86"/>
        <item x="218"/>
        <item x="246"/>
        <item x="105"/>
        <item x="250"/>
        <item x="435"/>
        <item x="475"/>
        <item x="307"/>
        <item x="121"/>
        <item x="528"/>
        <item x="56"/>
        <item x="411"/>
        <item x="36"/>
        <item x="177"/>
        <item x="519"/>
        <item x="593"/>
        <item x="330"/>
        <item x="237"/>
        <item x="368"/>
        <item x="83"/>
        <item x="446"/>
        <item x="566"/>
        <item x="561"/>
        <item x="74"/>
        <item x="479"/>
        <item x="462"/>
        <item x="98"/>
        <item x="64"/>
        <item x="493"/>
        <item x="77"/>
        <item x="592"/>
        <item x="106"/>
        <item x="50"/>
        <item x="488"/>
        <item x="401"/>
        <item x="42"/>
        <item x="208"/>
        <item x="150"/>
        <item x="396"/>
        <item x="126"/>
        <item x="369"/>
        <item x="313"/>
        <item x="524"/>
        <item x="214"/>
        <item x="34"/>
        <item x="580"/>
        <item x="548"/>
        <item x="19"/>
        <item x="239"/>
        <item x="509"/>
        <item x="236"/>
        <item x="97"/>
        <item x="242"/>
        <item x="35"/>
        <item x="470"/>
        <item x="268"/>
        <item x="538"/>
        <item x="430"/>
        <item x="545"/>
        <item x="293"/>
        <item x="262"/>
        <item x="137"/>
        <item x="347"/>
        <item x="283"/>
        <item x="43"/>
        <item x="532"/>
        <item x="471"/>
        <item x="198"/>
        <item x="90"/>
        <item x="588"/>
        <item x="8"/>
        <item x="390"/>
        <item x="344"/>
        <item x="91"/>
        <item x="334"/>
        <item x="143"/>
        <item x="498"/>
        <item x="275"/>
        <item x="84"/>
        <item x="138"/>
        <item x="39"/>
        <item x="604"/>
        <item x="447"/>
        <item x="497"/>
        <item x="176"/>
        <item x="381"/>
        <item x="591"/>
        <item x="28"/>
        <item x="132"/>
        <item x="300"/>
        <item x="557"/>
        <item x="152"/>
        <item x="373"/>
        <item x="288"/>
        <item x="305"/>
        <item x="478"/>
        <item x="120"/>
        <item x="586"/>
        <item x="11"/>
        <item x="431"/>
        <item x="423"/>
        <item x="129"/>
        <item x="456"/>
        <item x="358"/>
        <item x="240"/>
        <item x="398"/>
        <item x="1"/>
        <item x="576"/>
        <item x="546"/>
        <item x="3"/>
        <item x="409"/>
        <item x="359"/>
        <item x="119"/>
        <item x="302"/>
        <item x="41"/>
        <item x="92"/>
        <item x="76"/>
        <item x="439"/>
        <item x="499"/>
        <item x="5"/>
        <item x="162"/>
        <item x="155"/>
        <item x="350"/>
        <item x="495"/>
        <item x="234"/>
        <item x="220"/>
        <item x="148"/>
        <item x="477"/>
        <item x="328"/>
        <item x="469"/>
        <item x="392"/>
        <item x="571"/>
        <item x="156"/>
        <item x="224"/>
        <item x="382"/>
        <item x="70"/>
        <item x="380"/>
        <item x="23"/>
        <item x="601"/>
        <item x="108"/>
        <item x="124"/>
        <item x="391"/>
        <item x="266"/>
        <item x="354"/>
        <item x="556"/>
        <item x="230"/>
        <item x="335"/>
        <item x="451"/>
        <item x="94"/>
        <item x="472"/>
        <item x="211"/>
        <item x="526"/>
        <item x="531"/>
        <item x="139"/>
        <item x="623"/>
        <item x="297"/>
        <item x="410"/>
        <item x="512"/>
        <item x="32"/>
        <item x="130"/>
        <item x="400"/>
        <item x="265"/>
        <item x="552"/>
        <item x="280"/>
        <item x="468"/>
        <item x="339"/>
        <item x="583"/>
        <item x="606"/>
        <item x="202"/>
        <item x="24"/>
        <item x="196"/>
        <item x="315"/>
        <item x="422"/>
        <item x="46"/>
        <item x="432"/>
        <item x="45"/>
        <item x="189"/>
        <item x="332"/>
        <item x="109"/>
        <item x="58"/>
        <item x="278"/>
        <item x="454"/>
        <item x="521"/>
        <item x="340"/>
        <item x="626"/>
        <item x="27"/>
        <item x="536"/>
        <item x="172"/>
        <item x="412"/>
        <item x="616"/>
        <item x="269"/>
        <item x="581"/>
        <item x="251"/>
        <item x="575"/>
        <item x="554"/>
        <item x="53"/>
        <item x="612"/>
        <item x="534"/>
        <item x="629"/>
        <item x="326"/>
        <item x="308"/>
        <item x="387"/>
        <item x="465"/>
        <item x="263"/>
        <item x="52"/>
        <item x="529"/>
        <item x="461"/>
        <item x="244"/>
        <item x="424"/>
        <item x="590"/>
        <item x="249"/>
        <item x="57"/>
        <item x="494"/>
        <item x="533"/>
        <item x="597"/>
        <item x="433"/>
        <item x="367"/>
        <item x="221"/>
        <item x="402"/>
        <item x="140"/>
        <item x="60"/>
        <item x="101"/>
        <item x="522"/>
        <item x="569"/>
        <item x="127"/>
        <item x="503"/>
        <item x="111"/>
        <item x="59"/>
        <item x="235"/>
        <item x="501"/>
        <item x="188"/>
        <item x="289"/>
        <item x="378"/>
        <item x="357"/>
        <item x="355"/>
        <item x="547"/>
        <item x="135"/>
        <item x="180"/>
        <item x="374"/>
        <item x="618"/>
        <item x="38"/>
        <item x="393"/>
        <item x="467"/>
        <item x="474"/>
        <item x="82"/>
        <item x="325"/>
        <item x="146"/>
        <item x="449"/>
        <item x="342"/>
        <item x="261"/>
        <item x="274"/>
        <item x="436"/>
        <item x="204"/>
        <item x="600"/>
        <item x="425"/>
        <item x="628"/>
        <item x="404"/>
        <item x="506"/>
        <item x="67"/>
        <item x="296"/>
        <item x="598"/>
        <item x="153"/>
        <item x="490"/>
        <item x="562"/>
        <item x="206"/>
        <item x="267"/>
        <item x="113"/>
        <item x="310"/>
        <item x="434"/>
        <item x="363"/>
        <item x="213"/>
        <item x="197"/>
        <item x="614"/>
        <item x="420"/>
        <item x="284"/>
        <item x="395"/>
        <item x="383"/>
        <item x="316"/>
        <item x="252"/>
        <item x="513"/>
        <item x="543"/>
        <item x="25"/>
        <item x="418"/>
        <item x="466"/>
        <item x="243"/>
        <item x="165"/>
        <item x="427"/>
        <item x="589"/>
        <item x="333"/>
        <item x="349"/>
        <item x="195"/>
        <item x="203"/>
        <item x="565"/>
        <item x="563"/>
        <item x="116"/>
        <item x="186"/>
        <item x="558"/>
        <item x="318"/>
        <item x="460"/>
        <item x="210"/>
        <item x="314"/>
        <item x="386"/>
        <item x="301"/>
        <item x="372"/>
        <item x="364"/>
        <item x="511"/>
        <item x="282"/>
        <item x="192"/>
        <item x="570"/>
        <item x="144"/>
        <item x="166"/>
        <item x="256"/>
        <item x="346"/>
        <item x="87"/>
        <item x="480"/>
        <item x="258"/>
        <item x="115"/>
        <item x="122"/>
        <item x="104"/>
        <item x="142"/>
        <item x="518"/>
        <item x="445"/>
        <item x="55"/>
        <item x="370"/>
        <item x="458"/>
        <item x="550"/>
        <item x="322"/>
        <item x="163"/>
        <item x="9"/>
        <item x="572"/>
        <item x="17"/>
        <item x="345"/>
        <item x="450"/>
        <item x="228"/>
        <item x="257"/>
        <item x="4"/>
        <item x="75"/>
        <item x="185"/>
        <item x="260"/>
        <item x="621"/>
        <item x="245"/>
        <item x="517"/>
        <item x="47"/>
        <item x="442"/>
        <item x="12"/>
        <item x="79"/>
        <item x="437"/>
        <item x="527"/>
        <item x="114"/>
        <item x="175"/>
        <item x="487"/>
        <item x="620"/>
        <item x="567"/>
        <item x="281"/>
        <item x="212"/>
        <item x="602"/>
        <item x="336"/>
        <item x="419"/>
        <item x="568"/>
        <item x="559"/>
        <item x="264"/>
        <item x="291"/>
        <item x="0"/>
        <item x="584"/>
        <item x="200"/>
        <item x="627"/>
        <item x="348"/>
        <item x="154"/>
        <item x="298"/>
        <item x="199"/>
        <item x="6"/>
        <item x="329"/>
        <item x="309"/>
        <item x="438"/>
        <item x="37"/>
        <item x="54"/>
        <item x="217"/>
        <item x="219"/>
        <item x="585"/>
        <item x="209"/>
        <item x="151"/>
        <item x="463"/>
        <item x="241"/>
        <item x="504"/>
        <item x="399"/>
        <item t="default"/>
      </items>
    </pivotField>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axis="axisRow"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axis="axisRow"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dataField="1"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11"/>
    <field x="16"/>
  </rowFields>
  <rowItems count="69">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Sum of HighDiscPct" fld="26" baseField="0" baseItem="0" numFmtId="165"/>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550F80-2E1C-4CBD-8BC8-C4CAE8D0432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101" firstHeaderRow="0" firstDataRow="1" firstDataCol="1"/>
  <pivotFields count="35">
    <pivotField dataField="1"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axis="axisRow"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numFmtId="2" showAll="0"/>
    <pivotField numFmtId="2" showAll="0"/>
    <pivotField numFmtId="165" showAll="0"/>
    <pivotField dataField="1"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Count of OrderID" fld="0" subtotal="count" baseField="0" baseItem="0"/>
    <dataField name="Sum of HighDiscPct" fld="2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407021-2B23-4829-84F2-856584E715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8:A89" firstHeaderRow="1" firstDataRow="1" firstDataCol="0"/>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items count="631">
        <item x="36"/>
        <item x="255"/>
        <item x="471"/>
        <item x="219"/>
        <item x="551"/>
        <item x="251"/>
        <item x="184"/>
        <item x="618"/>
        <item x="570"/>
        <item x="260"/>
        <item x="520"/>
        <item x="600"/>
        <item x="88"/>
        <item x="192"/>
        <item x="512"/>
        <item x="244"/>
        <item x="481"/>
        <item x="496"/>
        <item x="41"/>
        <item x="98"/>
        <item x="100"/>
        <item x="206"/>
        <item x="10"/>
        <item x="494"/>
        <item x="591"/>
        <item x="125"/>
        <item x="552"/>
        <item x="280"/>
        <item x="601"/>
        <item x="523"/>
        <item x="171"/>
        <item x="78"/>
        <item x="316"/>
        <item x="91"/>
        <item x="576"/>
        <item x="232"/>
        <item x="317"/>
        <item x="47"/>
        <item x="464"/>
        <item x="81"/>
        <item x="6"/>
        <item x="586"/>
        <item x="166"/>
        <item x="48"/>
        <item x="612"/>
        <item x="157"/>
        <item x="272"/>
        <item x="547"/>
        <item x="295"/>
        <item x="596"/>
        <item x="5"/>
        <item x="597"/>
        <item x="387"/>
        <item x="40"/>
        <item x="37"/>
        <item x="64"/>
        <item x="74"/>
        <item x="343"/>
        <item x="433"/>
        <item x="194"/>
        <item x="172"/>
        <item x="104"/>
        <item x="262"/>
        <item x="614"/>
        <item x="454"/>
        <item x="120"/>
        <item x="139"/>
        <item x="483"/>
        <item x="70"/>
        <item x="566"/>
        <item x="249"/>
        <item x="443"/>
        <item x="335"/>
        <item x="342"/>
        <item x="66"/>
        <item x="405"/>
        <item x="83"/>
        <item x="306"/>
        <item x="362"/>
        <item x="595"/>
        <item x="457"/>
        <item x="8"/>
        <item x="269"/>
        <item x="147"/>
        <item x="54"/>
        <item x="626"/>
        <item x="96"/>
        <item x="158"/>
        <item x="446"/>
        <item x="628"/>
        <item x="60"/>
        <item x="435"/>
        <item x="592"/>
        <item x="24"/>
        <item x="533"/>
        <item x="13"/>
        <item x="278"/>
        <item x="553"/>
        <item x="95"/>
        <item x="396"/>
        <item x="352"/>
        <item x="303"/>
        <item x="35"/>
        <item x="86"/>
        <item x="484"/>
        <item x="136"/>
        <item x="263"/>
        <item x="220"/>
        <item x="602"/>
        <item x="463"/>
        <item x="300"/>
        <item x="275"/>
        <item x="541"/>
        <item x="604"/>
        <item x="397"/>
        <item x="511"/>
        <item x="476"/>
        <item x="495"/>
        <item x="467"/>
        <item x="135"/>
        <item x="114"/>
        <item x="61"/>
        <item x="546"/>
        <item x="386"/>
        <item x="336"/>
        <item x="63"/>
        <item x="49"/>
        <item x="620"/>
        <item x="229"/>
        <item x="17"/>
        <item x="374"/>
        <item x="18"/>
        <item x="415"/>
        <item x="502"/>
        <item x="408"/>
        <item x="375"/>
        <item x="416"/>
        <item x="73"/>
        <item x="625"/>
        <item x="57"/>
        <item x="267"/>
        <item x="195"/>
        <item x="537"/>
        <item x="579"/>
        <item x="59"/>
        <item x="106"/>
        <item x="226"/>
        <item x="314"/>
        <item x="210"/>
        <item x="403"/>
        <item x="382"/>
        <item x="79"/>
        <item x="400"/>
        <item x="318"/>
        <item x="608"/>
        <item x="414"/>
        <item x="148"/>
        <item x="380"/>
        <item x="615"/>
        <item x="149"/>
        <item x="52"/>
        <item x="196"/>
        <item x="407"/>
        <item x="340"/>
        <item x="559"/>
        <item x="344"/>
        <item x="487"/>
        <item x="15"/>
        <item x="297"/>
        <item x="506"/>
        <item x="118"/>
        <item x="140"/>
        <item x="517"/>
        <item x="385"/>
        <item x="355"/>
        <item x="14"/>
        <item x="236"/>
        <item x="479"/>
        <item x="155"/>
        <item x="580"/>
        <item x="423"/>
        <item x="607"/>
        <item x="22"/>
        <item x="560"/>
        <item x="29"/>
        <item x="378"/>
        <item x="442"/>
        <item x="156"/>
        <item x="65"/>
        <item x="393"/>
        <item x="209"/>
        <item x="326"/>
        <item x="371"/>
        <item x="609"/>
        <item x="534"/>
        <item x="190"/>
        <item x="227"/>
        <item x="113"/>
        <item x="372"/>
        <item x="4"/>
        <item x="230"/>
        <item x="213"/>
        <item x="167"/>
        <item x="34"/>
        <item x="373"/>
        <item x="426"/>
        <item x="556"/>
        <item x="159"/>
        <item x="509"/>
        <item x="3"/>
        <item x="568"/>
        <item x="406"/>
        <item x="58"/>
        <item x="164"/>
        <item x="144"/>
        <item x="214"/>
        <item x="311"/>
        <item x="138"/>
        <item x="430"/>
        <item x="211"/>
        <item x="470"/>
        <item x="334"/>
        <item x="245"/>
        <item x="93"/>
        <item x="419"/>
        <item x="427"/>
        <item x="354"/>
        <item x="469"/>
        <item x="305"/>
        <item x="436"/>
        <item x="152"/>
        <item x="84"/>
        <item x="9"/>
        <item x="122"/>
        <item x="224"/>
        <item x="567"/>
        <item x="308"/>
        <item x="175"/>
        <item x="131"/>
        <item x="473"/>
        <item x="165"/>
        <item x="143"/>
        <item x="179"/>
        <item x="589"/>
        <item x="532"/>
        <item x="103"/>
        <item x="268"/>
        <item x="233"/>
        <item x="87"/>
        <item x="240"/>
        <item x="539"/>
        <item x="132"/>
        <item x="56"/>
        <item x="383"/>
        <item x="112"/>
        <item x="32"/>
        <item x="327"/>
        <item x="507"/>
        <item x="437"/>
        <item x="161"/>
        <item x="94"/>
        <item x="346"/>
        <item x="381"/>
        <item x="325"/>
        <item x="542"/>
        <item x="561"/>
        <item x="205"/>
        <item x="324"/>
        <item x="603"/>
        <item x="486"/>
        <item x="330"/>
        <item x="401"/>
        <item x="493"/>
        <item x="117"/>
        <item x="31"/>
        <item x="99"/>
        <item x="216"/>
        <item x="1"/>
        <item x="102"/>
        <item x="12"/>
        <item x="391"/>
        <item x="134"/>
        <item x="424"/>
        <item x="264"/>
        <item x="25"/>
        <item x="588"/>
        <item x="521"/>
        <item x="571"/>
        <item x="554"/>
        <item x="610"/>
        <item x="445"/>
        <item x="291"/>
        <item x="361"/>
        <item x="392"/>
        <item x="444"/>
        <item x="526"/>
        <item x="71"/>
        <item x="202"/>
        <item x="289"/>
        <item x="515"/>
        <item x="461"/>
        <item x="358"/>
        <item x="345"/>
        <item x="329"/>
        <item x="429"/>
        <item x="237"/>
        <item x="101"/>
        <item x="452"/>
        <item x="187"/>
        <item x="217"/>
        <item x="123"/>
        <item x="367"/>
        <item x="315"/>
        <item x="412"/>
        <item x="270"/>
        <item x="338"/>
        <item x="462"/>
        <item x="293"/>
        <item x="198"/>
        <item x="451"/>
        <item x="312"/>
        <item x="585"/>
        <item x="544"/>
        <item x="417"/>
        <item x="390"/>
        <item x="613"/>
        <item x="173"/>
        <item x="298"/>
        <item x="350"/>
        <item x="428"/>
        <item x="188"/>
        <item x="458"/>
        <item x="254"/>
        <item x="629"/>
        <item x="389"/>
        <item x="261"/>
        <item x="394"/>
        <item x="353"/>
        <item x="76"/>
        <item x="44"/>
        <item x="162"/>
        <item x="282"/>
        <item x="522"/>
        <item x="119"/>
        <item x="225"/>
        <item x="440"/>
        <item x="51"/>
        <item x="565"/>
        <item x="557"/>
        <item x="516"/>
        <item x="39"/>
        <item x="247"/>
        <item x="497"/>
        <item x="108"/>
        <item x="292"/>
        <item x="294"/>
        <item x="21"/>
        <item x="619"/>
        <item x="491"/>
        <item x="55"/>
        <item x="182"/>
        <item x="110"/>
        <item x="563"/>
        <item x="2"/>
        <item x="130"/>
        <item x="271"/>
        <item x="370"/>
        <item x="231"/>
        <item x="287"/>
        <item x="193"/>
        <item x="395"/>
        <item x="503"/>
        <item x="413"/>
        <item x="115"/>
        <item x="50"/>
        <item x="133"/>
        <item x="274"/>
        <item x="323"/>
        <item x="369"/>
        <item x="384"/>
        <item x="490"/>
        <item x="288"/>
        <item x="351"/>
        <item x="124"/>
        <item x="488"/>
        <item x="273"/>
        <item x="377"/>
        <item x="379"/>
        <item x="337"/>
        <item x="178"/>
        <item x="543"/>
        <item x="573"/>
        <item x="404"/>
        <item x="23"/>
        <item x="550"/>
        <item x="20"/>
        <item x="89"/>
        <item x="26"/>
        <item x="151"/>
        <item x="527"/>
        <item x="204"/>
        <item x="441"/>
        <item x="199"/>
        <item x="307"/>
        <item x="482"/>
        <item x="126"/>
        <item x="575"/>
        <item x="285"/>
        <item x="376"/>
        <item x="368"/>
        <item x="499"/>
        <item x="510"/>
        <item x="221"/>
        <item x="388"/>
        <item x="504"/>
        <item x="359"/>
        <item x="606"/>
        <item x="281"/>
        <item x="215"/>
        <item x="283"/>
        <item x="239"/>
        <item x="67"/>
        <item x="321"/>
        <item x="574"/>
        <item x="347"/>
        <item x="449"/>
        <item x="439"/>
        <item x="80"/>
        <item x="250"/>
        <item x="256"/>
        <item x="438"/>
        <item x="43"/>
        <item x="299"/>
        <item x="27"/>
        <item x="538"/>
        <item x="116"/>
        <item x="422"/>
        <item x="45"/>
        <item x="85"/>
        <item x="447"/>
        <item x="180"/>
        <item x="228"/>
        <item x="253"/>
        <item x="186"/>
        <item x="349"/>
        <item x="623"/>
        <item x="399"/>
        <item x="170"/>
        <item x="498"/>
        <item x="508"/>
        <item x="191"/>
        <item x="460"/>
        <item x="584"/>
        <item x="207"/>
        <item x="465"/>
        <item x="259"/>
        <item x="212"/>
        <item x="153"/>
        <item x="328"/>
        <item x="181"/>
        <item x="531"/>
        <item x="145"/>
        <item x="366"/>
        <item x="332"/>
        <item x="242"/>
        <item x="203"/>
        <item x="154"/>
        <item x="627"/>
        <item x="489"/>
        <item x="90"/>
        <item x="301"/>
        <item x="234"/>
        <item x="111"/>
        <item x="38"/>
        <item x="530"/>
        <item x="505"/>
        <item x="528"/>
        <item x="420"/>
        <item x="616"/>
        <item x="331"/>
        <item x="459"/>
        <item x="341"/>
        <item x="284"/>
        <item x="313"/>
        <item x="121"/>
        <item x="309"/>
        <item x="142"/>
        <item x="582"/>
        <item x="621"/>
        <item x="555"/>
        <item x="174"/>
        <item x="257"/>
        <item x="472"/>
        <item x="160"/>
        <item x="577"/>
        <item x="356"/>
        <item x="46"/>
        <item x="279"/>
        <item x="448"/>
        <item x="425"/>
        <item x="201"/>
        <item x="62"/>
        <item x="82"/>
        <item x="177"/>
        <item x="501"/>
        <item x="421"/>
        <item x="28"/>
        <item x="480"/>
        <item x="223"/>
        <item x="252"/>
        <item x="410"/>
        <item x="364"/>
        <item x="587"/>
        <item x="402"/>
        <item x="363"/>
        <item x="450"/>
        <item x="418"/>
        <item x="398"/>
        <item x="68"/>
        <item x="562"/>
        <item x="11"/>
        <item x="624"/>
        <item x="432"/>
        <item x="466"/>
        <item x="456"/>
        <item x="129"/>
        <item x="475"/>
        <item x="513"/>
        <item x="208"/>
        <item x="137"/>
        <item x="590"/>
        <item x="72"/>
        <item x="200"/>
        <item x="235"/>
        <item x="474"/>
        <item x="302"/>
        <item x="107"/>
        <item x="97"/>
        <item x="611"/>
        <item x="197"/>
        <item x="360"/>
        <item x="434"/>
        <item x="53"/>
        <item x="33"/>
        <item x="0"/>
        <item x="241"/>
        <item x="222"/>
        <item x="238"/>
        <item x="524"/>
        <item x="77"/>
        <item x="266"/>
        <item x="492"/>
        <item x="431"/>
        <item x="218"/>
        <item x="500"/>
        <item x="598"/>
        <item x="243"/>
        <item x="105"/>
        <item x="258"/>
        <item x="622"/>
        <item x="69"/>
        <item x="468"/>
        <item x="549"/>
        <item x="572"/>
        <item x="514"/>
        <item x="128"/>
        <item x="265"/>
        <item x="150"/>
        <item x="42"/>
        <item x="529"/>
        <item x="605"/>
        <item x="411"/>
        <item x="322"/>
        <item x="319"/>
        <item x="348"/>
        <item x="286"/>
        <item x="189"/>
        <item x="564"/>
        <item x="92"/>
        <item x="599"/>
        <item x="127"/>
        <item x="248"/>
        <item x="545"/>
        <item x="525"/>
        <item x="569"/>
        <item x="75"/>
        <item x="617"/>
        <item x="7"/>
        <item x="333"/>
        <item x="163"/>
        <item x="30"/>
        <item x="558"/>
        <item x="168"/>
        <item x="109"/>
        <item x="339"/>
        <item x="277"/>
        <item x="593"/>
        <item x="578"/>
        <item x="594"/>
        <item x="540"/>
        <item x="453"/>
        <item x="310"/>
        <item x="357"/>
        <item x="276"/>
        <item x="477"/>
        <item x="296"/>
        <item x="246"/>
        <item x="535"/>
        <item x="478"/>
        <item x="16"/>
        <item x="519"/>
        <item x="365"/>
        <item x="146"/>
        <item x="581"/>
        <item x="185"/>
        <item x="290"/>
        <item x="455"/>
        <item x="169"/>
        <item x="19"/>
        <item x="536"/>
        <item x="183"/>
        <item x="583"/>
        <item x="176"/>
        <item x="141"/>
        <item x="518"/>
        <item x="485"/>
        <item x="304"/>
        <item x="548"/>
        <item x="409"/>
        <item x="320"/>
        <item t="default"/>
      </items>
    </pivotField>
    <pivotField numFmtId="2" showAll="0"/>
    <pivotField numFmtId="2" showAll="0"/>
    <pivotField numFmtId="2" showAll="0"/>
    <pivotField numFmtId="2" showAll="0"/>
    <pivotField dataField="1"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GrossProfit" fld="2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94D7D4-B289-4F43-B3BB-C712C8BD2F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3:A84" firstHeaderRow="1" firstDataRow="1" firstDataCol="0"/>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items count="631">
        <item x="36"/>
        <item x="255"/>
        <item x="471"/>
        <item x="219"/>
        <item x="551"/>
        <item x="251"/>
        <item x="184"/>
        <item x="618"/>
        <item x="570"/>
        <item x="260"/>
        <item x="520"/>
        <item x="600"/>
        <item x="88"/>
        <item x="192"/>
        <item x="512"/>
        <item x="244"/>
        <item x="481"/>
        <item x="496"/>
        <item x="41"/>
        <item x="98"/>
        <item x="100"/>
        <item x="206"/>
        <item x="10"/>
        <item x="494"/>
        <item x="591"/>
        <item x="125"/>
        <item x="552"/>
        <item x="280"/>
        <item x="601"/>
        <item x="523"/>
        <item x="171"/>
        <item x="78"/>
        <item x="316"/>
        <item x="91"/>
        <item x="576"/>
        <item x="232"/>
        <item x="317"/>
        <item x="47"/>
        <item x="464"/>
        <item x="81"/>
        <item x="6"/>
        <item x="586"/>
        <item x="166"/>
        <item x="48"/>
        <item x="612"/>
        <item x="157"/>
        <item x="272"/>
        <item x="547"/>
        <item x="295"/>
        <item x="596"/>
        <item x="5"/>
        <item x="597"/>
        <item x="387"/>
        <item x="40"/>
        <item x="37"/>
        <item x="64"/>
        <item x="74"/>
        <item x="343"/>
        <item x="433"/>
        <item x="194"/>
        <item x="172"/>
        <item x="104"/>
        <item x="262"/>
        <item x="614"/>
        <item x="454"/>
        <item x="120"/>
        <item x="139"/>
        <item x="483"/>
        <item x="70"/>
        <item x="566"/>
        <item x="249"/>
        <item x="443"/>
        <item x="335"/>
        <item x="342"/>
        <item x="66"/>
        <item x="405"/>
        <item x="83"/>
        <item x="306"/>
        <item x="362"/>
        <item x="595"/>
        <item x="457"/>
        <item x="8"/>
        <item x="269"/>
        <item x="147"/>
        <item x="54"/>
        <item x="626"/>
        <item x="96"/>
        <item x="158"/>
        <item x="446"/>
        <item x="628"/>
        <item x="60"/>
        <item x="435"/>
        <item x="592"/>
        <item x="24"/>
        <item x="533"/>
        <item x="13"/>
        <item x="278"/>
        <item x="553"/>
        <item x="95"/>
        <item x="396"/>
        <item x="352"/>
        <item x="303"/>
        <item x="35"/>
        <item x="86"/>
        <item x="484"/>
        <item x="136"/>
        <item x="263"/>
        <item x="220"/>
        <item x="602"/>
        <item x="463"/>
        <item x="300"/>
        <item x="275"/>
        <item x="541"/>
        <item x="604"/>
        <item x="397"/>
        <item x="511"/>
        <item x="476"/>
        <item x="495"/>
        <item x="467"/>
        <item x="135"/>
        <item x="114"/>
        <item x="61"/>
        <item x="546"/>
        <item x="386"/>
        <item x="336"/>
        <item x="63"/>
        <item x="49"/>
        <item x="620"/>
        <item x="229"/>
        <item x="17"/>
        <item x="374"/>
        <item x="18"/>
        <item x="415"/>
        <item x="502"/>
        <item x="408"/>
        <item x="375"/>
        <item x="416"/>
        <item x="73"/>
        <item x="625"/>
        <item x="57"/>
        <item x="267"/>
        <item x="195"/>
        <item x="537"/>
        <item x="579"/>
        <item x="59"/>
        <item x="106"/>
        <item x="226"/>
        <item x="314"/>
        <item x="210"/>
        <item x="403"/>
        <item x="382"/>
        <item x="79"/>
        <item x="400"/>
        <item x="318"/>
        <item x="608"/>
        <item x="414"/>
        <item x="148"/>
        <item x="380"/>
        <item x="615"/>
        <item x="149"/>
        <item x="52"/>
        <item x="196"/>
        <item x="407"/>
        <item x="340"/>
        <item x="559"/>
        <item x="344"/>
        <item x="487"/>
        <item x="15"/>
        <item x="297"/>
        <item x="506"/>
        <item x="118"/>
        <item x="140"/>
        <item x="517"/>
        <item x="385"/>
        <item x="355"/>
        <item x="14"/>
        <item x="236"/>
        <item x="479"/>
        <item x="155"/>
        <item x="580"/>
        <item x="423"/>
        <item x="607"/>
        <item x="22"/>
        <item x="560"/>
        <item x="29"/>
        <item x="378"/>
        <item x="442"/>
        <item x="156"/>
        <item x="65"/>
        <item x="393"/>
        <item x="209"/>
        <item x="326"/>
        <item x="371"/>
        <item x="609"/>
        <item x="534"/>
        <item x="190"/>
        <item x="227"/>
        <item x="113"/>
        <item x="372"/>
        <item x="4"/>
        <item x="230"/>
        <item x="213"/>
        <item x="167"/>
        <item x="34"/>
        <item x="373"/>
        <item x="426"/>
        <item x="556"/>
        <item x="159"/>
        <item x="509"/>
        <item x="3"/>
        <item x="568"/>
        <item x="406"/>
        <item x="58"/>
        <item x="164"/>
        <item x="144"/>
        <item x="214"/>
        <item x="311"/>
        <item x="138"/>
        <item x="430"/>
        <item x="211"/>
        <item x="470"/>
        <item x="334"/>
        <item x="245"/>
        <item x="93"/>
        <item x="419"/>
        <item x="427"/>
        <item x="354"/>
        <item x="469"/>
        <item x="305"/>
        <item x="436"/>
        <item x="152"/>
        <item x="84"/>
        <item x="9"/>
        <item x="122"/>
        <item x="224"/>
        <item x="567"/>
        <item x="308"/>
        <item x="175"/>
        <item x="131"/>
        <item x="473"/>
        <item x="165"/>
        <item x="143"/>
        <item x="179"/>
        <item x="589"/>
        <item x="532"/>
        <item x="103"/>
        <item x="268"/>
        <item x="233"/>
        <item x="87"/>
        <item x="240"/>
        <item x="539"/>
        <item x="132"/>
        <item x="56"/>
        <item x="383"/>
        <item x="112"/>
        <item x="32"/>
        <item x="327"/>
        <item x="507"/>
        <item x="437"/>
        <item x="161"/>
        <item x="94"/>
        <item x="346"/>
        <item x="381"/>
        <item x="325"/>
        <item x="542"/>
        <item x="561"/>
        <item x="205"/>
        <item x="324"/>
        <item x="603"/>
        <item x="486"/>
        <item x="330"/>
        <item x="401"/>
        <item x="493"/>
        <item x="117"/>
        <item x="31"/>
        <item x="99"/>
        <item x="216"/>
        <item x="1"/>
        <item x="102"/>
        <item x="12"/>
        <item x="391"/>
        <item x="134"/>
        <item x="424"/>
        <item x="264"/>
        <item x="25"/>
        <item x="588"/>
        <item x="521"/>
        <item x="571"/>
        <item x="554"/>
        <item x="610"/>
        <item x="445"/>
        <item x="291"/>
        <item x="361"/>
        <item x="392"/>
        <item x="444"/>
        <item x="526"/>
        <item x="71"/>
        <item x="202"/>
        <item x="289"/>
        <item x="515"/>
        <item x="461"/>
        <item x="358"/>
        <item x="345"/>
        <item x="329"/>
        <item x="429"/>
        <item x="237"/>
        <item x="101"/>
        <item x="452"/>
        <item x="187"/>
        <item x="217"/>
        <item x="123"/>
        <item x="367"/>
        <item x="315"/>
        <item x="412"/>
        <item x="270"/>
        <item x="338"/>
        <item x="462"/>
        <item x="293"/>
        <item x="198"/>
        <item x="451"/>
        <item x="312"/>
        <item x="585"/>
        <item x="544"/>
        <item x="417"/>
        <item x="390"/>
        <item x="613"/>
        <item x="173"/>
        <item x="298"/>
        <item x="350"/>
        <item x="428"/>
        <item x="188"/>
        <item x="458"/>
        <item x="254"/>
        <item x="629"/>
        <item x="389"/>
        <item x="261"/>
        <item x="394"/>
        <item x="353"/>
        <item x="76"/>
        <item x="44"/>
        <item x="162"/>
        <item x="282"/>
        <item x="522"/>
        <item x="119"/>
        <item x="225"/>
        <item x="440"/>
        <item x="51"/>
        <item x="565"/>
        <item x="557"/>
        <item x="516"/>
        <item x="39"/>
        <item x="247"/>
        <item x="497"/>
        <item x="108"/>
        <item x="292"/>
        <item x="294"/>
        <item x="21"/>
        <item x="619"/>
        <item x="491"/>
        <item x="55"/>
        <item x="182"/>
        <item x="110"/>
        <item x="563"/>
        <item x="2"/>
        <item x="130"/>
        <item x="271"/>
        <item x="370"/>
        <item x="231"/>
        <item x="287"/>
        <item x="193"/>
        <item x="395"/>
        <item x="503"/>
        <item x="413"/>
        <item x="115"/>
        <item x="50"/>
        <item x="133"/>
        <item x="274"/>
        <item x="323"/>
        <item x="369"/>
        <item x="384"/>
        <item x="490"/>
        <item x="288"/>
        <item x="351"/>
        <item x="124"/>
        <item x="488"/>
        <item x="273"/>
        <item x="377"/>
        <item x="379"/>
        <item x="337"/>
        <item x="178"/>
        <item x="543"/>
        <item x="573"/>
        <item x="404"/>
        <item x="23"/>
        <item x="550"/>
        <item x="20"/>
        <item x="89"/>
        <item x="26"/>
        <item x="151"/>
        <item x="527"/>
        <item x="204"/>
        <item x="441"/>
        <item x="199"/>
        <item x="307"/>
        <item x="482"/>
        <item x="126"/>
        <item x="575"/>
        <item x="285"/>
        <item x="376"/>
        <item x="368"/>
        <item x="499"/>
        <item x="510"/>
        <item x="221"/>
        <item x="388"/>
        <item x="504"/>
        <item x="359"/>
        <item x="606"/>
        <item x="281"/>
        <item x="215"/>
        <item x="283"/>
        <item x="239"/>
        <item x="67"/>
        <item x="321"/>
        <item x="574"/>
        <item x="347"/>
        <item x="449"/>
        <item x="439"/>
        <item x="80"/>
        <item x="250"/>
        <item x="256"/>
        <item x="438"/>
        <item x="43"/>
        <item x="299"/>
        <item x="27"/>
        <item x="538"/>
        <item x="116"/>
        <item x="422"/>
        <item x="45"/>
        <item x="85"/>
        <item x="447"/>
        <item x="180"/>
        <item x="228"/>
        <item x="253"/>
        <item x="186"/>
        <item x="349"/>
        <item x="623"/>
        <item x="399"/>
        <item x="170"/>
        <item x="498"/>
        <item x="508"/>
        <item x="191"/>
        <item x="460"/>
        <item x="584"/>
        <item x="207"/>
        <item x="465"/>
        <item x="259"/>
        <item x="212"/>
        <item x="153"/>
        <item x="328"/>
        <item x="181"/>
        <item x="531"/>
        <item x="145"/>
        <item x="366"/>
        <item x="332"/>
        <item x="242"/>
        <item x="203"/>
        <item x="154"/>
        <item x="627"/>
        <item x="489"/>
        <item x="90"/>
        <item x="301"/>
        <item x="234"/>
        <item x="111"/>
        <item x="38"/>
        <item x="530"/>
        <item x="505"/>
        <item x="528"/>
        <item x="420"/>
        <item x="616"/>
        <item x="331"/>
        <item x="459"/>
        <item x="341"/>
        <item x="284"/>
        <item x="313"/>
        <item x="121"/>
        <item x="309"/>
        <item x="142"/>
        <item x="582"/>
        <item x="621"/>
        <item x="555"/>
        <item x="174"/>
        <item x="257"/>
        <item x="472"/>
        <item x="160"/>
        <item x="577"/>
        <item x="356"/>
        <item x="46"/>
        <item x="279"/>
        <item x="448"/>
        <item x="425"/>
        <item x="201"/>
        <item x="62"/>
        <item x="82"/>
        <item x="177"/>
        <item x="501"/>
        <item x="421"/>
        <item x="28"/>
        <item x="480"/>
        <item x="223"/>
        <item x="252"/>
        <item x="410"/>
        <item x="364"/>
        <item x="587"/>
        <item x="402"/>
        <item x="363"/>
        <item x="450"/>
        <item x="418"/>
        <item x="398"/>
        <item x="68"/>
        <item x="562"/>
        <item x="11"/>
        <item x="624"/>
        <item x="432"/>
        <item x="466"/>
        <item x="456"/>
        <item x="129"/>
        <item x="475"/>
        <item x="513"/>
        <item x="208"/>
        <item x="137"/>
        <item x="590"/>
        <item x="72"/>
        <item x="200"/>
        <item x="235"/>
        <item x="474"/>
        <item x="302"/>
        <item x="107"/>
        <item x="97"/>
        <item x="611"/>
        <item x="197"/>
        <item x="360"/>
        <item x="434"/>
        <item x="53"/>
        <item x="33"/>
        <item x="0"/>
        <item x="241"/>
        <item x="222"/>
        <item x="238"/>
        <item x="524"/>
        <item x="77"/>
        <item x="266"/>
        <item x="492"/>
        <item x="431"/>
        <item x="218"/>
        <item x="500"/>
        <item x="598"/>
        <item x="243"/>
        <item x="105"/>
        <item x="258"/>
        <item x="622"/>
        <item x="69"/>
        <item x="468"/>
        <item x="549"/>
        <item x="572"/>
        <item x="514"/>
        <item x="128"/>
        <item x="265"/>
        <item x="150"/>
        <item x="42"/>
        <item x="529"/>
        <item x="605"/>
        <item x="411"/>
        <item x="322"/>
        <item x="319"/>
        <item x="348"/>
        <item x="286"/>
        <item x="189"/>
        <item x="564"/>
        <item x="92"/>
        <item x="599"/>
        <item x="127"/>
        <item x="248"/>
        <item x="545"/>
        <item x="525"/>
        <item x="569"/>
        <item x="75"/>
        <item x="617"/>
        <item x="7"/>
        <item x="333"/>
        <item x="163"/>
        <item x="30"/>
        <item x="558"/>
        <item x="168"/>
        <item x="109"/>
        <item x="339"/>
        <item x="277"/>
        <item x="593"/>
        <item x="578"/>
        <item x="594"/>
        <item x="540"/>
        <item x="453"/>
        <item x="310"/>
        <item x="357"/>
        <item x="276"/>
        <item x="477"/>
        <item x="296"/>
        <item x="246"/>
        <item x="535"/>
        <item x="478"/>
        <item x="16"/>
        <item x="519"/>
        <item x="365"/>
        <item x="146"/>
        <item x="581"/>
        <item x="185"/>
        <item x="290"/>
        <item x="455"/>
        <item x="169"/>
        <item x="19"/>
        <item x="536"/>
        <item x="183"/>
        <item x="583"/>
        <item x="176"/>
        <item x="141"/>
        <item x="518"/>
        <item x="485"/>
        <item x="304"/>
        <item x="548"/>
        <item x="409"/>
        <item x="320"/>
        <item t="default"/>
      </items>
    </pivotField>
    <pivotField numFmtId="2" showAll="0"/>
    <pivotField numFmtId="2" showAll="0"/>
    <pivotField numFmtId="2" showAll="0"/>
    <pivotField dataField="1"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Gross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B73304-0BC8-4923-8C0A-D365B963867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2:B79" firstHeaderRow="1" firstDataRow="1"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axis="axisRow" showAll="0" sortType="ascending">
      <items count="17">
        <item x="3"/>
        <item x="11"/>
        <item x="14"/>
        <item x="9"/>
        <item x="7"/>
        <item x="0"/>
        <item x="2"/>
        <item x="8"/>
        <item x="13"/>
        <item x="10"/>
        <item x="12"/>
        <item x="5"/>
        <item x="1"/>
        <item x="6"/>
        <item x="4"/>
        <item x="15"/>
        <item t="default"/>
      </items>
      <autoSortScope>
        <pivotArea dataOnly="0" outline="0" fieldPosition="0">
          <references count="1">
            <reference field="4294967294" count="1" selected="0">
              <x v="0"/>
            </reference>
          </references>
        </pivotArea>
      </autoSortScope>
    </pivotField>
    <pivotField showAll="0"/>
    <pivotField showAll="0">
      <items count="8">
        <item x="4"/>
        <item x="6"/>
        <item x="3"/>
        <item x="1"/>
        <item x="2"/>
        <item x="5"/>
        <item x="0"/>
        <item t="default"/>
      </items>
    </pivotField>
    <pivotField showAll="0">
      <items count="631">
        <item x="36"/>
        <item x="255"/>
        <item x="471"/>
        <item x="219"/>
        <item x="551"/>
        <item x="251"/>
        <item x="184"/>
        <item x="618"/>
        <item x="570"/>
        <item x="260"/>
        <item x="520"/>
        <item x="600"/>
        <item x="88"/>
        <item x="192"/>
        <item x="512"/>
        <item x="244"/>
        <item x="481"/>
        <item x="496"/>
        <item x="41"/>
        <item x="98"/>
        <item x="100"/>
        <item x="206"/>
        <item x="10"/>
        <item x="494"/>
        <item x="591"/>
        <item x="125"/>
        <item x="552"/>
        <item x="280"/>
        <item x="601"/>
        <item x="523"/>
        <item x="171"/>
        <item x="78"/>
        <item x="316"/>
        <item x="91"/>
        <item x="576"/>
        <item x="232"/>
        <item x="317"/>
        <item x="47"/>
        <item x="464"/>
        <item x="81"/>
        <item x="6"/>
        <item x="586"/>
        <item x="166"/>
        <item x="48"/>
        <item x="612"/>
        <item x="157"/>
        <item x="272"/>
        <item x="547"/>
        <item x="295"/>
        <item x="596"/>
        <item x="5"/>
        <item x="597"/>
        <item x="387"/>
        <item x="40"/>
        <item x="37"/>
        <item x="64"/>
        <item x="74"/>
        <item x="343"/>
        <item x="433"/>
        <item x="194"/>
        <item x="172"/>
        <item x="104"/>
        <item x="262"/>
        <item x="614"/>
        <item x="454"/>
        <item x="120"/>
        <item x="139"/>
        <item x="483"/>
        <item x="70"/>
        <item x="566"/>
        <item x="249"/>
        <item x="443"/>
        <item x="335"/>
        <item x="342"/>
        <item x="66"/>
        <item x="405"/>
        <item x="83"/>
        <item x="306"/>
        <item x="362"/>
        <item x="595"/>
        <item x="457"/>
        <item x="8"/>
        <item x="269"/>
        <item x="147"/>
        <item x="54"/>
        <item x="626"/>
        <item x="96"/>
        <item x="158"/>
        <item x="446"/>
        <item x="628"/>
        <item x="60"/>
        <item x="435"/>
        <item x="592"/>
        <item x="24"/>
        <item x="533"/>
        <item x="13"/>
        <item x="278"/>
        <item x="553"/>
        <item x="95"/>
        <item x="396"/>
        <item x="352"/>
        <item x="303"/>
        <item x="35"/>
        <item x="86"/>
        <item x="484"/>
        <item x="136"/>
        <item x="263"/>
        <item x="220"/>
        <item x="602"/>
        <item x="463"/>
        <item x="300"/>
        <item x="275"/>
        <item x="541"/>
        <item x="604"/>
        <item x="397"/>
        <item x="511"/>
        <item x="476"/>
        <item x="495"/>
        <item x="467"/>
        <item x="135"/>
        <item x="114"/>
        <item x="61"/>
        <item x="546"/>
        <item x="386"/>
        <item x="336"/>
        <item x="63"/>
        <item x="49"/>
        <item x="620"/>
        <item x="229"/>
        <item x="17"/>
        <item x="374"/>
        <item x="18"/>
        <item x="415"/>
        <item x="502"/>
        <item x="408"/>
        <item x="375"/>
        <item x="416"/>
        <item x="73"/>
        <item x="625"/>
        <item x="57"/>
        <item x="267"/>
        <item x="195"/>
        <item x="537"/>
        <item x="579"/>
        <item x="59"/>
        <item x="106"/>
        <item x="226"/>
        <item x="314"/>
        <item x="210"/>
        <item x="403"/>
        <item x="382"/>
        <item x="79"/>
        <item x="400"/>
        <item x="318"/>
        <item x="608"/>
        <item x="414"/>
        <item x="148"/>
        <item x="380"/>
        <item x="615"/>
        <item x="149"/>
        <item x="52"/>
        <item x="196"/>
        <item x="407"/>
        <item x="340"/>
        <item x="559"/>
        <item x="344"/>
        <item x="487"/>
        <item x="15"/>
        <item x="297"/>
        <item x="506"/>
        <item x="118"/>
        <item x="140"/>
        <item x="517"/>
        <item x="385"/>
        <item x="355"/>
        <item x="14"/>
        <item x="236"/>
        <item x="479"/>
        <item x="155"/>
        <item x="580"/>
        <item x="423"/>
        <item x="607"/>
        <item x="22"/>
        <item x="560"/>
        <item x="29"/>
        <item x="378"/>
        <item x="442"/>
        <item x="156"/>
        <item x="65"/>
        <item x="393"/>
        <item x="209"/>
        <item x="326"/>
        <item x="371"/>
        <item x="609"/>
        <item x="534"/>
        <item x="190"/>
        <item x="227"/>
        <item x="113"/>
        <item x="372"/>
        <item x="4"/>
        <item x="230"/>
        <item x="213"/>
        <item x="167"/>
        <item x="34"/>
        <item x="373"/>
        <item x="426"/>
        <item x="556"/>
        <item x="159"/>
        <item x="509"/>
        <item x="3"/>
        <item x="568"/>
        <item x="406"/>
        <item x="58"/>
        <item x="164"/>
        <item x="144"/>
        <item x="214"/>
        <item x="311"/>
        <item x="138"/>
        <item x="430"/>
        <item x="211"/>
        <item x="470"/>
        <item x="334"/>
        <item x="245"/>
        <item x="93"/>
        <item x="419"/>
        <item x="427"/>
        <item x="354"/>
        <item x="469"/>
        <item x="305"/>
        <item x="436"/>
        <item x="152"/>
        <item x="84"/>
        <item x="9"/>
        <item x="122"/>
        <item x="224"/>
        <item x="567"/>
        <item x="308"/>
        <item x="175"/>
        <item x="131"/>
        <item x="473"/>
        <item x="165"/>
        <item x="143"/>
        <item x="179"/>
        <item x="589"/>
        <item x="532"/>
        <item x="103"/>
        <item x="268"/>
        <item x="233"/>
        <item x="87"/>
        <item x="240"/>
        <item x="539"/>
        <item x="132"/>
        <item x="56"/>
        <item x="383"/>
        <item x="112"/>
        <item x="32"/>
        <item x="327"/>
        <item x="507"/>
        <item x="437"/>
        <item x="161"/>
        <item x="94"/>
        <item x="346"/>
        <item x="381"/>
        <item x="325"/>
        <item x="542"/>
        <item x="561"/>
        <item x="205"/>
        <item x="324"/>
        <item x="603"/>
        <item x="486"/>
        <item x="330"/>
        <item x="401"/>
        <item x="493"/>
        <item x="117"/>
        <item x="31"/>
        <item x="99"/>
        <item x="216"/>
        <item x="1"/>
        <item x="102"/>
        <item x="12"/>
        <item x="391"/>
        <item x="134"/>
        <item x="424"/>
        <item x="264"/>
        <item x="25"/>
        <item x="588"/>
        <item x="521"/>
        <item x="571"/>
        <item x="554"/>
        <item x="610"/>
        <item x="445"/>
        <item x="291"/>
        <item x="361"/>
        <item x="392"/>
        <item x="444"/>
        <item x="526"/>
        <item x="71"/>
        <item x="202"/>
        <item x="289"/>
        <item x="515"/>
        <item x="461"/>
        <item x="358"/>
        <item x="345"/>
        <item x="329"/>
        <item x="429"/>
        <item x="237"/>
        <item x="101"/>
        <item x="452"/>
        <item x="187"/>
        <item x="217"/>
        <item x="123"/>
        <item x="367"/>
        <item x="315"/>
        <item x="412"/>
        <item x="270"/>
        <item x="338"/>
        <item x="462"/>
        <item x="293"/>
        <item x="198"/>
        <item x="451"/>
        <item x="312"/>
        <item x="585"/>
        <item x="544"/>
        <item x="417"/>
        <item x="390"/>
        <item x="613"/>
        <item x="173"/>
        <item x="298"/>
        <item x="350"/>
        <item x="428"/>
        <item x="188"/>
        <item x="458"/>
        <item x="254"/>
        <item x="629"/>
        <item x="389"/>
        <item x="261"/>
        <item x="394"/>
        <item x="353"/>
        <item x="76"/>
        <item x="44"/>
        <item x="162"/>
        <item x="282"/>
        <item x="522"/>
        <item x="119"/>
        <item x="225"/>
        <item x="440"/>
        <item x="51"/>
        <item x="565"/>
        <item x="557"/>
        <item x="516"/>
        <item x="39"/>
        <item x="247"/>
        <item x="497"/>
        <item x="108"/>
        <item x="292"/>
        <item x="294"/>
        <item x="21"/>
        <item x="619"/>
        <item x="491"/>
        <item x="55"/>
        <item x="182"/>
        <item x="110"/>
        <item x="563"/>
        <item x="2"/>
        <item x="130"/>
        <item x="271"/>
        <item x="370"/>
        <item x="231"/>
        <item x="287"/>
        <item x="193"/>
        <item x="395"/>
        <item x="503"/>
        <item x="413"/>
        <item x="115"/>
        <item x="50"/>
        <item x="133"/>
        <item x="274"/>
        <item x="323"/>
        <item x="369"/>
        <item x="384"/>
        <item x="490"/>
        <item x="288"/>
        <item x="351"/>
        <item x="124"/>
        <item x="488"/>
        <item x="273"/>
        <item x="377"/>
        <item x="379"/>
        <item x="337"/>
        <item x="178"/>
        <item x="543"/>
        <item x="573"/>
        <item x="404"/>
        <item x="23"/>
        <item x="550"/>
        <item x="20"/>
        <item x="89"/>
        <item x="26"/>
        <item x="151"/>
        <item x="527"/>
        <item x="204"/>
        <item x="441"/>
        <item x="199"/>
        <item x="307"/>
        <item x="482"/>
        <item x="126"/>
        <item x="575"/>
        <item x="285"/>
        <item x="376"/>
        <item x="368"/>
        <item x="499"/>
        <item x="510"/>
        <item x="221"/>
        <item x="388"/>
        <item x="504"/>
        <item x="359"/>
        <item x="606"/>
        <item x="281"/>
        <item x="215"/>
        <item x="283"/>
        <item x="239"/>
        <item x="67"/>
        <item x="321"/>
        <item x="574"/>
        <item x="347"/>
        <item x="449"/>
        <item x="439"/>
        <item x="80"/>
        <item x="250"/>
        <item x="256"/>
        <item x="438"/>
        <item x="43"/>
        <item x="299"/>
        <item x="27"/>
        <item x="538"/>
        <item x="116"/>
        <item x="422"/>
        <item x="45"/>
        <item x="85"/>
        <item x="447"/>
        <item x="180"/>
        <item x="228"/>
        <item x="253"/>
        <item x="186"/>
        <item x="349"/>
        <item x="623"/>
        <item x="399"/>
        <item x="170"/>
        <item x="498"/>
        <item x="508"/>
        <item x="191"/>
        <item x="460"/>
        <item x="584"/>
        <item x="207"/>
        <item x="465"/>
        <item x="259"/>
        <item x="212"/>
        <item x="153"/>
        <item x="328"/>
        <item x="181"/>
        <item x="531"/>
        <item x="145"/>
        <item x="366"/>
        <item x="332"/>
        <item x="242"/>
        <item x="203"/>
        <item x="154"/>
        <item x="627"/>
        <item x="489"/>
        <item x="90"/>
        <item x="301"/>
        <item x="234"/>
        <item x="111"/>
        <item x="38"/>
        <item x="530"/>
        <item x="505"/>
        <item x="528"/>
        <item x="420"/>
        <item x="616"/>
        <item x="331"/>
        <item x="459"/>
        <item x="341"/>
        <item x="284"/>
        <item x="313"/>
        <item x="121"/>
        <item x="309"/>
        <item x="142"/>
        <item x="582"/>
        <item x="621"/>
        <item x="555"/>
        <item x="174"/>
        <item x="257"/>
        <item x="472"/>
        <item x="160"/>
        <item x="577"/>
        <item x="356"/>
        <item x="46"/>
        <item x="279"/>
        <item x="448"/>
        <item x="425"/>
        <item x="201"/>
        <item x="62"/>
        <item x="82"/>
        <item x="177"/>
        <item x="501"/>
        <item x="421"/>
        <item x="28"/>
        <item x="480"/>
        <item x="223"/>
        <item x="252"/>
        <item x="410"/>
        <item x="364"/>
        <item x="587"/>
        <item x="402"/>
        <item x="363"/>
        <item x="450"/>
        <item x="418"/>
        <item x="398"/>
        <item x="68"/>
        <item x="562"/>
        <item x="11"/>
        <item x="624"/>
        <item x="432"/>
        <item x="466"/>
        <item x="456"/>
        <item x="129"/>
        <item x="475"/>
        <item x="513"/>
        <item x="208"/>
        <item x="137"/>
        <item x="590"/>
        <item x="72"/>
        <item x="200"/>
        <item x="235"/>
        <item x="474"/>
        <item x="302"/>
        <item x="107"/>
        <item x="97"/>
        <item x="611"/>
        <item x="197"/>
        <item x="360"/>
        <item x="434"/>
        <item x="53"/>
        <item x="33"/>
        <item x="0"/>
        <item x="241"/>
        <item x="222"/>
        <item x="238"/>
        <item x="524"/>
        <item x="77"/>
        <item x="266"/>
        <item x="492"/>
        <item x="431"/>
        <item x="218"/>
        <item x="500"/>
        <item x="598"/>
        <item x="243"/>
        <item x="105"/>
        <item x="258"/>
        <item x="622"/>
        <item x="69"/>
        <item x="468"/>
        <item x="549"/>
        <item x="572"/>
        <item x="514"/>
        <item x="128"/>
        <item x="265"/>
        <item x="150"/>
        <item x="42"/>
        <item x="529"/>
        <item x="605"/>
        <item x="411"/>
        <item x="322"/>
        <item x="319"/>
        <item x="348"/>
        <item x="286"/>
        <item x="189"/>
        <item x="564"/>
        <item x="92"/>
        <item x="599"/>
        <item x="127"/>
        <item x="248"/>
        <item x="545"/>
        <item x="525"/>
        <item x="569"/>
        <item x="75"/>
        <item x="617"/>
        <item x="7"/>
        <item x="333"/>
        <item x="163"/>
        <item x="30"/>
        <item x="558"/>
        <item x="168"/>
        <item x="109"/>
        <item x="339"/>
        <item x="277"/>
        <item x="593"/>
        <item x="578"/>
        <item x="594"/>
        <item x="540"/>
        <item x="453"/>
        <item x="310"/>
        <item x="357"/>
        <item x="276"/>
        <item x="477"/>
        <item x="296"/>
        <item x="246"/>
        <item x="535"/>
        <item x="478"/>
        <item x="16"/>
        <item x="519"/>
        <item x="365"/>
        <item x="146"/>
        <item x="581"/>
        <item x="185"/>
        <item x="290"/>
        <item x="455"/>
        <item x="169"/>
        <item x="19"/>
        <item x="536"/>
        <item x="183"/>
        <item x="583"/>
        <item x="176"/>
        <item x="141"/>
        <item x="518"/>
        <item x="485"/>
        <item x="304"/>
        <item x="548"/>
        <item x="409"/>
        <item x="320"/>
        <item t="default"/>
      </items>
    </pivotField>
    <pivotField numFmtId="2" showAll="0"/>
    <pivotField numFmtId="2" showAll="0"/>
    <pivotField numFmtId="2" showAll="0"/>
    <pivotField numFmtId="2" showAll="0"/>
    <pivotField numFmtId="2" showAll="0"/>
    <pivotField numFmtId="165" showAll="0"/>
    <pivotField dataField="1"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7">
    <i>
      <x v="15"/>
    </i>
    <i>
      <x v="4"/>
    </i>
    <i>
      <x v="6"/>
    </i>
    <i>
      <x v="7"/>
    </i>
    <i>
      <x v="5"/>
    </i>
    <i>
      <x v="10"/>
    </i>
    <i>
      <x v="14"/>
    </i>
    <i>
      <x v="1"/>
    </i>
    <i>
      <x v="13"/>
    </i>
    <i>
      <x v="9"/>
    </i>
    <i>
      <x v="12"/>
    </i>
    <i>
      <x v="11"/>
    </i>
    <i>
      <x v="3"/>
    </i>
    <i>
      <x v="2"/>
    </i>
    <i>
      <x v="8"/>
    </i>
    <i>
      <x/>
    </i>
    <i t="grand">
      <x/>
    </i>
  </rowItems>
  <colItems count="1">
    <i/>
  </colItems>
  <dataFields count="1">
    <dataField name="Sum of HighDiscPct" fld="26" baseField="0" baseItem="0" numFmtId="165"/>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AE5EE5-37D3-4427-BBB5-88E822592B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pivotField numFmtId="2" showAll="0"/>
    <pivotField numFmtId="2" showAll="0"/>
    <pivotField numFmtId="2" showAll="0"/>
    <pivotField dataField="1"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2"/>
  </rowFields>
  <rowItems count="13">
    <i>
      <x v="1"/>
    </i>
    <i>
      <x v="2"/>
    </i>
    <i>
      <x v="3"/>
    </i>
    <i>
      <x v="4"/>
    </i>
    <i>
      <x v="5"/>
    </i>
    <i>
      <x v="6"/>
    </i>
    <i>
      <x v="7"/>
    </i>
    <i>
      <x v="8"/>
    </i>
    <i>
      <x v="9"/>
    </i>
    <i>
      <x v="10"/>
    </i>
    <i>
      <x v="11"/>
    </i>
    <i>
      <x v="12"/>
    </i>
    <i t="grand">
      <x/>
    </i>
  </rowItems>
  <colItems count="1">
    <i/>
  </colItems>
  <dataFields count="1">
    <dataField name="Sum of GrossRevenue" fld="23"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ECE8B8-223C-4476-A313-719D91F31FB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B54" firstHeaderRow="1" firstDataRow="1"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axis="axisRow" showAll="0" measureFilter="1" sortType="ascending">
      <items count="631">
        <item x="36"/>
        <item x="255"/>
        <item x="471"/>
        <item x="219"/>
        <item x="551"/>
        <item x="251"/>
        <item x="184"/>
        <item x="618"/>
        <item x="570"/>
        <item x="260"/>
        <item x="520"/>
        <item x="600"/>
        <item x="88"/>
        <item x="192"/>
        <item x="512"/>
        <item x="244"/>
        <item x="481"/>
        <item x="496"/>
        <item x="41"/>
        <item x="98"/>
        <item x="100"/>
        <item x="206"/>
        <item x="10"/>
        <item x="494"/>
        <item x="591"/>
        <item x="125"/>
        <item x="552"/>
        <item x="280"/>
        <item x="601"/>
        <item x="523"/>
        <item x="171"/>
        <item x="78"/>
        <item x="316"/>
        <item x="91"/>
        <item x="576"/>
        <item x="232"/>
        <item x="317"/>
        <item x="47"/>
        <item x="464"/>
        <item x="81"/>
        <item x="6"/>
        <item x="586"/>
        <item x="166"/>
        <item x="48"/>
        <item x="612"/>
        <item x="157"/>
        <item x="272"/>
        <item x="547"/>
        <item x="295"/>
        <item x="596"/>
        <item x="5"/>
        <item x="597"/>
        <item x="387"/>
        <item x="40"/>
        <item x="37"/>
        <item x="64"/>
        <item x="74"/>
        <item x="343"/>
        <item x="433"/>
        <item x="194"/>
        <item x="172"/>
        <item x="104"/>
        <item x="262"/>
        <item x="614"/>
        <item x="454"/>
        <item x="120"/>
        <item x="139"/>
        <item x="483"/>
        <item x="70"/>
        <item x="566"/>
        <item x="249"/>
        <item x="443"/>
        <item x="335"/>
        <item x="342"/>
        <item x="66"/>
        <item x="405"/>
        <item x="83"/>
        <item x="306"/>
        <item x="362"/>
        <item x="595"/>
        <item x="457"/>
        <item x="8"/>
        <item x="269"/>
        <item x="147"/>
        <item x="54"/>
        <item x="626"/>
        <item x="96"/>
        <item x="158"/>
        <item x="446"/>
        <item x="628"/>
        <item x="60"/>
        <item x="435"/>
        <item x="592"/>
        <item x="24"/>
        <item x="533"/>
        <item x="13"/>
        <item x="278"/>
        <item x="553"/>
        <item x="95"/>
        <item x="396"/>
        <item x="352"/>
        <item x="303"/>
        <item x="35"/>
        <item x="86"/>
        <item x="484"/>
        <item x="136"/>
        <item x="263"/>
        <item x="220"/>
        <item x="602"/>
        <item x="463"/>
        <item x="300"/>
        <item x="275"/>
        <item x="541"/>
        <item x="604"/>
        <item x="397"/>
        <item x="511"/>
        <item x="476"/>
        <item x="495"/>
        <item x="467"/>
        <item x="135"/>
        <item x="114"/>
        <item x="61"/>
        <item x="546"/>
        <item x="386"/>
        <item x="336"/>
        <item x="63"/>
        <item x="49"/>
        <item x="620"/>
        <item x="229"/>
        <item x="17"/>
        <item x="374"/>
        <item x="18"/>
        <item x="415"/>
        <item x="502"/>
        <item x="408"/>
        <item x="375"/>
        <item x="416"/>
        <item x="73"/>
        <item x="625"/>
        <item x="57"/>
        <item x="267"/>
        <item x="195"/>
        <item x="537"/>
        <item x="579"/>
        <item x="59"/>
        <item x="106"/>
        <item x="226"/>
        <item x="314"/>
        <item x="210"/>
        <item x="403"/>
        <item x="382"/>
        <item x="79"/>
        <item x="400"/>
        <item x="318"/>
        <item x="608"/>
        <item x="414"/>
        <item x="148"/>
        <item x="380"/>
        <item x="615"/>
        <item x="149"/>
        <item x="52"/>
        <item x="196"/>
        <item x="407"/>
        <item x="340"/>
        <item x="559"/>
        <item x="344"/>
        <item x="487"/>
        <item x="15"/>
        <item x="297"/>
        <item x="506"/>
        <item x="118"/>
        <item x="140"/>
        <item x="517"/>
        <item x="385"/>
        <item x="355"/>
        <item x="14"/>
        <item x="236"/>
        <item x="479"/>
        <item x="155"/>
        <item x="580"/>
        <item x="423"/>
        <item x="607"/>
        <item x="22"/>
        <item x="560"/>
        <item x="29"/>
        <item x="378"/>
        <item x="442"/>
        <item x="156"/>
        <item x="65"/>
        <item x="393"/>
        <item x="209"/>
        <item x="326"/>
        <item x="371"/>
        <item x="609"/>
        <item x="534"/>
        <item x="190"/>
        <item x="227"/>
        <item x="113"/>
        <item x="372"/>
        <item x="4"/>
        <item x="230"/>
        <item x="213"/>
        <item x="167"/>
        <item x="34"/>
        <item x="373"/>
        <item x="426"/>
        <item x="556"/>
        <item x="159"/>
        <item x="509"/>
        <item x="3"/>
        <item x="568"/>
        <item x="406"/>
        <item x="58"/>
        <item x="164"/>
        <item x="144"/>
        <item x="214"/>
        <item x="311"/>
        <item x="138"/>
        <item x="430"/>
        <item x="211"/>
        <item x="470"/>
        <item x="334"/>
        <item x="245"/>
        <item x="93"/>
        <item x="419"/>
        <item x="427"/>
        <item x="354"/>
        <item x="469"/>
        <item x="305"/>
        <item x="436"/>
        <item x="152"/>
        <item x="84"/>
        <item x="9"/>
        <item x="122"/>
        <item x="224"/>
        <item x="567"/>
        <item x="308"/>
        <item x="175"/>
        <item x="131"/>
        <item x="473"/>
        <item x="165"/>
        <item x="143"/>
        <item x="179"/>
        <item x="589"/>
        <item x="532"/>
        <item x="103"/>
        <item x="268"/>
        <item x="233"/>
        <item x="87"/>
        <item x="240"/>
        <item x="539"/>
        <item x="132"/>
        <item x="56"/>
        <item x="383"/>
        <item x="112"/>
        <item x="32"/>
        <item x="327"/>
        <item x="507"/>
        <item x="437"/>
        <item x="161"/>
        <item x="94"/>
        <item x="346"/>
        <item x="381"/>
        <item x="325"/>
        <item x="542"/>
        <item x="561"/>
        <item x="205"/>
        <item x="324"/>
        <item x="603"/>
        <item x="486"/>
        <item x="330"/>
        <item x="401"/>
        <item x="493"/>
        <item x="117"/>
        <item x="31"/>
        <item x="99"/>
        <item x="216"/>
        <item x="1"/>
        <item x="102"/>
        <item x="12"/>
        <item x="391"/>
        <item x="134"/>
        <item x="424"/>
        <item x="264"/>
        <item x="25"/>
        <item x="588"/>
        <item x="521"/>
        <item x="571"/>
        <item x="554"/>
        <item x="610"/>
        <item x="445"/>
        <item x="291"/>
        <item x="361"/>
        <item x="392"/>
        <item x="444"/>
        <item x="526"/>
        <item x="71"/>
        <item x="202"/>
        <item x="289"/>
        <item x="515"/>
        <item x="461"/>
        <item x="358"/>
        <item x="345"/>
        <item x="329"/>
        <item x="429"/>
        <item x="237"/>
        <item x="101"/>
        <item x="452"/>
        <item x="187"/>
        <item x="217"/>
        <item x="123"/>
        <item x="367"/>
        <item x="315"/>
        <item x="412"/>
        <item x="270"/>
        <item x="338"/>
        <item x="462"/>
        <item x="293"/>
        <item x="198"/>
        <item x="451"/>
        <item x="312"/>
        <item x="585"/>
        <item x="544"/>
        <item x="417"/>
        <item x="390"/>
        <item x="613"/>
        <item x="173"/>
        <item x="298"/>
        <item x="350"/>
        <item x="428"/>
        <item x="188"/>
        <item x="458"/>
        <item x="254"/>
        <item x="629"/>
        <item x="389"/>
        <item x="261"/>
        <item x="394"/>
        <item x="353"/>
        <item x="76"/>
        <item x="44"/>
        <item x="162"/>
        <item x="282"/>
        <item x="522"/>
        <item x="119"/>
        <item x="225"/>
        <item x="440"/>
        <item x="51"/>
        <item x="565"/>
        <item x="557"/>
        <item x="516"/>
        <item x="39"/>
        <item x="247"/>
        <item x="497"/>
        <item x="108"/>
        <item x="292"/>
        <item x="294"/>
        <item x="21"/>
        <item x="619"/>
        <item x="491"/>
        <item x="55"/>
        <item x="182"/>
        <item x="110"/>
        <item x="563"/>
        <item x="2"/>
        <item x="130"/>
        <item x="271"/>
        <item x="370"/>
        <item x="231"/>
        <item x="287"/>
        <item x="193"/>
        <item x="395"/>
        <item x="503"/>
        <item x="413"/>
        <item x="115"/>
        <item x="50"/>
        <item x="133"/>
        <item x="274"/>
        <item x="323"/>
        <item x="369"/>
        <item x="384"/>
        <item x="490"/>
        <item x="288"/>
        <item x="351"/>
        <item x="124"/>
        <item x="488"/>
        <item x="273"/>
        <item x="377"/>
        <item x="379"/>
        <item x="337"/>
        <item x="178"/>
        <item x="543"/>
        <item x="573"/>
        <item x="404"/>
        <item x="23"/>
        <item x="550"/>
        <item x="20"/>
        <item x="89"/>
        <item x="26"/>
        <item x="151"/>
        <item x="527"/>
        <item x="204"/>
        <item x="441"/>
        <item x="199"/>
        <item x="307"/>
        <item x="482"/>
        <item x="126"/>
        <item x="575"/>
        <item x="285"/>
        <item x="376"/>
        <item x="368"/>
        <item x="499"/>
        <item x="510"/>
        <item x="221"/>
        <item x="388"/>
        <item x="504"/>
        <item x="359"/>
        <item x="606"/>
        <item x="281"/>
        <item x="215"/>
        <item x="283"/>
        <item x="239"/>
        <item x="67"/>
        <item x="321"/>
        <item x="574"/>
        <item x="347"/>
        <item x="449"/>
        <item x="439"/>
        <item x="80"/>
        <item x="250"/>
        <item x="256"/>
        <item x="438"/>
        <item x="43"/>
        <item x="299"/>
        <item x="27"/>
        <item x="538"/>
        <item x="116"/>
        <item x="422"/>
        <item x="45"/>
        <item x="85"/>
        <item x="447"/>
        <item x="180"/>
        <item x="228"/>
        <item x="253"/>
        <item x="186"/>
        <item x="349"/>
        <item x="623"/>
        <item x="399"/>
        <item x="170"/>
        <item x="498"/>
        <item x="508"/>
        <item x="191"/>
        <item x="460"/>
        <item x="584"/>
        <item x="207"/>
        <item x="465"/>
        <item x="259"/>
        <item x="212"/>
        <item x="153"/>
        <item x="328"/>
        <item x="181"/>
        <item x="531"/>
        <item x="145"/>
        <item x="366"/>
        <item x="332"/>
        <item x="242"/>
        <item x="203"/>
        <item x="154"/>
        <item x="627"/>
        <item x="489"/>
        <item x="90"/>
        <item x="301"/>
        <item x="234"/>
        <item x="111"/>
        <item x="38"/>
        <item x="530"/>
        <item x="505"/>
        <item x="528"/>
        <item x="420"/>
        <item x="616"/>
        <item x="331"/>
        <item x="459"/>
        <item x="341"/>
        <item x="284"/>
        <item x="313"/>
        <item x="121"/>
        <item x="309"/>
        <item x="142"/>
        <item x="582"/>
        <item x="621"/>
        <item x="555"/>
        <item x="174"/>
        <item x="257"/>
        <item x="472"/>
        <item x="160"/>
        <item x="577"/>
        <item x="356"/>
        <item x="46"/>
        <item x="279"/>
        <item x="448"/>
        <item x="425"/>
        <item x="201"/>
        <item x="62"/>
        <item x="82"/>
        <item x="177"/>
        <item x="501"/>
        <item x="421"/>
        <item x="28"/>
        <item x="480"/>
        <item x="223"/>
        <item x="252"/>
        <item x="410"/>
        <item x="364"/>
        <item x="587"/>
        <item x="402"/>
        <item x="363"/>
        <item x="450"/>
        <item x="418"/>
        <item x="398"/>
        <item x="68"/>
        <item x="562"/>
        <item x="11"/>
        <item x="624"/>
        <item x="432"/>
        <item x="466"/>
        <item x="456"/>
        <item x="129"/>
        <item x="475"/>
        <item x="513"/>
        <item x="208"/>
        <item x="137"/>
        <item x="590"/>
        <item x="72"/>
        <item x="200"/>
        <item x="235"/>
        <item x="474"/>
        <item x="302"/>
        <item x="107"/>
        <item x="97"/>
        <item x="611"/>
        <item x="197"/>
        <item x="360"/>
        <item x="434"/>
        <item x="53"/>
        <item x="33"/>
        <item x="0"/>
        <item x="241"/>
        <item x="222"/>
        <item x="238"/>
        <item x="524"/>
        <item x="77"/>
        <item x="266"/>
        <item x="492"/>
        <item x="431"/>
        <item x="218"/>
        <item x="500"/>
        <item x="598"/>
        <item x="243"/>
        <item x="105"/>
        <item x="258"/>
        <item x="622"/>
        <item x="69"/>
        <item x="468"/>
        <item x="549"/>
        <item x="572"/>
        <item x="514"/>
        <item x="128"/>
        <item x="265"/>
        <item x="150"/>
        <item x="42"/>
        <item x="529"/>
        <item x="605"/>
        <item x="411"/>
        <item x="322"/>
        <item x="319"/>
        <item x="348"/>
        <item x="286"/>
        <item x="189"/>
        <item x="564"/>
        <item x="92"/>
        <item x="599"/>
        <item x="127"/>
        <item x="248"/>
        <item x="545"/>
        <item x="525"/>
        <item x="569"/>
        <item x="75"/>
        <item x="617"/>
        <item x="7"/>
        <item x="333"/>
        <item x="163"/>
        <item x="30"/>
        <item x="558"/>
        <item x="168"/>
        <item x="109"/>
        <item x="339"/>
        <item x="277"/>
        <item x="593"/>
        <item x="578"/>
        <item x="594"/>
        <item x="540"/>
        <item x="453"/>
        <item x="310"/>
        <item x="357"/>
        <item x="276"/>
        <item x="477"/>
        <item x="296"/>
        <item x="246"/>
        <item x="535"/>
        <item x="478"/>
        <item x="16"/>
        <item x="519"/>
        <item x="365"/>
        <item x="146"/>
        <item x="581"/>
        <item x="185"/>
        <item x="290"/>
        <item x="455"/>
        <item x="169"/>
        <item x="19"/>
        <item x="536"/>
        <item x="183"/>
        <item x="583"/>
        <item x="176"/>
        <item x="141"/>
        <item x="518"/>
        <item x="485"/>
        <item x="304"/>
        <item x="548"/>
        <item x="409"/>
        <item x="32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dataField="1"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9"/>
  </rowFields>
  <rowItems count="11">
    <i>
      <x v="403"/>
    </i>
    <i>
      <x v="405"/>
    </i>
    <i>
      <x v="207"/>
    </i>
    <i>
      <x v="117"/>
    </i>
    <i>
      <x v="319"/>
    </i>
    <i>
      <x v="270"/>
    </i>
    <i>
      <x v="323"/>
    </i>
    <i>
      <x v="248"/>
    </i>
    <i>
      <x v="368"/>
    </i>
    <i>
      <x v="171"/>
    </i>
    <i t="grand">
      <x/>
    </i>
  </rowItems>
  <colItems count="1">
    <i/>
  </colItems>
  <dataFields count="1">
    <dataField name="Sum of GrossRevenue" fld="23" baseField="0" baseItem="0" numFmtId="2"/>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6FB0E1B-6C96-48FD-B6A9-455EBFD748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0" firstHeaderRow="1" firstDataRow="1" firstDataCol="1"/>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numFmtId="2" showAll="0"/>
    <pivotField showAll="0"/>
    <pivotField showAll="0"/>
    <pivotField showAll="0"/>
    <pivotField numFmtId="14" showAll="0">
      <items count="12">
        <item x="0"/>
        <item x="6"/>
        <item x="8"/>
        <item x="7"/>
        <item x="2"/>
        <item x="5"/>
        <item x="4"/>
        <item x="9"/>
        <item x="10"/>
        <item x="1"/>
        <item x="3"/>
        <item t="default"/>
      </items>
    </pivotField>
    <pivotField axis="axisRow"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pivotField showAll="0"/>
    <pivotField numFmtId="2" showAll="0"/>
    <pivotField numFmtId="2" showAll="0"/>
    <pivotField numFmtId="2" showAll="0"/>
    <pivotField numFmtId="2" showAll="0"/>
    <pivotField dataField="1"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Sum of GrossProfit" fld="24" baseField="0" baseItem="0" numFmtId="2"/>
  </dataFields>
  <chartFormats count="6">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1" count="1" selected="0">
            <x v="0"/>
          </reference>
        </references>
      </pivotArea>
    </chartFormat>
    <chartFormat chart="5" format="4">
      <pivotArea type="data" outline="0" fieldPosition="0">
        <references count="2">
          <reference field="4294967294" count="1" selected="0">
            <x v="0"/>
          </reference>
          <reference field="11" count="1" selected="0">
            <x v="1"/>
          </reference>
        </references>
      </pivotArea>
    </chartFormat>
    <chartFormat chart="5" format="5">
      <pivotArea type="data" outline="0" fieldPosition="0">
        <references count="2">
          <reference field="4294967294" count="1" selected="0">
            <x v="0"/>
          </reference>
          <reference field="11" count="1" selected="0">
            <x v="2"/>
          </reference>
        </references>
      </pivotArea>
    </chartFormat>
    <chartFormat chart="5" format="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85AA1A-EB80-4AB5-B174-043D549B8C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0:A101" firstHeaderRow="1" firstDataRow="1" firstDataCol="0"/>
  <pivotFields count="35">
    <pivotField showAll="0"/>
    <pivotField numFmtId="14" showAll="0">
      <items count="469">
        <item x="98"/>
        <item x="398"/>
        <item x="330"/>
        <item x="256"/>
        <item x="132"/>
        <item x="7"/>
        <item x="266"/>
        <item x="243"/>
        <item x="29"/>
        <item x="355"/>
        <item x="107"/>
        <item x="154"/>
        <item x="386"/>
        <item x="394"/>
        <item x="128"/>
        <item x="85"/>
        <item x="63"/>
        <item x="203"/>
        <item x="361"/>
        <item x="215"/>
        <item x="335"/>
        <item x="236"/>
        <item x="238"/>
        <item x="20"/>
        <item x="25"/>
        <item x="94"/>
        <item x="301"/>
        <item x="340"/>
        <item x="455"/>
        <item x="417"/>
        <item x="381"/>
        <item x="113"/>
        <item x="360"/>
        <item x="365"/>
        <item x="388"/>
        <item x="48"/>
        <item x="423"/>
        <item x="124"/>
        <item x="232"/>
        <item x="207"/>
        <item x="68"/>
        <item x="272"/>
        <item x="127"/>
        <item x="2"/>
        <item x="449"/>
        <item x="84"/>
        <item x="459"/>
        <item x="179"/>
        <item x="14"/>
        <item x="380"/>
        <item x="28"/>
        <item x="46"/>
        <item x="314"/>
        <item x="246"/>
        <item x="242"/>
        <item x="219"/>
        <item x="155"/>
        <item x="13"/>
        <item x="112"/>
        <item x="309"/>
        <item x="162"/>
        <item x="302"/>
        <item x="17"/>
        <item x="69"/>
        <item x="443"/>
        <item x="397"/>
        <item x="383"/>
        <item x="45"/>
        <item x="448"/>
        <item x="391"/>
        <item x="198"/>
        <item x="170"/>
        <item x="214"/>
        <item x="70"/>
        <item x="166"/>
        <item x="152"/>
        <item x="250"/>
        <item x="454"/>
        <item x="195"/>
        <item x="9"/>
        <item x="97"/>
        <item x="146"/>
        <item x="460"/>
        <item x="346"/>
        <item x="172"/>
        <item x="134"/>
        <item x="62"/>
        <item x="199"/>
        <item x="375"/>
        <item x="37"/>
        <item x="438"/>
        <item x="105"/>
        <item x="220"/>
        <item x="31"/>
        <item x="344"/>
        <item x="289"/>
        <item x="461"/>
        <item x="161"/>
        <item x="296"/>
        <item x="19"/>
        <item x="354"/>
        <item x="253"/>
        <item x="126"/>
        <item x="415"/>
        <item x="201"/>
        <item x="306"/>
        <item x="117"/>
        <item x="257"/>
        <item x="463"/>
        <item x="434"/>
        <item x="385"/>
        <item x="268"/>
        <item x="269"/>
        <item x="270"/>
        <item x="81"/>
        <item x="144"/>
        <item x="66"/>
        <item x="261"/>
        <item x="358"/>
        <item x="334"/>
        <item x="163"/>
        <item x="336"/>
        <item x="153"/>
        <item x="89"/>
        <item x="422"/>
        <item x="60"/>
        <item x="295"/>
        <item x="76"/>
        <item x="74"/>
        <item x="305"/>
        <item x="457"/>
        <item x="65"/>
        <item x="41"/>
        <item x="416"/>
        <item x="95"/>
        <item x="197"/>
        <item x="276"/>
        <item x="77"/>
        <item x="320"/>
        <item x="285"/>
        <item x="373"/>
        <item x="392"/>
        <item x="273"/>
        <item x="183"/>
        <item x="21"/>
        <item x="313"/>
        <item x="248"/>
        <item x="393"/>
        <item x="147"/>
        <item x="413"/>
        <item x="15"/>
        <item x="91"/>
        <item x="436"/>
        <item x="59"/>
        <item x="419"/>
        <item x="284"/>
        <item x="58"/>
        <item x="160"/>
        <item x="169"/>
        <item x="102"/>
        <item x="379"/>
        <item x="173"/>
        <item x="425"/>
        <item x="22"/>
        <item x="104"/>
        <item x="237"/>
        <item x="377"/>
        <item x="307"/>
        <item x="82"/>
        <item x="426"/>
        <item x="287"/>
        <item x="401"/>
        <item x="114"/>
        <item x="213"/>
        <item x="80"/>
        <item x="23"/>
        <item x="39"/>
        <item x="282"/>
        <item x="387"/>
        <item x="54"/>
        <item x="367"/>
        <item x="33"/>
        <item x="311"/>
        <item x="294"/>
        <item x="244"/>
        <item x="281"/>
        <item x="40"/>
        <item x="228"/>
        <item x="445"/>
        <item x="458"/>
        <item x="27"/>
        <item x="251"/>
        <item x="280"/>
        <item x="225"/>
        <item x="341"/>
        <item x="317"/>
        <item x="231"/>
        <item x="462"/>
        <item x="323"/>
        <item x="400"/>
        <item x="406"/>
        <item x="439"/>
        <item x="93"/>
        <item x="86"/>
        <item x="192"/>
        <item x="259"/>
        <item x="412"/>
        <item x="297"/>
        <item x="115"/>
        <item x="350"/>
        <item x="101"/>
        <item x="331"/>
        <item x="184"/>
        <item x="411"/>
        <item x="208"/>
        <item x="353"/>
        <item x="300"/>
        <item x="447"/>
        <item x="286"/>
        <item x="10"/>
        <item x="349"/>
        <item x="264"/>
        <item x="420"/>
        <item x="235"/>
        <item x="125"/>
        <item x="142"/>
        <item x="216"/>
        <item x="245"/>
        <item x="196"/>
        <item x="92"/>
        <item x="357"/>
        <item x="230"/>
        <item x="136"/>
        <item x="262"/>
        <item x="211"/>
        <item x="363"/>
        <item x="5"/>
        <item x="255"/>
        <item x="145"/>
        <item x="362"/>
        <item x="223"/>
        <item x="316"/>
        <item x="321"/>
        <item x="72"/>
        <item x="293"/>
        <item x="437"/>
        <item x="53"/>
        <item x="442"/>
        <item x="371"/>
        <item x="122"/>
        <item x="55"/>
        <item x="67"/>
        <item x="119"/>
        <item x="435"/>
        <item x="8"/>
        <item x="87"/>
        <item x="342"/>
        <item x="26"/>
        <item x="38"/>
        <item x="347"/>
        <item x="43"/>
        <item x="277"/>
        <item x="30"/>
        <item x="424"/>
        <item x="73"/>
        <item x="275"/>
        <item x="143"/>
        <item x="240"/>
        <item x="190"/>
        <item x="217"/>
        <item x="446"/>
        <item x="88"/>
        <item x="368"/>
        <item x="189"/>
        <item x="1"/>
        <item x="410"/>
        <item x="258"/>
        <item x="229"/>
        <item x="12"/>
        <item x="376"/>
        <item x="444"/>
        <item x="139"/>
        <item x="427"/>
        <item x="135"/>
        <item x="100"/>
        <item x="348"/>
        <item x="3"/>
        <item x="42"/>
        <item x="103"/>
        <item x="433"/>
        <item x="326"/>
        <item x="372"/>
        <item x="404"/>
        <item x="176"/>
        <item x="409"/>
        <item x="156"/>
        <item x="370"/>
        <item x="157"/>
        <item x="450"/>
        <item x="36"/>
        <item x="466"/>
        <item x="49"/>
        <item x="452"/>
        <item x="202"/>
        <item x="407"/>
        <item x="395"/>
        <item x="356"/>
        <item x="322"/>
        <item x="148"/>
        <item x="18"/>
        <item x="118"/>
        <item x="206"/>
        <item x="403"/>
        <item x="137"/>
        <item x="421"/>
        <item x="210"/>
        <item x="279"/>
        <item x="50"/>
        <item x="90"/>
        <item x="290"/>
        <item x="332"/>
        <item x="47"/>
        <item x="234"/>
        <item x="187"/>
        <item x="205"/>
        <item x="408"/>
        <item x="467"/>
        <item x="389"/>
        <item x="226"/>
        <item x="431"/>
        <item x="194"/>
        <item x="168"/>
        <item x="390"/>
        <item x="329"/>
        <item x="32"/>
        <item x="180"/>
        <item x="158"/>
        <item x="456"/>
        <item x="123"/>
        <item x="61"/>
        <item x="414"/>
        <item x="121"/>
        <item x="333"/>
        <item x="343"/>
        <item x="79"/>
        <item x="204"/>
        <item x="249"/>
        <item x="345"/>
        <item x="57"/>
        <item x="239"/>
        <item x="140"/>
        <item x="432"/>
        <item x="222"/>
        <item x="429"/>
        <item x="151"/>
        <item x="252"/>
        <item x="402"/>
        <item x="34"/>
        <item x="328"/>
        <item x="165"/>
        <item x="298"/>
        <item x="465"/>
        <item x="110"/>
        <item x="177"/>
        <item x="175"/>
        <item x="352"/>
        <item x="292"/>
        <item x="44"/>
        <item x="451"/>
        <item x="16"/>
        <item x="318"/>
        <item x="440"/>
        <item x="359"/>
        <item x="200"/>
        <item x="369"/>
        <item x="418"/>
        <item x="150"/>
        <item x="308"/>
        <item x="278"/>
        <item x="271"/>
        <item x="254"/>
        <item x="327"/>
        <item x="193"/>
        <item x="64"/>
        <item x="51"/>
        <item x="106"/>
        <item x="164"/>
        <item x="116"/>
        <item x="428"/>
        <item x="133"/>
        <item x="399"/>
        <item x="111"/>
        <item x="96"/>
        <item x="181"/>
        <item x="396"/>
        <item x="319"/>
        <item x="56"/>
        <item x="338"/>
        <item x="188"/>
        <item x="35"/>
        <item x="191"/>
        <item x="24"/>
        <item x="224"/>
        <item x="339"/>
        <item x="310"/>
        <item x="212"/>
        <item x="130"/>
        <item x="299"/>
        <item x="247"/>
        <item x="0"/>
        <item x="374"/>
        <item x="71"/>
        <item x="209"/>
        <item x="384"/>
        <item x="11"/>
        <item x="4"/>
        <item x="218"/>
        <item x="382"/>
        <item x="109"/>
        <item x="149"/>
        <item x="182"/>
        <item x="171"/>
        <item x="267"/>
        <item x="265"/>
        <item x="325"/>
        <item x="78"/>
        <item x="141"/>
        <item x="288"/>
        <item x="291"/>
        <item x="263"/>
        <item x="260"/>
        <item x="167"/>
        <item x="83"/>
        <item x="185"/>
        <item x="120"/>
        <item x="366"/>
        <item x="52"/>
        <item x="129"/>
        <item x="221"/>
        <item x="283"/>
        <item x="304"/>
        <item x="430"/>
        <item x="405"/>
        <item x="241"/>
        <item x="337"/>
        <item x="274"/>
        <item x="131"/>
        <item x="233"/>
        <item x="174"/>
        <item x="303"/>
        <item x="227"/>
        <item x="351"/>
        <item x="315"/>
        <item x="364"/>
        <item x="441"/>
        <item x="138"/>
        <item x="378"/>
        <item x="464"/>
        <item x="6"/>
        <item x="108"/>
        <item x="453"/>
        <item x="178"/>
        <item x="159"/>
        <item x="75"/>
        <item x="312"/>
        <item x="324"/>
        <item x="186"/>
        <item x="99"/>
        <item t="default"/>
      </items>
    </pivotField>
    <pivotField numFmtId="14" showAll="0"/>
    <pivotField numFmtId="14" showAll="0"/>
    <pivotField numFmtId="2" showAll="0"/>
    <pivotField numFmtId="2" showAll="0"/>
    <pivotField dataField="1" numFmtId="2" showAll="0"/>
    <pivotField showAll="0"/>
    <pivotField showAll="0"/>
    <pivotField showAll="0"/>
    <pivotField numFmtId="14" showAll="0">
      <items count="12">
        <item x="0"/>
        <item x="6"/>
        <item x="8"/>
        <item x="7"/>
        <item x="2"/>
        <item x="5"/>
        <item x="4"/>
        <item x="9"/>
        <item x="10"/>
        <item x="1"/>
        <item x="3"/>
        <item t="default"/>
      </items>
    </pivotField>
    <pivotField showAll="0">
      <items count="5">
        <item x="3"/>
        <item x="0"/>
        <item x="1"/>
        <item x="2"/>
        <item t="default"/>
      </items>
    </pivotField>
    <pivotField showAll="0">
      <items count="13">
        <item x="1"/>
        <item x="0"/>
        <item x="7"/>
        <item x="8"/>
        <item x="10"/>
        <item x="11"/>
        <item x="3"/>
        <item x="9"/>
        <item x="5"/>
        <item x="6"/>
        <item x="4"/>
        <item x="2"/>
        <item t="default"/>
      </items>
    </pivotField>
    <pivotField showAll="0"/>
    <pivotField showAll="0"/>
    <pivotField showAll="0">
      <items count="7">
        <item x="1"/>
        <item x="0"/>
        <item x="2"/>
        <item x="3"/>
        <item x="4"/>
        <item x="5"/>
        <item t="default"/>
      </items>
    </pivotField>
    <pivotField showAll="0">
      <items count="17">
        <item x="3"/>
        <item x="11"/>
        <item x="14"/>
        <item x="9"/>
        <item x="7"/>
        <item x="0"/>
        <item x="2"/>
        <item x="8"/>
        <item x="13"/>
        <item x="10"/>
        <item x="12"/>
        <item x="5"/>
        <item x="1"/>
        <item x="6"/>
        <item x="4"/>
        <item x="15"/>
        <item t="default"/>
      </items>
    </pivotField>
    <pivotField showAll="0"/>
    <pivotField showAll="0">
      <items count="8">
        <item x="4"/>
        <item x="6"/>
        <item x="3"/>
        <item x="1"/>
        <item x="2"/>
        <item x="5"/>
        <item x="0"/>
        <item t="default"/>
      </items>
    </pivotField>
    <pivotField showAll="0">
      <items count="631">
        <item x="36"/>
        <item x="255"/>
        <item x="471"/>
        <item x="219"/>
        <item x="551"/>
        <item x="251"/>
        <item x="184"/>
        <item x="618"/>
        <item x="570"/>
        <item x="260"/>
        <item x="520"/>
        <item x="600"/>
        <item x="88"/>
        <item x="192"/>
        <item x="512"/>
        <item x="244"/>
        <item x="481"/>
        <item x="496"/>
        <item x="41"/>
        <item x="98"/>
        <item x="100"/>
        <item x="206"/>
        <item x="10"/>
        <item x="494"/>
        <item x="591"/>
        <item x="125"/>
        <item x="552"/>
        <item x="280"/>
        <item x="601"/>
        <item x="523"/>
        <item x="171"/>
        <item x="78"/>
        <item x="316"/>
        <item x="91"/>
        <item x="576"/>
        <item x="232"/>
        <item x="317"/>
        <item x="47"/>
        <item x="464"/>
        <item x="81"/>
        <item x="6"/>
        <item x="586"/>
        <item x="166"/>
        <item x="48"/>
        <item x="612"/>
        <item x="157"/>
        <item x="272"/>
        <item x="547"/>
        <item x="295"/>
        <item x="596"/>
        <item x="5"/>
        <item x="597"/>
        <item x="387"/>
        <item x="40"/>
        <item x="37"/>
        <item x="64"/>
        <item x="74"/>
        <item x="343"/>
        <item x="433"/>
        <item x="194"/>
        <item x="172"/>
        <item x="104"/>
        <item x="262"/>
        <item x="614"/>
        <item x="454"/>
        <item x="120"/>
        <item x="139"/>
        <item x="483"/>
        <item x="70"/>
        <item x="566"/>
        <item x="249"/>
        <item x="443"/>
        <item x="335"/>
        <item x="342"/>
        <item x="66"/>
        <item x="405"/>
        <item x="83"/>
        <item x="306"/>
        <item x="362"/>
        <item x="595"/>
        <item x="457"/>
        <item x="8"/>
        <item x="269"/>
        <item x="147"/>
        <item x="54"/>
        <item x="626"/>
        <item x="96"/>
        <item x="158"/>
        <item x="446"/>
        <item x="628"/>
        <item x="60"/>
        <item x="435"/>
        <item x="592"/>
        <item x="24"/>
        <item x="533"/>
        <item x="13"/>
        <item x="278"/>
        <item x="553"/>
        <item x="95"/>
        <item x="396"/>
        <item x="352"/>
        <item x="303"/>
        <item x="35"/>
        <item x="86"/>
        <item x="484"/>
        <item x="136"/>
        <item x="263"/>
        <item x="220"/>
        <item x="602"/>
        <item x="463"/>
        <item x="300"/>
        <item x="275"/>
        <item x="541"/>
        <item x="604"/>
        <item x="397"/>
        <item x="511"/>
        <item x="476"/>
        <item x="495"/>
        <item x="467"/>
        <item x="135"/>
        <item x="114"/>
        <item x="61"/>
        <item x="546"/>
        <item x="386"/>
        <item x="336"/>
        <item x="63"/>
        <item x="49"/>
        <item x="620"/>
        <item x="229"/>
        <item x="17"/>
        <item x="374"/>
        <item x="18"/>
        <item x="415"/>
        <item x="502"/>
        <item x="408"/>
        <item x="375"/>
        <item x="416"/>
        <item x="73"/>
        <item x="625"/>
        <item x="57"/>
        <item x="267"/>
        <item x="195"/>
        <item x="537"/>
        <item x="579"/>
        <item x="59"/>
        <item x="106"/>
        <item x="226"/>
        <item x="314"/>
        <item x="210"/>
        <item x="403"/>
        <item x="382"/>
        <item x="79"/>
        <item x="400"/>
        <item x="318"/>
        <item x="608"/>
        <item x="414"/>
        <item x="148"/>
        <item x="380"/>
        <item x="615"/>
        <item x="149"/>
        <item x="52"/>
        <item x="196"/>
        <item x="407"/>
        <item x="340"/>
        <item x="559"/>
        <item x="344"/>
        <item x="487"/>
        <item x="15"/>
        <item x="297"/>
        <item x="506"/>
        <item x="118"/>
        <item x="140"/>
        <item x="517"/>
        <item x="385"/>
        <item x="355"/>
        <item x="14"/>
        <item x="236"/>
        <item x="479"/>
        <item x="155"/>
        <item x="580"/>
        <item x="423"/>
        <item x="607"/>
        <item x="22"/>
        <item x="560"/>
        <item x="29"/>
        <item x="378"/>
        <item x="442"/>
        <item x="156"/>
        <item x="65"/>
        <item x="393"/>
        <item x="209"/>
        <item x="326"/>
        <item x="371"/>
        <item x="609"/>
        <item x="534"/>
        <item x="190"/>
        <item x="227"/>
        <item x="113"/>
        <item x="372"/>
        <item x="4"/>
        <item x="230"/>
        <item x="213"/>
        <item x="167"/>
        <item x="34"/>
        <item x="373"/>
        <item x="426"/>
        <item x="556"/>
        <item x="159"/>
        <item x="509"/>
        <item x="3"/>
        <item x="568"/>
        <item x="406"/>
        <item x="58"/>
        <item x="164"/>
        <item x="144"/>
        <item x="214"/>
        <item x="311"/>
        <item x="138"/>
        <item x="430"/>
        <item x="211"/>
        <item x="470"/>
        <item x="334"/>
        <item x="245"/>
        <item x="93"/>
        <item x="419"/>
        <item x="427"/>
        <item x="354"/>
        <item x="469"/>
        <item x="305"/>
        <item x="436"/>
        <item x="152"/>
        <item x="84"/>
        <item x="9"/>
        <item x="122"/>
        <item x="224"/>
        <item x="567"/>
        <item x="308"/>
        <item x="175"/>
        <item x="131"/>
        <item x="473"/>
        <item x="165"/>
        <item x="143"/>
        <item x="179"/>
        <item x="589"/>
        <item x="532"/>
        <item x="103"/>
        <item x="268"/>
        <item x="233"/>
        <item x="87"/>
        <item x="240"/>
        <item x="539"/>
        <item x="132"/>
        <item x="56"/>
        <item x="383"/>
        <item x="112"/>
        <item x="32"/>
        <item x="327"/>
        <item x="507"/>
        <item x="437"/>
        <item x="161"/>
        <item x="94"/>
        <item x="346"/>
        <item x="381"/>
        <item x="325"/>
        <item x="542"/>
        <item x="561"/>
        <item x="205"/>
        <item x="324"/>
        <item x="603"/>
        <item x="486"/>
        <item x="330"/>
        <item x="401"/>
        <item x="493"/>
        <item x="117"/>
        <item x="31"/>
        <item x="99"/>
        <item x="216"/>
        <item x="1"/>
        <item x="102"/>
        <item x="12"/>
        <item x="391"/>
        <item x="134"/>
        <item x="424"/>
        <item x="264"/>
        <item x="25"/>
        <item x="588"/>
        <item x="521"/>
        <item x="571"/>
        <item x="554"/>
        <item x="610"/>
        <item x="445"/>
        <item x="291"/>
        <item x="361"/>
        <item x="392"/>
        <item x="444"/>
        <item x="526"/>
        <item x="71"/>
        <item x="202"/>
        <item x="289"/>
        <item x="515"/>
        <item x="461"/>
        <item x="358"/>
        <item x="345"/>
        <item x="329"/>
        <item x="429"/>
        <item x="237"/>
        <item x="101"/>
        <item x="452"/>
        <item x="187"/>
        <item x="217"/>
        <item x="123"/>
        <item x="367"/>
        <item x="315"/>
        <item x="412"/>
        <item x="270"/>
        <item x="338"/>
        <item x="462"/>
        <item x="293"/>
        <item x="198"/>
        <item x="451"/>
        <item x="312"/>
        <item x="585"/>
        <item x="544"/>
        <item x="417"/>
        <item x="390"/>
        <item x="613"/>
        <item x="173"/>
        <item x="298"/>
        <item x="350"/>
        <item x="428"/>
        <item x="188"/>
        <item x="458"/>
        <item x="254"/>
        <item x="629"/>
        <item x="389"/>
        <item x="261"/>
        <item x="394"/>
        <item x="353"/>
        <item x="76"/>
        <item x="44"/>
        <item x="162"/>
        <item x="282"/>
        <item x="522"/>
        <item x="119"/>
        <item x="225"/>
        <item x="440"/>
        <item x="51"/>
        <item x="565"/>
        <item x="557"/>
        <item x="516"/>
        <item x="39"/>
        <item x="247"/>
        <item x="497"/>
        <item x="108"/>
        <item x="292"/>
        <item x="294"/>
        <item x="21"/>
        <item x="619"/>
        <item x="491"/>
        <item x="55"/>
        <item x="182"/>
        <item x="110"/>
        <item x="563"/>
        <item x="2"/>
        <item x="130"/>
        <item x="271"/>
        <item x="370"/>
        <item x="231"/>
        <item x="287"/>
        <item x="193"/>
        <item x="395"/>
        <item x="503"/>
        <item x="413"/>
        <item x="115"/>
        <item x="50"/>
        <item x="133"/>
        <item x="274"/>
        <item x="323"/>
        <item x="369"/>
        <item x="384"/>
        <item x="490"/>
        <item x="288"/>
        <item x="351"/>
        <item x="124"/>
        <item x="488"/>
        <item x="273"/>
        <item x="377"/>
        <item x="379"/>
        <item x="337"/>
        <item x="178"/>
        <item x="543"/>
        <item x="573"/>
        <item x="404"/>
        <item x="23"/>
        <item x="550"/>
        <item x="20"/>
        <item x="89"/>
        <item x="26"/>
        <item x="151"/>
        <item x="527"/>
        <item x="204"/>
        <item x="441"/>
        <item x="199"/>
        <item x="307"/>
        <item x="482"/>
        <item x="126"/>
        <item x="575"/>
        <item x="285"/>
        <item x="376"/>
        <item x="368"/>
        <item x="499"/>
        <item x="510"/>
        <item x="221"/>
        <item x="388"/>
        <item x="504"/>
        <item x="359"/>
        <item x="606"/>
        <item x="281"/>
        <item x="215"/>
        <item x="283"/>
        <item x="239"/>
        <item x="67"/>
        <item x="321"/>
        <item x="574"/>
        <item x="347"/>
        <item x="449"/>
        <item x="439"/>
        <item x="80"/>
        <item x="250"/>
        <item x="256"/>
        <item x="438"/>
        <item x="43"/>
        <item x="299"/>
        <item x="27"/>
        <item x="538"/>
        <item x="116"/>
        <item x="422"/>
        <item x="45"/>
        <item x="85"/>
        <item x="447"/>
        <item x="180"/>
        <item x="228"/>
        <item x="253"/>
        <item x="186"/>
        <item x="349"/>
        <item x="623"/>
        <item x="399"/>
        <item x="170"/>
        <item x="498"/>
        <item x="508"/>
        <item x="191"/>
        <item x="460"/>
        <item x="584"/>
        <item x="207"/>
        <item x="465"/>
        <item x="259"/>
        <item x="212"/>
        <item x="153"/>
        <item x="328"/>
        <item x="181"/>
        <item x="531"/>
        <item x="145"/>
        <item x="366"/>
        <item x="332"/>
        <item x="242"/>
        <item x="203"/>
        <item x="154"/>
        <item x="627"/>
        <item x="489"/>
        <item x="90"/>
        <item x="301"/>
        <item x="234"/>
        <item x="111"/>
        <item x="38"/>
        <item x="530"/>
        <item x="505"/>
        <item x="528"/>
        <item x="420"/>
        <item x="616"/>
        <item x="331"/>
        <item x="459"/>
        <item x="341"/>
        <item x="284"/>
        <item x="313"/>
        <item x="121"/>
        <item x="309"/>
        <item x="142"/>
        <item x="582"/>
        <item x="621"/>
        <item x="555"/>
        <item x="174"/>
        <item x="257"/>
        <item x="472"/>
        <item x="160"/>
        <item x="577"/>
        <item x="356"/>
        <item x="46"/>
        <item x="279"/>
        <item x="448"/>
        <item x="425"/>
        <item x="201"/>
        <item x="62"/>
        <item x="82"/>
        <item x="177"/>
        <item x="501"/>
        <item x="421"/>
        <item x="28"/>
        <item x="480"/>
        <item x="223"/>
        <item x="252"/>
        <item x="410"/>
        <item x="364"/>
        <item x="587"/>
        <item x="402"/>
        <item x="363"/>
        <item x="450"/>
        <item x="418"/>
        <item x="398"/>
        <item x="68"/>
        <item x="562"/>
        <item x="11"/>
        <item x="624"/>
        <item x="432"/>
        <item x="466"/>
        <item x="456"/>
        <item x="129"/>
        <item x="475"/>
        <item x="513"/>
        <item x="208"/>
        <item x="137"/>
        <item x="590"/>
        <item x="72"/>
        <item x="200"/>
        <item x="235"/>
        <item x="474"/>
        <item x="302"/>
        <item x="107"/>
        <item x="97"/>
        <item x="611"/>
        <item x="197"/>
        <item x="360"/>
        <item x="434"/>
        <item x="53"/>
        <item x="33"/>
        <item x="0"/>
        <item x="241"/>
        <item x="222"/>
        <item x="238"/>
        <item x="524"/>
        <item x="77"/>
        <item x="266"/>
        <item x="492"/>
        <item x="431"/>
        <item x="218"/>
        <item x="500"/>
        <item x="598"/>
        <item x="243"/>
        <item x="105"/>
        <item x="258"/>
        <item x="622"/>
        <item x="69"/>
        <item x="468"/>
        <item x="549"/>
        <item x="572"/>
        <item x="514"/>
        <item x="128"/>
        <item x="265"/>
        <item x="150"/>
        <item x="42"/>
        <item x="529"/>
        <item x="605"/>
        <item x="411"/>
        <item x="322"/>
        <item x="319"/>
        <item x="348"/>
        <item x="286"/>
        <item x="189"/>
        <item x="564"/>
        <item x="92"/>
        <item x="599"/>
        <item x="127"/>
        <item x="248"/>
        <item x="545"/>
        <item x="525"/>
        <item x="569"/>
        <item x="75"/>
        <item x="617"/>
        <item x="7"/>
        <item x="333"/>
        <item x="163"/>
        <item x="30"/>
        <item x="558"/>
        <item x="168"/>
        <item x="109"/>
        <item x="339"/>
        <item x="277"/>
        <item x="593"/>
        <item x="578"/>
        <item x="594"/>
        <item x="540"/>
        <item x="453"/>
        <item x="310"/>
        <item x="357"/>
        <item x="276"/>
        <item x="477"/>
        <item x="296"/>
        <item x="246"/>
        <item x="535"/>
        <item x="478"/>
        <item x="16"/>
        <item x="519"/>
        <item x="365"/>
        <item x="146"/>
        <item x="581"/>
        <item x="185"/>
        <item x="290"/>
        <item x="455"/>
        <item x="169"/>
        <item x="19"/>
        <item x="536"/>
        <item x="183"/>
        <item x="583"/>
        <item x="176"/>
        <item x="141"/>
        <item x="518"/>
        <item x="485"/>
        <item x="304"/>
        <item x="548"/>
        <item x="409"/>
        <item x="320"/>
        <item t="default"/>
      </items>
    </pivotField>
    <pivotField numFmtId="2" showAll="0"/>
    <pivotField numFmtId="2" showAll="0"/>
    <pivotField numFmtId="2" showAll="0"/>
    <pivotField numFmtId="2" showAll="0"/>
    <pivotField numFmtId="2" showAll="0"/>
    <pivotField numFmtId="165" showAll="0"/>
    <pivotField numFmtId="165" showAll="0"/>
    <pivotField showAll="0"/>
    <pivotField numFmtId="165"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OnTimeFlag" fld="6"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C767D6-CBDE-4C93-B95C-B853AF7A2C9D}" sourceName="Region">
  <pivotTables>
    <pivotTable tabId="20" name="PivotTable11"/>
    <pivotTable tabId="20" name="PivotTable12"/>
    <pivotTable tabId="20" name="PivotTable13"/>
    <pivotTable tabId="20" name="PivotTable14"/>
    <pivotTable tabId="20" name="PivotTable2"/>
    <pivotTable tabId="20" name="PivotTable3"/>
    <pivotTable tabId="20" name="PivotTable5"/>
    <pivotTable tabId="14" name="PivotTable2"/>
    <pivotTable tabId="14" name="PivotTable3"/>
    <pivotTable tabId="7" name="PivotTable1"/>
    <pivotTable tabId="12" name="PivotTable3"/>
    <pivotTable tabId="12" name="PivotTable4"/>
    <pivotTable tabId="16" name="PivotTable4"/>
    <pivotTable tabId="16" name="PivotTable9"/>
    <pivotTable tabId="10" name="PivotTable4"/>
    <pivotTable tabId="13" name="PivotTable5"/>
    <pivotTable tabId="13" name="PivotTable6"/>
  </pivotTables>
  <data>
    <tabular pivotCacheId="58770980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7501BB-82D9-4CE5-A957-90E2AFD4F7A2}" sourceName="Country">
  <pivotTables>
    <pivotTable tabId="20" name="PivotTable11"/>
    <pivotTable tabId="14" name="PivotTable2"/>
    <pivotTable tabId="14" name="PivotTable3"/>
    <pivotTable tabId="7" name="PivotTable1"/>
    <pivotTable tabId="12" name="PivotTable3"/>
    <pivotTable tabId="12" name="PivotTable4"/>
    <pivotTable tabId="20" name="PivotTable12"/>
    <pivotTable tabId="20" name="PivotTable13"/>
    <pivotTable tabId="20" name="PivotTable14"/>
    <pivotTable tabId="20" name="PivotTable2"/>
    <pivotTable tabId="20" name="PivotTable3"/>
    <pivotTable tabId="20" name="PivotTable5"/>
    <pivotTable tabId="16" name="PivotTable4"/>
    <pivotTable tabId="16" name="PivotTable9"/>
    <pivotTable tabId="10" name="PivotTable4"/>
    <pivotTable tabId="13" name="PivotTable5"/>
    <pivotTable tabId="13" name="PivotTable6"/>
  </pivotTables>
  <data>
    <tabular pivotCacheId="587709801">
      <items count="12">
        <i x="1" s="1"/>
        <i x="0" s="1"/>
        <i x="7" s="1"/>
        <i x="8" s="1"/>
        <i x="10" s="1"/>
        <i x="11" s="1"/>
        <i x="3" s="1"/>
        <i x="9" s="1"/>
        <i x="5" s="1"/>
        <i x="6"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C0161E1-F710-4483-BF26-D4A23CCAF425}" sourceName="Channel">
  <pivotTables>
    <pivotTable tabId="20" name="PivotTable11"/>
    <pivotTable tabId="14" name="PivotTable2"/>
    <pivotTable tabId="14" name="PivotTable3"/>
    <pivotTable tabId="7" name="PivotTable1"/>
    <pivotTable tabId="12" name="PivotTable3"/>
    <pivotTable tabId="12" name="PivotTable4"/>
    <pivotTable tabId="20" name="PivotTable13"/>
    <pivotTable tabId="20" name="PivotTable14"/>
    <pivotTable tabId="20" name="PivotTable2"/>
    <pivotTable tabId="20" name="PivotTable3"/>
    <pivotTable tabId="20" name="PivotTable5"/>
    <pivotTable tabId="16" name="PivotTable4"/>
    <pivotTable tabId="10" name="PivotTable4"/>
    <pivotTable tabId="13" name="PivotTable5"/>
    <pivotTable tabId="13" name="PivotTable6"/>
    <pivotTable tabId="20" name="PivotTable12"/>
    <pivotTable tabId="16" name="PivotTable9"/>
  </pivotTables>
  <data>
    <tabular pivotCacheId="587709801">
      <items count="6">
        <i x="1" s="1"/>
        <i x="0"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3B95F26-A005-4868-BD55-09576C91217B}" sourceName="ProductCategory">
  <pivotTables>
    <pivotTable tabId="20" name="PivotTable11"/>
    <pivotTable tabId="14" name="PivotTable2"/>
    <pivotTable tabId="14" name="PivotTable3"/>
    <pivotTable tabId="7" name="PivotTable1"/>
    <pivotTable tabId="12" name="PivotTable3"/>
    <pivotTable tabId="12" name="PivotTable4"/>
    <pivotTable tabId="20" name="PivotTable13"/>
    <pivotTable tabId="20" name="PivotTable14"/>
    <pivotTable tabId="20" name="PivotTable2"/>
    <pivotTable tabId="20" name="PivotTable3"/>
    <pivotTable tabId="20" name="PivotTable5"/>
    <pivotTable tabId="16" name="PivotTable4"/>
    <pivotTable tabId="16" name="PivotTable9"/>
    <pivotTable tabId="10" name="PivotTable4"/>
    <pivotTable tabId="13" name="PivotTable5"/>
    <pivotTable tabId="13" name="PivotTable6"/>
  </pivotTables>
  <data>
    <tabular pivotCacheId="587709801">
      <items count="7">
        <i x="4" s="1"/>
        <i x="6" s="1"/>
        <i x="3" s="1"/>
        <i x="1" s="1"/>
        <i x="2"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6C32DC96-8E0E-4162-9FBC-1C35864B559D}" sourceName="Months (OrderDate)">
  <pivotTables>
    <pivotTable tabId="20" name="PivotTable11"/>
    <pivotTable tabId="14" name="PivotTable2"/>
    <pivotTable tabId="14" name="PivotTable3"/>
    <pivotTable tabId="7" name="PivotTable1"/>
    <pivotTable tabId="12" name="PivotTable3"/>
    <pivotTable tabId="12" name="PivotTable4"/>
    <pivotTable tabId="20" name="PivotTable12"/>
    <pivotTable tabId="20" name="PivotTable13"/>
    <pivotTable tabId="20" name="PivotTable14"/>
    <pivotTable tabId="20" name="PivotTable2"/>
    <pivotTable tabId="20" name="PivotTable3"/>
    <pivotTable tabId="20" name="PivotTable5"/>
    <pivotTable tabId="16" name="PivotTable4"/>
    <pivotTable tabId="16" name="PivotTable9"/>
    <pivotTable tabId="10" name="PivotTable4"/>
    <pivotTable tabId="13" name="PivotTable5"/>
    <pivotTable tabId="13" name="PivotTable6"/>
  </pivotTables>
  <data>
    <tabular pivotCacheId="58770980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2FA1DC9-0B7C-49D7-B1B5-1DF717C85EF9}" sourceName="Salesperson">
  <pivotTables>
    <pivotTable tabId="20" name="PivotTable11"/>
    <pivotTable tabId="14" name="PivotTable2"/>
    <pivotTable tabId="14" name="PivotTable3"/>
    <pivotTable tabId="7" name="PivotTable1"/>
    <pivotTable tabId="12" name="PivotTable3"/>
    <pivotTable tabId="12" name="PivotTable4"/>
    <pivotTable tabId="20" name="PivotTable12"/>
    <pivotTable tabId="20" name="PivotTable13"/>
    <pivotTable tabId="20" name="PivotTable14"/>
    <pivotTable tabId="20" name="PivotTable2"/>
    <pivotTable tabId="20" name="PivotTable3"/>
    <pivotTable tabId="20" name="PivotTable5"/>
    <pivotTable tabId="16" name="PivotTable4"/>
    <pivotTable tabId="16" name="PivotTable9"/>
    <pivotTable tabId="10" name="PivotTable4"/>
    <pivotTable tabId="13" name="PivotTable5"/>
    <pivotTable tabId="13" name="PivotTable6"/>
  </pivotTables>
  <data>
    <tabular pivotCacheId="587709801">
      <items count="16">
        <i x="3" s="1"/>
        <i x="11" s="1"/>
        <i x="14" s="1"/>
        <i x="9" s="1"/>
        <i x="7" s="1"/>
        <i x="0" s="1"/>
        <i x="2" s="1"/>
        <i x="8" s="1"/>
        <i x="13" s="1"/>
        <i x="10" s="1"/>
        <i x="12" s="1"/>
        <i x="5" s="1"/>
        <i x="1"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922AFC-BDFA-413B-9302-376A46E6FF1C}" cache="Slicer_Region" caption="Region" rowHeight="234950"/>
  <slicer name="Country" xr10:uid="{E5B114CB-14D1-4BD2-A430-1DC8C42A376F}" cache="Slicer_Country" caption="Country" rowHeight="234950"/>
  <slicer name="Channel" xr10:uid="{823942D9-920C-4B32-BD98-C38B58CDB551}" cache="Slicer_Channel" caption="Channel" rowHeight="234950"/>
  <slicer name="ProductCategory" xr10:uid="{27066A53-F85C-418B-B689-8B5CA105FCEB}" cache="Slicer_ProductCategory" caption="ProductCategory" rowHeight="234950"/>
  <slicer name="Months (OrderDate)" xr10:uid="{6598EAF1-A253-461F-AFDB-1202444B09A4}" cache="Slicer_Months__OrderDate" caption="Months (OrderDate)" rowHeight="234950"/>
  <slicer name="Salesperson" xr10:uid="{C92D606C-178A-495B-846F-739E298AE38E}"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D63F7E1-8B04-4200-8436-064A5F8BCB47}" cache="Slicer_Region" caption="Region" rowHeight="234950"/>
  <slicer name="Country 1" xr10:uid="{A96B2A81-426B-4AAF-80ED-B7E9AA6CABDB}" cache="Slicer_Country" caption="Country" rowHeight="234950"/>
  <slicer name="Channel 1" xr10:uid="{D730D8A3-E929-4032-AAEF-805F33D5E939}" cache="Slicer_Channel" caption="Channel" rowHeight="234950"/>
  <slicer name="ProductCategory 1" xr10:uid="{9A95333F-5EA8-4CB9-9490-C114C0632A9E}" cache="Slicer_ProductCategory" caption="ProductCategory" rowHeight="234950"/>
  <slicer name="Months (OrderDate) 1" xr10:uid="{D9DB4D4B-B407-4051-A6B3-3515C29CB926}" cache="Slicer_Months__OrderDate" caption="Months (OrderDate)" rowHeight="234950"/>
  <slicer name="Salesperson 1" xr10:uid="{5F3947FD-C38C-46E5-B869-A6E758D3A5DD}"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B7DDF4-82D8-44F2-9E13-6A8CF7360196}" name="Table1" displayName="Table1" ref="A1:AJ634" totalsRowCount="1" headerRowDxfId="58" dataDxfId="56" headerRowBorderDxfId="57" tableBorderDxfId="55" headerRowCellStyle="Percent" dataCellStyle="Percent">
  <autoFilter ref="A1:AJ633" xr:uid="{71B7DDF4-82D8-44F2-9E13-6A8CF7360196}"/>
  <tableColumns count="36">
    <tableColumn id="1" xr3:uid="{85B57834-D983-41F8-A583-282EC583594A}" name="OrderID" totalsRowDxfId="54"/>
    <tableColumn id="2" xr3:uid="{7F3342B4-5C38-4BB3-AACD-5F87E8E26B51}" name="OrderDate" dataDxfId="53" totalsRowDxfId="52"/>
    <tableColumn id="3" xr3:uid="{7783DB3B-68BB-4AAA-B378-216B598AEF52}" name="RequiredDate" dataDxfId="51" totalsRowDxfId="50"/>
    <tableColumn id="4" xr3:uid="{614CB985-B338-4563-9FDB-8AF0DEF6F246}" name="CorrectedRequiredDate" dataDxfId="49" totalsRowDxfId="48">
      <calculatedColumnFormula>IF(C2&lt;B2, B2+14, C2)</calculatedColumnFormula>
    </tableColumn>
    <tableColumn id="5" xr3:uid="{DA85E706-184F-43AC-BD20-41ABA39C7EC6}" name="LeadTimeDays" dataDxfId="47" totalsRowDxfId="46">
      <calculatedColumnFormula>C2-B2</calculatedColumnFormula>
    </tableColumn>
    <tableColumn id="6" xr3:uid="{8B3773F5-C1E8-4E7A-8541-D2D1B9DC6A33}" name="CorrectedLeadTimeDays" dataDxfId="45" totalsRowDxfId="44">
      <calculatedColumnFormula>D2-B2</calculatedColumnFormula>
    </tableColumn>
    <tableColumn id="29" xr3:uid="{3C4623D6-1604-4AA1-B26B-3394BDB78D85}" name="OnTimeFlag" dataDxfId="43" totalsRowDxfId="42">
      <calculatedColumnFormula>IF(Table1[[#This Row],[CorrectedLeadTimeDays]]&lt;=7, 1, 0)</calculatedColumnFormula>
    </tableColumn>
    <tableColumn id="7" xr3:uid="{24567FD5-C13C-47EC-8252-B763F3EBCDC7}" name="MonthOrderDate" dataDxfId="41" totalsRowDxfId="40">
      <calculatedColumnFormula>TEXT(B2, "mmmm")</calculatedColumnFormula>
    </tableColumn>
    <tableColumn id="8" xr3:uid="{55084B3E-C949-425A-A785-786C8A5105EF}" name="Quarter" dataDxfId="39" totalsRowDxfId="38">
      <calculatedColumnFormula>"Q"&amp;ROUNDUP(MONTH(B2)/3,0)&amp;"-"&amp;YEAR(B2)</calculatedColumnFormula>
    </tableColumn>
    <tableColumn id="9" xr3:uid="{CC95D8AD-8C4C-4053-AFE8-8523318BF225}" name="FirstYearMonth" dataDxfId="37" totalsRowDxfId="36">
      <calculatedColumnFormula>TEXT(K2, "yyyy-mm")</calculatedColumnFormula>
    </tableColumn>
    <tableColumn id="10" xr3:uid="{45A1E052-A3C4-4D90-8B0E-A2A9490A15FE}" name="CountryFirstMonth" dataDxfId="35" totalsRowDxfId="34">
      <calculatedColumnFormula>_xlfn.MINIFS($B:$B,$M:$M,M2)</calculatedColumnFormula>
    </tableColumn>
    <tableColumn id="11" xr3:uid="{5D641FF6-C827-4750-82A9-9CC3651C488A}" name="Region"/>
    <tableColumn id="12" xr3:uid="{EBE7E135-D251-4B9A-A593-88691D6DF5AA}" name="Country"/>
    <tableColumn id="13" xr3:uid="{D9D3B01A-E313-4A5B-A9C5-7D42654D3EB6}" name="City"/>
    <tableColumn id="14" xr3:uid="{DD57FEEE-B416-46B7-8B65-4F8800B6EE16}" name="CustomerSegment"/>
    <tableColumn id="15" xr3:uid="{13944955-5F40-469D-9529-8AD8A925C352}" name="Channel"/>
    <tableColumn id="16" xr3:uid="{4F45B208-45F2-469F-B081-DC3F1A83FB5E}" name="Salesperson"/>
    <tableColumn id="17" xr3:uid="{EDB2BB35-1EB8-47EE-8E8D-F3F248F39964}" name="MonthsSinceFirstSale">
      <calculatedColumnFormula>DATEDIF(K2,B2,"m")</calculatedColumnFormula>
    </tableColumn>
    <tableColumn id="18" xr3:uid="{7516D56F-E7F1-4C7C-8F14-D07CBDB59628}" name="ProductCategory"/>
    <tableColumn id="19" xr3:uid="{9CF7B863-5096-4F6E-BEB0-EA08FA2A1B2D}" name="SKU"/>
    <tableColumn id="20" xr3:uid="{E2C89545-FE9D-46F6-B62A-2BA297280831}" name="UnitCost" dataDxfId="33" totalsRowDxfId="32"/>
    <tableColumn id="33" xr3:uid="{D34ACE9E-105E-4144-851A-A8351601B539}" name="ScenarioUnitCost" dataDxfId="31" totalsRowDxfId="30">
      <calculatedColumnFormula>Table1[[#This Row],[UnitCost]]*(1+WhatIf!$B$3)</calculatedColumnFormula>
    </tableColumn>
    <tableColumn id="21" xr3:uid="{E61F9F10-09BA-42CA-A9FB-25D11F418715}" name="CostofGoods" dataDxfId="29" totalsRowDxfId="28">
      <calculatedColumnFormula>U2*AI2</calculatedColumnFormula>
    </tableColumn>
    <tableColumn id="35" xr3:uid="{C5FFF3E7-15EC-4DEA-A5A6-21F62AEFD47E}" name="ScenarioCostOfGoods" dataDxfId="27" totalsRowDxfId="26">
      <calculatedColumnFormula>Table1[[#This Row],[ScenarioRev]]-Table1[[#This Row],[ScenarioUnitCost]]</calculatedColumnFormula>
    </tableColumn>
    <tableColumn id="22" xr3:uid="{4D6BA099-4B33-4F01-970D-64D427366F2B}" name="UnitPrice" dataDxfId="25" totalsRowDxfId="24"/>
    <tableColumn id="23" xr3:uid="{A2414C9E-6A54-4F83-97D5-9897D1A998D2}" name="GrossRevenue" dataDxfId="23" totalsRowDxfId="22">
      <calculatedColumnFormula>Y2*AI2*(1-AD2)</calculatedColumnFormula>
    </tableColumn>
    <tableColumn id="34" xr3:uid="{F497331C-11D9-4667-87AC-1F3FBF5E6AC2}" name="ScenarioRev" dataDxfId="21" totalsRowDxfId="20">
      <calculatedColumnFormula>Table1[[#This Row],[ScenarioQuanity]]*Table1[[#This Row],[UnitPrice]]*(1-Table1[[#This Row],[ScenarioDiscPct]])</calculatedColumnFormula>
    </tableColumn>
    <tableColumn id="24" xr3:uid="{D1EFB254-5C7C-457F-B3A9-5927C1D80796}" name="GrossProfit" dataDxfId="19" totalsRowDxfId="18">
      <calculatedColumnFormula>Z2-W2</calculatedColumnFormula>
    </tableColumn>
    <tableColumn id="36" xr3:uid="{7701BB2B-61D4-4328-8B29-95BBB78E0653}" name="ScenarioProfit" dataDxfId="17" totalsRowDxfId="16">
      <calculatedColumnFormula>Table1[[#This Row],[ScenarioRev]] - Table1[[#This Row],[ScenarioCostOfGoods]]</calculatedColumnFormula>
    </tableColumn>
    <tableColumn id="25" xr3:uid="{851DAA71-8C01-4F5A-B3FB-69FE2A9E693E}" name="DiscountPct" dataDxfId="15" totalsRowDxfId="14" dataCellStyle="Percent" totalsRowCellStyle="Percent"/>
    <tableColumn id="31" xr3:uid="{7DAF1F4C-F619-48C1-B7CD-6833EE043CFE}" name="ScenarioDiscPct" dataDxfId="13" totalsRowDxfId="12" dataCellStyle="Percent" totalsRowCellStyle="Percent">
      <calculatedColumnFormula>MIN(Table1[[#This Row],[DiscountPct]], WhatIf!$B$2)</calculatedColumnFormula>
    </tableColumn>
    <tableColumn id="30" xr3:uid="{83805254-E3DB-483D-9583-345287EFC1AA}" name="HighDiscPct" dataDxfId="11" totalsRowDxfId="10" dataCellStyle="Percent" totalsRowCellStyle="Percent">
      <calculatedColumnFormula>IF(Table1[[#This Row],[DiscountPct]]&gt;0.2, 1, 0)</calculatedColumnFormula>
    </tableColumn>
    <tableColumn id="26" xr3:uid="{50B4F4CE-9192-48A3-B851-4ADCC7D64D10}" name="Priceband" dataDxfId="9" totalsRowDxfId="8" dataCellStyle="Percent" totalsRowCellStyle="Percent">
      <calculatedColumnFormula>IF(Y2&lt;=_xlfn.PERCENTILE.INC($Y:$Y,0.33),"Low",
 IF(D2&lt;=_xlfn.PERCENTILE.INC($Y:$Y,0.66),"Medium",
 "High"))</calculatedColumnFormula>
    </tableColumn>
    <tableColumn id="27" xr3:uid="{A0CF1CEA-5961-444C-9DE4-AED6E1F43466}" name="MarginPct" dataDxfId="7" totalsRowDxfId="6" dataCellStyle="Percent" totalsRowCellStyle="Percent">
      <calculatedColumnFormula>IF(Z2=0, 0, AB2/Z2)</calculatedColumnFormula>
    </tableColumn>
    <tableColumn id="28" xr3:uid="{F9F6796B-9201-4B85-B9A4-D5B9DDC8C199}" name="Quantity" dataDxfId="5" totalsRowDxfId="4"/>
    <tableColumn id="32" xr3:uid="{F0B3FDE0-0062-473E-9C86-C4B4A01731F6}" name="ScenarioQuanity" dataDxfId="3" totalsRowDxfId="2" dataCellStyle="Percent" totalsRowCellStyle="Percent">
      <calculatedColumnFormula>Table1[[#This Row],[Quantity]]*(1+WhatIf!$B$4)</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E107F9-D763-4F1D-840D-D6F6419C47EB}" name="Table2" displayName="Table2" ref="A1:C4" totalsRowShown="0" headerRowDxfId="1">
  <autoFilter ref="A1:C4" xr:uid="{BBE107F9-D763-4F1D-840D-D6F6419C47EB}"/>
  <tableColumns count="3">
    <tableColumn id="1" xr3:uid="{191A6694-E3A8-49EC-9281-11833B55F5B3}" name="Metric"/>
    <tableColumn id="2" xr3:uid="{FBC2D1F8-1D87-49C4-85CD-D8AA8BA85852}" name="Baseline "/>
    <tableColumn id="3" xr3:uid="{ACA0A60F-CDF3-4D5D-B29A-B8FBFE17729D}" name="Scenario"/>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microsoft.com/office/2007/relationships/slicer" Target="../slicers/slicer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N276" sqref="N276"/>
    </sheetView>
  </sheetViews>
  <sheetFormatPr defaultRowHeight="14.4" x14ac:dyDescent="0.3"/>
  <cols>
    <col min="1" max="1" width="16.109375" bestFit="1" customWidth="1"/>
    <col min="2" max="2" width="10.33203125" bestFit="1" customWidth="1"/>
    <col min="3" max="3" width="12.44140625" bestFit="1" customWidth="1"/>
    <col min="4" max="4" width="8.44140625" bestFit="1" customWidth="1"/>
    <col min="5" max="5" width="14" bestFit="1" customWidth="1"/>
    <col min="6" max="6" width="12.44140625" bestFit="1" customWidth="1"/>
    <col min="7" max="7" width="16.6640625" bestFit="1" customWidth="1"/>
    <col min="8" max="8" width="11.21875" bestFit="1" customWidth="1"/>
    <col min="9" max="9" width="11" bestFit="1" customWidth="1"/>
    <col min="10" max="10" width="15.33203125" bestFit="1" customWidth="1"/>
    <col min="11" max="11" width="10" bestFit="1" customWidth="1"/>
    <col min="12" max="12" width="8.21875" bestFit="1" customWidth="1"/>
    <col min="13" max="13" width="8.6640625" bestFit="1" customWidth="1"/>
    <col min="14" max="14" width="11" bestFit="1" customWidth="1"/>
    <col min="15" max="15" width="8.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autoFilter ref="A1:O63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20F0-2894-441E-B3A7-49C772FE6924}">
  <dimension ref="A1:AJ1048576"/>
  <sheetViews>
    <sheetView topLeftCell="W1" workbookViewId="0">
      <pane ySplit="1" topLeftCell="A624" activePane="bottomLeft" state="frozen"/>
      <selection activeCell="B1" sqref="B1"/>
      <selection pane="bottomLeft" activeCell="AH633" sqref="AH633"/>
    </sheetView>
  </sheetViews>
  <sheetFormatPr defaultRowHeight="14.4" x14ac:dyDescent="0.3"/>
  <cols>
    <col min="1" max="1" width="16.109375" bestFit="1" customWidth="1"/>
    <col min="2" max="2" width="14.109375" style="3" bestFit="1" customWidth="1"/>
    <col min="3" max="3" width="16.88671875" style="3" bestFit="1" customWidth="1"/>
    <col min="4" max="4" width="22.5546875" style="3" customWidth="1"/>
    <col min="5" max="5" width="16.88671875" style="3" customWidth="1"/>
    <col min="6" max="7" width="23.21875" style="3" customWidth="1"/>
    <col min="8" max="8" width="17.33203125" style="3" customWidth="1"/>
    <col min="9" max="10" width="16.88671875" style="3" customWidth="1"/>
    <col min="11" max="11" width="18.88671875" style="3" customWidth="1"/>
    <col min="12" max="12" width="11.21875" bestFit="1" customWidth="1"/>
    <col min="13" max="13" width="14" bestFit="1" customWidth="1"/>
    <col min="14" max="14" width="12.44140625" bestFit="1" customWidth="1"/>
    <col min="15" max="15" width="21.109375" bestFit="1" customWidth="1"/>
    <col min="16" max="16" width="12.33203125" bestFit="1" customWidth="1"/>
    <col min="17" max="17" width="15.44140625" bestFit="1" customWidth="1"/>
    <col min="18" max="18" width="20.77734375" customWidth="1"/>
    <col min="19" max="19" width="19.77734375" bestFit="1" customWidth="1"/>
    <col min="20" max="20" width="10" bestFit="1" customWidth="1"/>
    <col min="21" max="21" width="12.6640625" style="4" bestFit="1" customWidth="1"/>
    <col min="22" max="24" width="13.6640625" style="4" customWidth="1"/>
    <col min="25" max="25" width="13.109375" style="4" bestFit="1" customWidth="1"/>
    <col min="26" max="27" width="14.77734375" style="4" customWidth="1"/>
    <col min="28" max="29" width="13.109375" style="4" customWidth="1"/>
    <col min="30" max="30" width="15.44140625" style="6" bestFit="1" customWidth="1"/>
    <col min="31" max="34" width="15.44140625" style="6" customWidth="1"/>
    <col min="35" max="35" width="12.77734375" style="5" bestFit="1" customWidth="1"/>
    <col min="36" max="36" width="14.44140625" customWidth="1"/>
  </cols>
  <sheetData>
    <row r="1" spans="1:36" x14ac:dyDescent="0.3">
      <c r="A1" s="7" t="s">
        <v>0</v>
      </c>
      <c r="B1" s="8" t="s">
        <v>1</v>
      </c>
      <c r="C1" s="8" t="s">
        <v>2</v>
      </c>
      <c r="D1" s="8" t="s">
        <v>1430</v>
      </c>
      <c r="E1" s="8" t="s">
        <v>1428</v>
      </c>
      <c r="F1" s="8" t="s">
        <v>1429</v>
      </c>
      <c r="G1" s="8" t="s">
        <v>1465</v>
      </c>
      <c r="H1" s="8" t="s">
        <v>1435</v>
      </c>
      <c r="I1" s="8" t="s">
        <v>1436</v>
      </c>
      <c r="J1" s="8" t="s">
        <v>1443</v>
      </c>
      <c r="K1" s="8" t="s">
        <v>1442</v>
      </c>
      <c r="L1" s="7" t="s">
        <v>3</v>
      </c>
      <c r="M1" s="7" t="s">
        <v>4</v>
      </c>
      <c r="N1" s="7" t="s">
        <v>5</v>
      </c>
      <c r="O1" s="7" t="s">
        <v>6</v>
      </c>
      <c r="P1" s="7" t="s">
        <v>7</v>
      </c>
      <c r="Q1" s="7" t="s">
        <v>8</v>
      </c>
      <c r="R1" s="7" t="s">
        <v>1444</v>
      </c>
      <c r="S1" s="7" t="s">
        <v>9</v>
      </c>
      <c r="T1" s="7" t="s">
        <v>10</v>
      </c>
      <c r="U1" s="9" t="s">
        <v>11</v>
      </c>
      <c r="V1" s="9" t="s">
        <v>1486</v>
      </c>
      <c r="W1" s="9" t="s">
        <v>1432</v>
      </c>
      <c r="X1" s="9" t="s">
        <v>1488</v>
      </c>
      <c r="Y1" s="9" t="s">
        <v>12</v>
      </c>
      <c r="Z1" s="9" t="s">
        <v>1431</v>
      </c>
      <c r="AA1" s="9" t="s">
        <v>1487</v>
      </c>
      <c r="AB1" s="9" t="s">
        <v>1433</v>
      </c>
      <c r="AC1" s="9" t="s">
        <v>1489</v>
      </c>
      <c r="AD1" s="10" t="s">
        <v>13</v>
      </c>
      <c r="AE1" s="10" t="s">
        <v>1484</v>
      </c>
      <c r="AF1" s="10" t="s">
        <v>1468</v>
      </c>
      <c r="AG1" s="10" t="s">
        <v>1437</v>
      </c>
      <c r="AH1" s="10" t="s">
        <v>1434</v>
      </c>
      <c r="AI1" s="11" t="s">
        <v>14</v>
      </c>
      <c r="AJ1" s="10" t="s">
        <v>1485</v>
      </c>
    </row>
    <row r="2" spans="1:36" x14ac:dyDescent="0.3">
      <c r="A2" t="s">
        <v>571</v>
      </c>
      <c r="B2" s="3">
        <v>45791</v>
      </c>
      <c r="C2" s="3">
        <v>45789</v>
      </c>
      <c r="D2" s="3">
        <f>IF(C2&lt;B2, B2+14, C2)</f>
        <v>45805</v>
      </c>
      <c r="E2" s="4">
        <f t="shared" ref="E2:E65" si="0">C2-B2</f>
        <v>-2</v>
      </c>
      <c r="F2" s="4">
        <f>D2-B2</f>
        <v>14</v>
      </c>
      <c r="G2" s="4">
        <f>IF(Table1[[#This Row],[CorrectedLeadTimeDays]]&lt;=7, 1, 0)</f>
        <v>0</v>
      </c>
      <c r="H2" s="4" t="str">
        <f>TEXT(B2, "mmmm")</f>
        <v>May</v>
      </c>
      <c r="I2" s="4" t="str">
        <f>"Q"&amp;ROUNDUP(MONTH(B2)/3,0)&amp;"-"&amp;YEAR(B2)</f>
        <v>Q2-2025</v>
      </c>
      <c r="J2" s="4" t="str">
        <f>TEXT(K2, "yyyy-mm")</f>
        <v>2023-01</v>
      </c>
      <c r="K2" s="3">
        <f>_xlfn.MINIFS($B:$B,$M:$M,M2)</f>
        <v>44928</v>
      </c>
      <c r="L2" t="s">
        <v>648</v>
      </c>
      <c r="M2" t="s">
        <v>653</v>
      </c>
      <c r="N2" t="s">
        <v>688</v>
      </c>
      <c r="O2" t="s">
        <v>703</v>
      </c>
      <c r="P2" t="s">
        <v>710</v>
      </c>
      <c r="Q2" t="s">
        <v>721</v>
      </c>
      <c r="R2">
        <f>DATEDIF(K2,B2,"m")</f>
        <v>28</v>
      </c>
      <c r="S2" t="s">
        <v>728</v>
      </c>
      <c r="T2" t="s">
        <v>1289</v>
      </c>
      <c r="U2" s="4">
        <v>883.5</v>
      </c>
      <c r="V2" s="4">
        <f>Table1[[#This Row],[UnitCost]]*(1+WhatIf!$B$3)</f>
        <v>927.67500000000007</v>
      </c>
      <c r="W2" s="4">
        <f>U2*AI2</f>
        <v>23854.5</v>
      </c>
      <c r="X2" s="4">
        <f>Table1[[#This Row],[ScenarioRev]]-Table1[[#This Row],[ScenarioUnitCost]]</f>
        <v>54672.176142000004</v>
      </c>
      <c r="Y2" s="4">
        <v>1978.91</v>
      </c>
      <c r="Z2" s="4">
        <f>Y2*AI2*(1-AD2)</f>
        <v>50545.319219999998</v>
      </c>
      <c r="AA2" s="4">
        <f>Table1[[#This Row],[ScenarioQuanity]]*Table1[[#This Row],[UnitPrice]]*(1-Table1[[#This Row],[ScenarioDiscPct]])</f>
        <v>55599.851142000007</v>
      </c>
      <c r="AB2" s="4">
        <f>Z2-W2</f>
        <v>26690.819219999998</v>
      </c>
      <c r="AC2" s="4">
        <f>Table1[[#This Row],[ScenarioRev]] - Table1[[#This Row],[ScenarioCostOfGoods]]</f>
        <v>927.67500000000291</v>
      </c>
      <c r="AD2" s="6">
        <v>5.3999999999999999E-2</v>
      </c>
      <c r="AE2" s="6">
        <f>MIN(Table1[[#This Row],[DiscountPct]], WhatIf!$B$2)</f>
        <v>5.3999999999999999E-2</v>
      </c>
      <c r="AF2" s="6">
        <f>IF(Table1[[#This Row],[DiscountPct]]&gt;0.2, 1, 0)</f>
        <v>0</v>
      </c>
      <c r="AG2" s="6" t="str">
        <f>IF(Y2&lt;=_xlfn.PERCENTILE.INC($Y:$Y,0.33),"Low",
 IF(D2&lt;=_xlfn.PERCENTILE.INC($Y:$Y,0.66),"Medium",
 "High"))</f>
        <v>High</v>
      </c>
      <c r="AH2" s="6">
        <f>IF(Z2=0, 0, AB2/Z2)</f>
        <v>0.52805718970390547</v>
      </c>
      <c r="AI2" s="5">
        <v>27</v>
      </c>
      <c r="AJ2" s="6">
        <f>Table1[[#This Row],[Quantity]]*(1+WhatIf!$B$4)</f>
        <v>29.700000000000003</v>
      </c>
    </row>
    <row r="3" spans="1:36" x14ac:dyDescent="0.3">
      <c r="A3" t="s">
        <v>613</v>
      </c>
      <c r="B3" s="3">
        <v>45521</v>
      </c>
      <c r="C3" s="3">
        <v>45519</v>
      </c>
      <c r="D3" s="3">
        <f t="shared" ref="D3:D66" si="1">IF(C3&lt;B3, B3+14, C3)</f>
        <v>45535</v>
      </c>
      <c r="E3" s="4">
        <f t="shared" si="0"/>
        <v>-2</v>
      </c>
      <c r="F3" s="4">
        <f t="shared" ref="F3:F66" si="2">D3-B3</f>
        <v>14</v>
      </c>
      <c r="G3" s="4">
        <f>IF(Table1[[#This Row],[CorrectedLeadTimeDays]]&lt;=7, 1, 0)</f>
        <v>0</v>
      </c>
      <c r="H3" s="4" t="str">
        <f t="shared" ref="H3:H66" si="3">TEXT(B3, "mmmm")</f>
        <v>August</v>
      </c>
      <c r="I3" s="4" t="str">
        <f t="shared" ref="I3:I66" si="4">"Q"&amp;ROUNDUP(MONTH(B3)/3,0)&amp;"-"&amp;YEAR(B3)</f>
        <v>Q3-2024</v>
      </c>
      <c r="J3" s="4" t="str">
        <f t="shared" ref="J3:J66" si="5">TEXT(K3, "yyyy-mm")</f>
        <v>2023-01</v>
      </c>
      <c r="K3" s="3">
        <f t="shared" ref="K3:K66" si="6">_xlfn.MINIFS($B:$B,$M:$M,M3)</f>
        <v>44955</v>
      </c>
      <c r="L3" t="s">
        <v>648</v>
      </c>
      <c r="M3" t="s">
        <v>655</v>
      </c>
      <c r="N3" t="s">
        <v>692</v>
      </c>
      <c r="O3" t="s">
        <v>704</v>
      </c>
      <c r="P3" t="s">
        <v>711</v>
      </c>
      <c r="Q3" t="s">
        <v>724</v>
      </c>
      <c r="R3">
        <f t="shared" ref="R3:R66" si="7">DATEDIF(K3,B3,"m")</f>
        <v>18</v>
      </c>
      <c r="S3" t="s">
        <v>732</v>
      </c>
      <c r="T3" t="s">
        <v>1331</v>
      </c>
      <c r="U3" s="4">
        <v>165.3</v>
      </c>
      <c r="V3" s="4">
        <f>Table1[[#This Row],[UnitCost]]*(1+WhatIf!$B$3)</f>
        <v>173.56500000000003</v>
      </c>
      <c r="W3" s="4">
        <f t="shared" ref="W3:W66" si="8">U3*AI3</f>
        <v>4132.5</v>
      </c>
      <c r="X3" s="4">
        <f>Table1[[#This Row],[ScenarioRev]]-Table1[[#This Row],[ScenarioUnitCost]]</f>
        <v>6384.7914750000009</v>
      </c>
      <c r="Y3" s="4">
        <v>275.07</v>
      </c>
      <c r="Z3" s="4">
        <f t="shared" ref="Z3:Z66" si="9">Y3*AI3*(1-AD3)</f>
        <v>5962.1422499999999</v>
      </c>
      <c r="AA3" s="4">
        <f>Table1[[#This Row],[ScenarioQuanity]]*Table1[[#This Row],[UnitPrice]]*(1-Table1[[#This Row],[ScenarioDiscPct]])</f>
        <v>6558.3564750000005</v>
      </c>
      <c r="AB3" s="4">
        <f t="shared" ref="AB3:AB66" si="10">Z3-W3</f>
        <v>1829.6422499999999</v>
      </c>
      <c r="AC3" s="4">
        <f>Table1[[#This Row],[ScenarioRev]] - Table1[[#This Row],[ScenarioCostOfGoods]]</f>
        <v>173.5649999999996</v>
      </c>
      <c r="AD3" s="6">
        <v>0.13300000000000001</v>
      </c>
      <c r="AE3" s="6">
        <f>MIN(Table1[[#This Row],[DiscountPct]], WhatIf!$B$2)</f>
        <v>0.13300000000000001</v>
      </c>
      <c r="AF3" s="6">
        <f>IF(Table1[[#This Row],[DiscountPct]]&gt;0.2, 1, 0)</f>
        <v>0</v>
      </c>
      <c r="AG3" s="6" t="str">
        <f t="shared" ref="AG3:AG66" si="11">IF(Y3&lt;=_xlfn.PERCENTILE.INC($Y:$Y,0.33),"Low",
 IF(D3&lt;=_xlfn.PERCENTILE.INC($Y:$Y,0.66),"Medium",
 "High"))</f>
        <v>Low</v>
      </c>
      <c r="AH3" s="6">
        <f t="shared" ref="AH3:AH66" si="12">IF(Z3=0, 0, AB3/Z3)</f>
        <v>0.30687665159280625</v>
      </c>
      <c r="AI3" s="5">
        <v>25</v>
      </c>
      <c r="AJ3" s="6">
        <f>Table1[[#This Row],[Quantity]]*(1+WhatIf!$B$4)</f>
        <v>27.500000000000004</v>
      </c>
    </row>
    <row r="4" spans="1:36" x14ac:dyDescent="0.3">
      <c r="A4" t="s">
        <v>355</v>
      </c>
      <c r="B4" s="3">
        <v>45029</v>
      </c>
      <c r="C4" s="3">
        <v>45027</v>
      </c>
      <c r="D4" s="3">
        <f t="shared" si="1"/>
        <v>45043</v>
      </c>
      <c r="E4" s="4">
        <f t="shared" si="0"/>
        <v>-2</v>
      </c>
      <c r="F4" s="4">
        <f t="shared" si="2"/>
        <v>14</v>
      </c>
      <c r="G4" s="4">
        <f>IF(Table1[[#This Row],[CorrectedLeadTimeDays]]&lt;=7, 1, 0)</f>
        <v>0</v>
      </c>
      <c r="H4" s="4" t="str">
        <f t="shared" si="3"/>
        <v>April</v>
      </c>
      <c r="I4" s="4" t="str">
        <f t="shared" si="4"/>
        <v>Q2-2023</v>
      </c>
      <c r="J4" s="4" t="str">
        <f t="shared" si="5"/>
        <v>2023-01</v>
      </c>
      <c r="K4" s="3">
        <f t="shared" si="6"/>
        <v>44939</v>
      </c>
      <c r="L4" t="s">
        <v>648</v>
      </c>
      <c r="M4" t="s">
        <v>660</v>
      </c>
      <c r="N4" t="s">
        <v>686</v>
      </c>
      <c r="O4" t="s">
        <v>702</v>
      </c>
      <c r="P4" t="s">
        <v>709</v>
      </c>
      <c r="Q4" t="s">
        <v>715</v>
      </c>
      <c r="R4">
        <f t="shared" si="7"/>
        <v>3</v>
      </c>
      <c r="S4" t="s">
        <v>729</v>
      </c>
      <c r="T4" t="s">
        <v>1075</v>
      </c>
      <c r="U4" s="4">
        <v>32.1</v>
      </c>
      <c r="V4" s="4">
        <f>Table1[[#This Row],[UnitCost]]*(1+WhatIf!$B$3)</f>
        <v>33.705000000000005</v>
      </c>
      <c r="W4" s="4">
        <f t="shared" si="8"/>
        <v>706.2</v>
      </c>
      <c r="X4" s="4">
        <f>Table1[[#This Row],[ScenarioRev]]-Table1[[#This Row],[ScenarioUnitCost]]</f>
        <v>1333.1110000000001</v>
      </c>
      <c r="Y4" s="4">
        <v>70.599999999999994</v>
      </c>
      <c r="Z4" s="4">
        <f t="shared" si="9"/>
        <v>1115.1975999999997</v>
      </c>
      <c r="AA4" s="4">
        <f>Table1[[#This Row],[ScenarioQuanity]]*Table1[[#This Row],[UnitPrice]]*(1-Table1[[#This Row],[ScenarioDiscPct]])</f>
        <v>1366.816</v>
      </c>
      <c r="AB4" s="4">
        <f t="shared" si="10"/>
        <v>408.99759999999969</v>
      </c>
      <c r="AC4" s="4">
        <f>Table1[[#This Row],[ScenarioRev]] - Table1[[#This Row],[ScenarioCostOfGoods]]</f>
        <v>33.704999999999927</v>
      </c>
      <c r="AD4" s="6">
        <v>0.28199999999999997</v>
      </c>
      <c r="AE4" s="6">
        <f>MIN(Table1[[#This Row],[DiscountPct]], WhatIf!$B$2)</f>
        <v>0.2</v>
      </c>
      <c r="AF4" s="6">
        <f>IF(Table1[[#This Row],[DiscountPct]]&gt;0.2, 1, 0)</f>
        <v>1</v>
      </c>
      <c r="AG4" s="6" t="str">
        <f t="shared" si="11"/>
        <v>Low</v>
      </c>
      <c r="AH4" s="6">
        <f t="shared" si="12"/>
        <v>0.36674899587301818</v>
      </c>
      <c r="AI4" s="5">
        <v>22</v>
      </c>
      <c r="AJ4" s="6">
        <f>Table1[[#This Row],[Quantity]]*(1+WhatIf!$B$4)</f>
        <v>24.200000000000003</v>
      </c>
    </row>
    <row r="5" spans="1:36" x14ac:dyDescent="0.3">
      <c r="A5" t="s">
        <v>597</v>
      </c>
      <c r="B5" s="3">
        <v>45541</v>
      </c>
      <c r="C5" s="3">
        <v>45539</v>
      </c>
      <c r="D5" s="3">
        <f t="shared" si="1"/>
        <v>45555</v>
      </c>
      <c r="E5" s="4">
        <f t="shared" si="0"/>
        <v>-2</v>
      </c>
      <c r="F5" s="4">
        <f t="shared" si="2"/>
        <v>14</v>
      </c>
      <c r="G5" s="4">
        <f>IF(Table1[[#This Row],[CorrectedLeadTimeDays]]&lt;=7, 1, 0)</f>
        <v>0</v>
      </c>
      <c r="H5" s="4" t="str">
        <f t="shared" si="3"/>
        <v>September</v>
      </c>
      <c r="I5" s="4" t="str">
        <f t="shared" si="4"/>
        <v>Q3-2024</v>
      </c>
      <c r="J5" s="4" t="str">
        <f t="shared" si="5"/>
        <v>2023-03</v>
      </c>
      <c r="K5" s="3">
        <f t="shared" si="6"/>
        <v>44988</v>
      </c>
      <c r="L5" t="s">
        <v>647</v>
      </c>
      <c r="M5" t="s">
        <v>652</v>
      </c>
      <c r="N5" t="s">
        <v>666</v>
      </c>
      <c r="O5" t="s">
        <v>701</v>
      </c>
      <c r="P5" t="s">
        <v>711</v>
      </c>
      <c r="Q5" t="s">
        <v>720</v>
      </c>
      <c r="R5">
        <f t="shared" si="7"/>
        <v>18</v>
      </c>
      <c r="S5" t="s">
        <v>731</v>
      </c>
      <c r="T5" t="s">
        <v>1315</v>
      </c>
      <c r="U5" s="4">
        <v>1368.17</v>
      </c>
      <c r="V5" s="4">
        <f>Table1[[#This Row],[UnitCost]]*(1+WhatIf!$B$3)</f>
        <v>1436.5785000000001</v>
      </c>
      <c r="W5" s="4">
        <f t="shared" si="8"/>
        <v>28731.57</v>
      </c>
      <c r="X5" s="4">
        <f>Table1[[#This Row],[ScenarioRev]]-Table1[[#This Row],[ScenarioUnitCost]]</f>
        <v>43183.075424999995</v>
      </c>
      <c r="Y5" s="4">
        <v>2307.75</v>
      </c>
      <c r="Z5" s="4">
        <f t="shared" si="9"/>
        <v>40563.321749999996</v>
      </c>
      <c r="AA5" s="4">
        <f>Table1[[#This Row],[ScenarioQuanity]]*Table1[[#This Row],[UnitPrice]]*(1-Table1[[#This Row],[ScenarioDiscPct]])</f>
        <v>44619.653924999999</v>
      </c>
      <c r="AB5" s="4">
        <f t="shared" si="10"/>
        <v>11831.751749999996</v>
      </c>
      <c r="AC5" s="4">
        <f>Table1[[#This Row],[ScenarioRev]] - Table1[[#This Row],[ScenarioCostOfGoods]]</f>
        <v>1436.5785000000033</v>
      </c>
      <c r="AD5" s="6">
        <v>0.16300000000000001</v>
      </c>
      <c r="AE5" s="6">
        <f>MIN(Table1[[#This Row],[DiscountPct]], WhatIf!$B$2)</f>
        <v>0.16300000000000001</v>
      </c>
      <c r="AF5" s="6">
        <f>IF(Table1[[#This Row],[DiscountPct]]&gt;0.2, 1, 0)</f>
        <v>0</v>
      </c>
      <c r="AG5" s="6" t="str">
        <f t="shared" si="11"/>
        <v>High</v>
      </c>
      <c r="AH5" s="6">
        <f t="shared" si="12"/>
        <v>0.29168596750831921</v>
      </c>
      <c r="AI5" s="5">
        <v>21</v>
      </c>
      <c r="AJ5" s="6">
        <f>Table1[[#This Row],[Quantity]]*(1+WhatIf!$B$4)</f>
        <v>23.1</v>
      </c>
    </row>
    <row r="6" spans="1:36" x14ac:dyDescent="0.3">
      <c r="A6" t="s">
        <v>34</v>
      </c>
      <c r="B6" s="3">
        <v>45798</v>
      </c>
      <c r="C6" s="3">
        <v>45796</v>
      </c>
      <c r="D6" s="3">
        <f t="shared" si="1"/>
        <v>45812</v>
      </c>
      <c r="E6" s="4">
        <f t="shared" si="0"/>
        <v>-2</v>
      </c>
      <c r="F6" s="4">
        <f t="shared" si="2"/>
        <v>14</v>
      </c>
      <c r="G6" s="4">
        <f>IF(Table1[[#This Row],[CorrectedLeadTimeDays]]&lt;=7, 1, 0)</f>
        <v>0</v>
      </c>
      <c r="H6" s="4" t="str">
        <f t="shared" si="3"/>
        <v>May</v>
      </c>
      <c r="I6" s="4" t="str">
        <f t="shared" si="4"/>
        <v>Q2-2025</v>
      </c>
      <c r="J6" s="4" t="str">
        <f t="shared" si="5"/>
        <v>2023-01</v>
      </c>
      <c r="K6" s="3">
        <f t="shared" si="6"/>
        <v>44945</v>
      </c>
      <c r="L6" t="s">
        <v>649</v>
      </c>
      <c r="M6" t="s">
        <v>658</v>
      </c>
      <c r="N6" t="s">
        <v>674</v>
      </c>
      <c r="O6" t="s">
        <v>706</v>
      </c>
      <c r="P6" t="s">
        <v>708</v>
      </c>
      <c r="Q6" t="s">
        <v>724</v>
      </c>
      <c r="R6">
        <f t="shared" si="7"/>
        <v>28</v>
      </c>
      <c r="S6" t="s">
        <v>731</v>
      </c>
      <c r="T6" t="s">
        <v>753</v>
      </c>
      <c r="U6" s="4">
        <v>1015.16</v>
      </c>
      <c r="V6" s="4">
        <f>Table1[[#This Row],[UnitCost]]*(1+WhatIf!$B$3)</f>
        <v>1065.9180000000001</v>
      </c>
      <c r="W6" s="4">
        <f t="shared" si="8"/>
        <v>19288.04</v>
      </c>
      <c r="X6" s="4">
        <f>Table1[[#This Row],[ScenarioRev]]-Table1[[#This Row],[ScenarioUnitCost]]</f>
        <v>42124.155212000005</v>
      </c>
      <c r="Y6" s="4">
        <v>2148.14</v>
      </c>
      <c r="Z6" s="4">
        <f t="shared" si="9"/>
        <v>39263.702919999996</v>
      </c>
      <c r="AA6" s="4">
        <f>Table1[[#This Row],[ScenarioQuanity]]*Table1[[#This Row],[UnitPrice]]*(1-Table1[[#This Row],[ScenarioDiscPct]])</f>
        <v>43190.073212000003</v>
      </c>
      <c r="AB6" s="4">
        <f t="shared" si="10"/>
        <v>19975.662919999995</v>
      </c>
      <c r="AC6" s="4">
        <f>Table1[[#This Row],[ScenarioRev]] - Table1[[#This Row],[ScenarioCostOfGoods]]</f>
        <v>1065.9179999999978</v>
      </c>
      <c r="AD6" s="6">
        <v>3.7999999999999999E-2</v>
      </c>
      <c r="AE6" s="6">
        <f>MIN(Table1[[#This Row],[DiscountPct]], WhatIf!$B$2)</f>
        <v>3.7999999999999999E-2</v>
      </c>
      <c r="AF6" s="6">
        <f>IF(Table1[[#This Row],[DiscountPct]]&gt;0.2, 1, 0)</f>
        <v>0</v>
      </c>
      <c r="AG6" s="6" t="str">
        <f t="shared" si="11"/>
        <v>High</v>
      </c>
      <c r="AH6" s="6">
        <f t="shared" si="12"/>
        <v>0.50875647059322227</v>
      </c>
      <c r="AI6" s="5">
        <v>19</v>
      </c>
      <c r="AJ6" s="6">
        <f>Table1[[#This Row],[Quantity]]*(1+WhatIf!$B$4)</f>
        <v>20.900000000000002</v>
      </c>
    </row>
    <row r="7" spans="1:36" x14ac:dyDescent="0.3">
      <c r="A7" t="s">
        <v>112</v>
      </c>
      <c r="B7" s="3">
        <v>45440</v>
      </c>
      <c r="C7" s="3">
        <v>45438</v>
      </c>
      <c r="D7" s="3">
        <f t="shared" si="1"/>
        <v>45454</v>
      </c>
      <c r="E7" s="4">
        <f t="shared" si="0"/>
        <v>-2</v>
      </c>
      <c r="F7" s="4">
        <f t="shared" si="2"/>
        <v>14</v>
      </c>
      <c r="G7" s="4">
        <f>IF(Table1[[#This Row],[CorrectedLeadTimeDays]]&lt;=7, 1, 0)</f>
        <v>0</v>
      </c>
      <c r="H7" s="4" t="str">
        <f t="shared" si="3"/>
        <v>May</v>
      </c>
      <c r="I7" s="4" t="str">
        <f t="shared" si="4"/>
        <v>Q2-2024</v>
      </c>
      <c r="J7" s="4" t="str">
        <f t="shared" si="5"/>
        <v>2023-01</v>
      </c>
      <c r="K7" s="3">
        <f t="shared" si="6"/>
        <v>44941</v>
      </c>
      <c r="L7" t="s">
        <v>646</v>
      </c>
      <c r="M7" t="s">
        <v>651</v>
      </c>
      <c r="N7" t="s">
        <v>669</v>
      </c>
      <c r="O7" t="s">
        <v>706</v>
      </c>
      <c r="P7" t="s">
        <v>708</v>
      </c>
      <c r="Q7" t="s">
        <v>721</v>
      </c>
      <c r="R7">
        <f t="shared" si="7"/>
        <v>16</v>
      </c>
      <c r="S7" t="s">
        <v>733</v>
      </c>
      <c r="T7" t="s">
        <v>831</v>
      </c>
      <c r="U7" s="4">
        <v>1227.08</v>
      </c>
      <c r="V7" s="4">
        <f>Table1[[#This Row],[UnitCost]]*(1+WhatIf!$B$3)</f>
        <v>1288.434</v>
      </c>
      <c r="W7" s="4">
        <f t="shared" si="8"/>
        <v>22087.439999999999</v>
      </c>
      <c r="X7" s="4">
        <f>Table1[[#This Row],[ScenarioRev]]-Table1[[#This Row],[ScenarioUnitCost]]</f>
        <v>36264.642</v>
      </c>
      <c r="Y7" s="4">
        <v>1896.62</v>
      </c>
      <c r="Z7" s="4">
        <f t="shared" si="9"/>
        <v>34139.159999999996</v>
      </c>
      <c r="AA7" s="4">
        <f>Table1[[#This Row],[ScenarioQuanity]]*Table1[[#This Row],[UnitPrice]]*(1-Table1[[#This Row],[ScenarioDiscPct]])</f>
        <v>37553.076000000001</v>
      </c>
      <c r="AB7" s="4">
        <f t="shared" si="10"/>
        <v>12051.719999999998</v>
      </c>
      <c r="AC7" s="4">
        <f>Table1[[#This Row],[ScenarioRev]] - Table1[[#This Row],[ScenarioCostOfGoods]]</f>
        <v>1288.4340000000011</v>
      </c>
      <c r="AD7" s="6">
        <v>0</v>
      </c>
      <c r="AE7" s="6">
        <f>MIN(Table1[[#This Row],[DiscountPct]], WhatIf!$B$2)</f>
        <v>0</v>
      </c>
      <c r="AF7" s="6">
        <f>IF(Table1[[#This Row],[DiscountPct]]&gt;0.2, 1, 0)</f>
        <v>0</v>
      </c>
      <c r="AG7" s="6" t="str">
        <f t="shared" si="11"/>
        <v>High</v>
      </c>
      <c r="AH7" s="6">
        <f t="shared" si="12"/>
        <v>0.353017473189147</v>
      </c>
      <c r="AI7" s="5">
        <v>18</v>
      </c>
      <c r="AJ7" s="6">
        <f>Table1[[#This Row],[Quantity]]*(1+WhatIf!$B$4)</f>
        <v>19.8</v>
      </c>
    </row>
    <row r="8" spans="1:36" x14ac:dyDescent="0.3">
      <c r="A8" t="s">
        <v>304</v>
      </c>
      <c r="B8" s="3">
        <v>45897</v>
      </c>
      <c r="C8" s="3">
        <v>45895</v>
      </c>
      <c r="D8" s="3">
        <f t="shared" si="1"/>
        <v>45911</v>
      </c>
      <c r="E8" s="4">
        <f t="shared" si="0"/>
        <v>-2</v>
      </c>
      <c r="F8" s="4">
        <f t="shared" si="2"/>
        <v>14</v>
      </c>
      <c r="G8" s="4">
        <f>IF(Table1[[#This Row],[CorrectedLeadTimeDays]]&lt;=7, 1, 0)</f>
        <v>0</v>
      </c>
      <c r="H8" s="4" t="str">
        <f t="shared" si="3"/>
        <v>August</v>
      </c>
      <c r="I8" s="4" t="str">
        <f t="shared" si="4"/>
        <v>Q3-2025</v>
      </c>
      <c r="J8" s="4" t="str">
        <f t="shared" si="5"/>
        <v>2023-01</v>
      </c>
      <c r="K8" s="3">
        <f t="shared" si="6"/>
        <v>44941</v>
      </c>
      <c r="L8" t="s">
        <v>646</v>
      </c>
      <c r="M8" t="s">
        <v>651</v>
      </c>
      <c r="N8" t="s">
        <v>663</v>
      </c>
      <c r="O8" t="s">
        <v>705</v>
      </c>
      <c r="P8" t="s">
        <v>707</v>
      </c>
      <c r="Q8" t="s">
        <v>720</v>
      </c>
      <c r="R8">
        <f t="shared" si="7"/>
        <v>31</v>
      </c>
      <c r="S8" t="s">
        <v>733</v>
      </c>
      <c r="T8" t="s">
        <v>1024</v>
      </c>
      <c r="U8" s="4">
        <v>521.05999999999995</v>
      </c>
      <c r="V8" s="4">
        <f>Table1[[#This Row],[UnitCost]]*(1+WhatIf!$B$3)</f>
        <v>547.11299999999994</v>
      </c>
      <c r="W8" s="4">
        <f t="shared" si="8"/>
        <v>9379.0799999999981</v>
      </c>
      <c r="X8" s="4">
        <f>Table1[[#This Row],[ScenarioRev]]-Table1[[#This Row],[ScenarioUnitCost]]</f>
        <v>20425.536851999997</v>
      </c>
      <c r="Y8" s="4">
        <v>1240.31</v>
      </c>
      <c r="Z8" s="4">
        <f t="shared" si="9"/>
        <v>19066.045319999997</v>
      </c>
      <c r="AA8" s="4">
        <f>Table1[[#This Row],[ScenarioQuanity]]*Table1[[#This Row],[UnitPrice]]*(1-Table1[[#This Row],[ScenarioDiscPct]])</f>
        <v>20972.649851999999</v>
      </c>
      <c r="AB8" s="4">
        <f t="shared" si="10"/>
        <v>9686.9653199999993</v>
      </c>
      <c r="AC8" s="4">
        <f>Table1[[#This Row],[ScenarioRev]] - Table1[[#This Row],[ScenarioCostOfGoods]]</f>
        <v>547.11300000000119</v>
      </c>
      <c r="AD8" s="6">
        <v>0.14599999999999999</v>
      </c>
      <c r="AE8" s="6">
        <f>MIN(Table1[[#This Row],[DiscountPct]], WhatIf!$B$2)</f>
        <v>0.14599999999999999</v>
      </c>
      <c r="AF8" s="6">
        <f>IF(Table1[[#This Row],[DiscountPct]]&gt;0.2, 1, 0)</f>
        <v>0</v>
      </c>
      <c r="AG8" s="6" t="str">
        <f t="shared" si="11"/>
        <v>High</v>
      </c>
      <c r="AH8" s="6">
        <f t="shared" si="12"/>
        <v>0.50807417885650974</v>
      </c>
      <c r="AI8" s="5">
        <v>18</v>
      </c>
      <c r="AJ8" s="6">
        <f>Table1[[#This Row],[Quantity]]*(1+WhatIf!$B$4)</f>
        <v>19.8</v>
      </c>
    </row>
    <row r="9" spans="1:36" x14ac:dyDescent="0.3">
      <c r="A9" t="s">
        <v>22</v>
      </c>
      <c r="B9" s="3">
        <v>44941</v>
      </c>
      <c r="C9" s="3">
        <v>44939</v>
      </c>
      <c r="D9" s="3">
        <f t="shared" si="1"/>
        <v>44955</v>
      </c>
      <c r="E9" s="4">
        <f t="shared" si="0"/>
        <v>-2</v>
      </c>
      <c r="F9" s="4">
        <f t="shared" si="2"/>
        <v>14</v>
      </c>
      <c r="G9" s="4">
        <f>IF(Table1[[#This Row],[CorrectedLeadTimeDays]]&lt;=7, 1, 0)</f>
        <v>0</v>
      </c>
      <c r="H9" s="4" t="str">
        <f t="shared" si="3"/>
        <v>January</v>
      </c>
      <c r="I9" s="4" t="str">
        <f t="shared" si="4"/>
        <v>Q1-2023</v>
      </c>
      <c r="J9" s="4" t="str">
        <f t="shared" si="5"/>
        <v>2023-01</v>
      </c>
      <c r="K9" s="3">
        <f t="shared" si="6"/>
        <v>44941</v>
      </c>
      <c r="L9" t="s">
        <v>646</v>
      </c>
      <c r="M9" t="s">
        <v>651</v>
      </c>
      <c r="N9" t="s">
        <v>669</v>
      </c>
      <c r="O9" t="s">
        <v>702</v>
      </c>
      <c r="P9" t="s">
        <v>708</v>
      </c>
      <c r="Q9" t="s">
        <v>719</v>
      </c>
      <c r="R9">
        <f t="shared" si="7"/>
        <v>0</v>
      </c>
      <c r="S9" t="s">
        <v>728</v>
      </c>
      <c r="T9" t="s">
        <v>741</v>
      </c>
      <c r="U9" s="4">
        <v>28.38</v>
      </c>
      <c r="V9" s="4">
        <f>Table1[[#This Row],[UnitCost]]*(1+WhatIf!$B$3)</f>
        <v>29.798999999999999</v>
      </c>
      <c r="W9" s="4">
        <f t="shared" si="8"/>
        <v>510.84</v>
      </c>
      <c r="X9" s="4">
        <f>Table1[[#This Row],[ScenarioRev]]-Table1[[#This Row],[ScenarioUnitCost]]</f>
        <v>723.7755360000001</v>
      </c>
      <c r="Y9" s="4">
        <v>47.22</v>
      </c>
      <c r="Z9" s="4">
        <f t="shared" si="9"/>
        <v>685.06776000000002</v>
      </c>
      <c r="AA9" s="4">
        <f>Table1[[#This Row],[ScenarioQuanity]]*Table1[[#This Row],[UnitPrice]]*(1-Table1[[#This Row],[ScenarioDiscPct]])</f>
        <v>753.57453600000008</v>
      </c>
      <c r="AB9" s="4">
        <f t="shared" si="10"/>
        <v>174.22776000000005</v>
      </c>
      <c r="AC9" s="4">
        <f>Table1[[#This Row],[ScenarioRev]] - Table1[[#This Row],[ScenarioCostOfGoods]]</f>
        <v>29.798999999999978</v>
      </c>
      <c r="AD9" s="6">
        <v>0.19400000000000001</v>
      </c>
      <c r="AE9" s="6">
        <f>MIN(Table1[[#This Row],[DiscountPct]], WhatIf!$B$2)</f>
        <v>0.19400000000000001</v>
      </c>
      <c r="AF9" s="6">
        <f>IF(Table1[[#This Row],[DiscountPct]]&gt;0.2, 1, 0)</f>
        <v>0</v>
      </c>
      <c r="AG9" s="6" t="str">
        <f t="shared" si="11"/>
        <v>Low</v>
      </c>
      <c r="AH9" s="6">
        <f t="shared" si="12"/>
        <v>0.25432193743871417</v>
      </c>
      <c r="AI9" s="5">
        <v>18</v>
      </c>
      <c r="AJ9" s="6">
        <f>Table1[[#This Row],[Quantity]]*(1+WhatIf!$B$4)</f>
        <v>19.8</v>
      </c>
    </row>
    <row r="10" spans="1:36" x14ac:dyDescent="0.3">
      <c r="A10" t="s">
        <v>92</v>
      </c>
      <c r="B10" s="3">
        <v>45473</v>
      </c>
      <c r="C10" s="3">
        <v>45471</v>
      </c>
      <c r="D10" s="3">
        <f t="shared" si="1"/>
        <v>45487</v>
      </c>
      <c r="E10" s="4">
        <f t="shared" si="0"/>
        <v>-2</v>
      </c>
      <c r="F10" s="4">
        <f t="shared" si="2"/>
        <v>14</v>
      </c>
      <c r="G10" s="4">
        <f>IF(Table1[[#This Row],[CorrectedLeadTimeDays]]&lt;=7, 1, 0)</f>
        <v>0</v>
      </c>
      <c r="H10" s="4" t="str">
        <f t="shared" si="3"/>
        <v>June</v>
      </c>
      <c r="I10" s="4" t="str">
        <f t="shared" si="4"/>
        <v>Q2-2024</v>
      </c>
      <c r="J10" s="4" t="str">
        <f t="shared" si="5"/>
        <v>2023-01</v>
      </c>
      <c r="K10" s="3">
        <f t="shared" si="6"/>
        <v>44955</v>
      </c>
      <c r="L10" t="s">
        <v>648</v>
      </c>
      <c r="M10" t="s">
        <v>655</v>
      </c>
      <c r="N10" t="s">
        <v>692</v>
      </c>
      <c r="O10" t="s">
        <v>705</v>
      </c>
      <c r="P10" t="s">
        <v>711</v>
      </c>
      <c r="Q10" t="s">
        <v>716</v>
      </c>
      <c r="R10">
        <f t="shared" si="7"/>
        <v>17</v>
      </c>
      <c r="S10" t="s">
        <v>733</v>
      </c>
      <c r="T10" t="s">
        <v>811</v>
      </c>
      <c r="U10" s="4">
        <v>1112.98</v>
      </c>
      <c r="V10" s="4">
        <f>Table1[[#This Row],[UnitCost]]*(1+WhatIf!$B$3)</f>
        <v>1168.6290000000001</v>
      </c>
      <c r="W10" s="4">
        <f t="shared" si="8"/>
        <v>18920.66</v>
      </c>
      <c r="X10" s="4">
        <f>Table1[[#This Row],[ScenarioRev]]-Table1[[#This Row],[ScenarioUnitCost]]</f>
        <v>35199.831128000005</v>
      </c>
      <c r="Y10" s="4">
        <v>2095.73</v>
      </c>
      <c r="Z10" s="4">
        <f t="shared" si="9"/>
        <v>33062.236480000007</v>
      </c>
      <c r="AA10" s="4">
        <f>Table1[[#This Row],[ScenarioQuanity]]*Table1[[#This Row],[UnitPrice]]*(1-Table1[[#This Row],[ScenarioDiscPct]])</f>
        <v>36368.460128000006</v>
      </c>
      <c r="AB10" s="4">
        <f t="shared" si="10"/>
        <v>14141.576480000007</v>
      </c>
      <c r="AC10" s="4">
        <f>Table1[[#This Row],[ScenarioRev]] - Table1[[#This Row],[ScenarioCostOfGoods]]</f>
        <v>1168.6290000000008</v>
      </c>
      <c r="AD10" s="6">
        <v>7.1999999999999995E-2</v>
      </c>
      <c r="AE10" s="6">
        <f>MIN(Table1[[#This Row],[DiscountPct]], WhatIf!$B$2)</f>
        <v>7.1999999999999995E-2</v>
      </c>
      <c r="AF10" s="6">
        <f>IF(Table1[[#This Row],[DiscountPct]]&gt;0.2, 1, 0)</f>
        <v>0</v>
      </c>
      <c r="AG10" s="6" t="str">
        <f t="shared" si="11"/>
        <v>High</v>
      </c>
      <c r="AH10" s="6">
        <f t="shared" si="12"/>
        <v>0.42772594916724777</v>
      </c>
      <c r="AI10" s="5">
        <v>17</v>
      </c>
      <c r="AJ10" s="6">
        <f>Table1[[#This Row],[Quantity]]*(1+WhatIf!$B$4)</f>
        <v>18.700000000000003</v>
      </c>
    </row>
    <row r="11" spans="1:36" x14ac:dyDescent="0.3">
      <c r="A11" t="s">
        <v>188</v>
      </c>
      <c r="B11" s="3">
        <v>45798</v>
      </c>
      <c r="C11" s="3">
        <v>45796</v>
      </c>
      <c r="D11" s="3">
        <f t="shared" si="1"/>
        <v>45812</v>
      </c>
      <c r="E11" s="4">
        <f t="shared" si="0"/>
        <v>-2</v>
      </c>
      <c r="F11" s="4">
        <f t="shared" si="2"/>
        <v>14</v>
      </c>
      <c r="G11" s="4">
        <f>IF(Table1[[#This Row],[CorrectedLeadTimeDays]]&lt;=7, 1, 0)</f>
        <v>0</v>
      </c>
      <c r="H11" s="4" t="str">
        <f t="shared" si="3"/>
        <v>May</v>
      </c>
      <c r="I11" s="4" t="str">
        <f t="shared" si="4"/>
        <v>Q2-2025</v>
      </c>
      <c r="J11" s="4" t="str">
        <f t="shared" si="5"/>
        <v>2023-01</v>
      </c>
      <c r="K11" s="3">
        <f t="shared" si="6"/>
        <v>44933</v>
      </c>
      <c r="L11" t="s">
        <v>646</v>
      </c>
      <c r="M11" t="s">
        <v>661</v>
      </c>
      <c r="N11" t="s">
        <v>682</v>
      </c>
      <c r="O11" t="s">
        <v>703</v>
      </c>
      <c r="P11" t="s">
        <v>710</v>
      </c>
      <c r="Q11" t="s">
        <v>719</v>
      </c>
      <c r="R11">
        <f t="shared" si="7"/>
        <v>28</v>
      </c>
      <c r="S11" t="s">
        <v>731</v>
      </c>
      <c r="T11" t="s">
        <v>907</v>
      </c>
      <c r="U11" s="4">
        <v>1263.8399999999999</v>
      </c>
      <c r="V11" s="4">
        <f>Table1[[#This Row],[UnitCost]]*(1+WhatIf!$B$3)</f>
        <v>1327.0319999999999</v>
      </c>
      <c r="W11" s="4">
        <f t="shared" si="8"/>
        <v>18957.599999999999</v>
      </c>
      <c r="X11" s="4">
        <f>Table1[[#This Row],[ScenarioRev]]-Table1[[#This Row],[ScenarioUnitCost]]</f>
        <v>33384.774360000003</v>
      </c>
      <c r="Y11" s="4">
        <v>2281.7199999999998</v>
      </c>
      <c r="Z11" s="4">
        <f t="shared" si="9"/>
        <v>31556.187599999997</v>
      </c>
      <c r="AA11" s="4">
        <f>Table1[[#This Row],[ScenarioQuanity]]*Table1[[#This Row],[UnitPrice]]*(1-Table1[[#This Row],[ScenarioDiscPct]])</f>
        <v>34711.806360000002</v>
      </c>
      <c r="AB11" s="4">
        <f t="shared" si="10"/>
        <v>12598.587599999999</v>
      </c>
      <c r="AC11" s="4">
        <f>Table1[[#This Row],[ScenarioRev]] - Table1[[#This Row],[ScenarioCostOfGoods]]</f>
        <v>1327.0319999999992</v>
      </c>
      <c r="AD11" s="6">
        <v>7.8E-2</v>
      </c>
      <c r="AE11" s="6">
        <f>MIN(Table1[[#This Row],[DiscountPct]], WhatIf!$B$2)</f>
        <v>7.8E-2</v>
      </c>
      <c r="AF11" s="6">
        <f>IF(Table1[[#This Row],[DiscountPct]]&gt;0.2, 1, 0)</f>
        <v>0</v>
      </c>
      <c r="AG11" s="6" t="str">
        <f t="shared" si="11"/>
        <v>High</v>
      </c>
      <c r="AH11" s="6">
        <f t="shared" si="12"/>
        <v>0.39924301882398494</v>
      </c>
      <c r="AI11" s="5">
        <v>15</v>
      </c>
      <c r="AJ11" s="6">
        <f>Table1[[#This Row],[Quantity]]*(1+WhatIf!$B$4)</f>
        <v>16.5</v>
      </c>
    </row>
    <row r="12" spans="1:36" x14ac:dyDescent="0.3">
      <c r="A12" t="s">
        <v>326</v>
      </c>
      <c r="B12" s="3">
        <v>45101</v>
      </c>
      <c r="C12" s="3">
        <v>45099</v>
      </c>
      <c r="D12" s="3">
        <f t="shared" si="1"/>
        <v>45115</v>
      </c>
      <c r="E12" s="4">
        <f t="shared" si="0"/>
        <v>-2</v>
      </c>
      <c r="F12" s="4">
        <f t="shared" si="2"/>
        <v>14</v>
      </c>
      <c r="G12" s="4">
        <f>IF(Table1[[#This Row],[CorrectedLeadTimeDays]]&lt;=7, 1, 0)</f>
        <v>0</v>
      </c>
      <c r="H12" s="4" t="str">
        <f t="shared" si="3"/>
        <v>June</v>
      </c>
      <c r="I12" s="4" t="str">
        <f t="shared" si="4"/>
        <v>Q2-2023</v>
      </c>
      <c r="J12" s="4" t="str">
        <f t="shared" si="5"/>
        <v>2023-01</v>
      </c>
      <c r="K12" s="3">
        <f t="shared" si="6"/>
        <v>44928</v>
      </c>
      <c r="L12" t="s">
        <v>648</v>
      </c>
      <c r="M12" t="s">
        <v>653</v>
      </c>
      <c r="N12" t="s">
        <v>667</v>
      </c>
      <c r="O12" t="s">
        <v>703</v>
      </c>
      <c r="P12" t="s">
        <v>707</v>
      </c>
      <c r="Q12" t="s">
        <v>724</v>
      </c>
      <c r="R12">
        <f t="shared" si="7"/>
        <v>5</v>
      </c>
      <c r="S12" t="s">
        <v>733</v>
      </c>
      <c r="T12" t="s">
        <v>1046</v>
      </c>
      <c r="U12" s="4">
        <v>471.42</v>
      </c>
      <c r="V12" s="4">
        <f>Table1[[#This Row],[UnitCost]]*(1+WhatIf!$B$3)</f>
        <v>494.99100000000004</v>
      </c>
      <c r="W12" s="4">
        <f t="shared" si="8"/>
        <v>7071.3</v>
      </c>
      <c r="X12" s="4">
        <f>Table1[[#This Row],[ScenarioRev]]-Table1[[#This Row],[ScenarioUnitCost]]</f>
        <v>11916.749879999999</v>
      </c>
      <c r="Y12" s="4">
        <v>824.81</v>
      </c>
      <c r="Z12" s="4">
        <f t="shared" si="9"/>
        <v>11283.400799999999</v>
      </c>
      <c r="AA12" s="4">
        <f>Table1[[#This Row],[ScenarioQuanity]]*Table1[[#This Row],[UnitPrice]]*(1-Table1[[#This Row],[ScenarioDiscPct]])</f>
        <v>12411.740879999999</v>
      </c>
      <c r="AB12" s="4">
        <f t="shared" si="10"/>
        <v>4212.1007999999993</v>
      </c>
      <c r="AC12" s="4">
        <f>Table1[[#This Row],[ScenarioRev]] - Table1[[#This Row],[ScenarioCostOfGoods]]</f>
        <v>494.99099999999999</v>
      </c>
      <c r="AD12" s="6">
        <v>8.7999999999999995E-2</v>
      </c>
      <c r="AE12" s="6">
        <f>MIN(Table1[[#This Row],[DiscountPct]], WhatIf!$B$2)</f>
        <v>8.7999999999999995E-2</v>
      </c>
      <c r="AF12" s="6">
        <f>IF(Table1[[#This Row],[DiscountPct]]&gt;0.2, 1, 0)</f>
        <v>0</v>
      </c>
      <c r="AG12" s="6" t="str">
        <f t="shared" si="11"/>
        <v>High</v>
      </c>
      <c r="AH12" s="6">
        <f t="shared" si="12"/>
        <v>0.37330064531608231</v>
      </c>
      <c r="AI12" s="5">
        <v>15</v>
      </c>
      <c r="AJ12" s="6">
        <f>Table1[[#This Row],[Quantity]]*(1+WhatIf!$B$4)</f>
        <v>16.5</v>
      </c>
    </row>
    <row r="13" spans="1:36" x14ac:dyDescent="0.3">
      <c r="A13" t="s">
        <v>515</v>
      </c>
      <c r="B13" s="3">
        <v>45408</v>
      </c>
      <c r="C13" s="3">
        <v>45406</v>
      </c>
      <c r="D13" s="3">
        <f t="shared" si="1"/>
        <v>45422</v>
      </c>
      <c r="E13" s="4">
        <f t="shared" si="0"/>
        <v>-2</v>
      </c>
      <c r="F13" s="4">
        <f t="shared" si="2"/>
        <v>14</v>
      </c>
      <c r="G13" s="4">
        <f>IF(Table1[[#This Row],[CorrectedLeadTimeDays]]&lt;=7, 1, 0)</f>
        <v>0</v>
      </c>
      <c r="H13" s="4" t="str">
        <f t="shared" si="3"/>
        <v>April</v>
      </c>
      <c r="I13" s="4" t="str">
        <f t="shared" si="4"/>
        <v>Q2-2024</v>
      </c>
      <c r="J13" s="4" t="str">
        <f t="shared" si="5"/>
        <v>2023-01</v>
      </c>
      <c r="K13" s="3">
        <f t="shared" si="6"/>
        <v>44945</v>
      </c>
      <c r="L13" t="s">
        <v>649</v>
      </c>
      <c r="M13" t="s">
        <v>658</v>
      </c>
      <c r="N13" t="s">
        <v>683</v>
      </c>
      <c r="O13" t="s">
        <v>703</v>
      </c>
      <c r="P13" t="s">
        <v>710</v>
      </c>
      <c r="Q13" t="s">
        <v>725</v>
      </c>
      <c r="R13">
        <f t="shared" si="7"/>
        <v>15</v>
      </c>
      <c r="S13" t="s">
        <v>730</v>
      </c>
      <c r="T13" t="s">
        <v>1234</v>
      </c>
      <c r="U13" s="4">
        <v>1232.77</v>
      </c>
      <c r="V13" s="4">
        <f>Table1[[#This Row],[UnitCost]]*(1+WhatIf!$B$3)</f>
        <v>1294.4085</v>
      </c>
      <c r="W13" s="4">
        <f t="shared" si="8"/>
        <v>12327.7</v>
      </c>
      <c r="X13" s="4">
        <f>Table1[[#This Row],[ScenarioRev]]-Table1[[#This Row],[ScenarioUnitCost]]</f>
        <v>6876.5134899999994</v>
      </c>
      <c r="Y13" s="4">
        <v>891.73</v>
      </c>
      <c r="Z13" s="4">
        <f t="shared" si="9"/>
        <v>7428.1108999999988</v>
      </c>
      <c r="AA13" s="4">
        <f>Table1[[#This Row],[ScenarioQuanity]]*Table1[[#This Row],[UnitPrice]]*(1-Table1[[#This Row],[ScenarioDiscPct]])</f>
        <v>8170.9219899999998</v>
      </c>
      <c r="AB13" s="4">
        <f t="shared" si="10"/>
        <v>-4899.589100000002</v>
      </c>
      <c r="AC13" s="4">
        <f>Table1[[#This Row],[ScenarioRev]] - Table1[[#This Row],[ScenarioCostOfGoods]]</f>
        <v>1294.4085000000005</v>
      </c>
      <c r="AD13" s="6">
        <v>0.16700000000000001</v>
      </c>
      <c r="AE13" s="6">
        <f>MIN(Table1[[#This Row],[DiscountPct]], WhatIf!$B$2)</f>
        <v>0.16700000000000001</v>
      </c>
      <c r="AF13" s="6">
        <f>IF(Table1[[#This Row],[DiscountPct]]&gt;0.2, 1, 0)</f>
        <v>0</v>
      </c>
      <c r="AG13" s="6" t="str">
        <f t="shared" si="11"/>
        <v>High</v>
      </c>
      <c r="AH13" s="6">
        <f t="shared" si="12"/>
        <v>-0.65960096260813805</v>
      </c>
      <c r="AI13" s="5">
        <v>10</v>
      </c>
      <c r="AJ13" s="6">
        <f>Table1[[#This Row],[Quantity]]*(1+WhatIf!$B$4)</f>
        <v>11</v>
      </c>
    </row>
    <row r="14" spans="1:36" x14ac:dyDescent="0.3">
      <c r="A14" t="s">
        <v>342</v>
      </c>
      <c r="B14" s="3">
        <v>45796</v>
      </c>
      <c r="C14" s="3">
        <v>45794</v>
      </c>
      <c r="D14" s="3">
        <f t="shared" si="1"/>
        <v>45810</v>
      </c>
      <c r="E14" s="4">
        <f t="shared" si="0"/>
        <v>-2</v>
      </c>
      <c r="F14" s="4">
        <f t="shared" si="2"/>
        <v>14</v>
      </c>
      <c r="G14" s="4">
        <f>IF(Table1[[#This Row],[CorrectedLeadTimeDays]]&lt;=7, 1, 0)</f>
        <v>0</v>
      </c>
      <c r="H14" s="4" t="str">
        <f t="shared" si="3"/>
        <v>May</v>
      </c>
      <c r="I14" s="4" t="str">
        <f t="shared" si="4"/>
        <v>Q2-2025</v>
      </c>
      <c r="J14" s="4" t="str">
        <f t="shared" si="5"/>
        <v>2023-01</v>
      </c>
      <c r="K14" s="3">
        <f t="shared" si="6"/>
        <v>44955</v>
      </c>
      <c r="L14" t="s">
        <v>648</v>
      </c>
      <c r="M14" t="s">
        <v>655</v>
      </c>
      <c r="N14" t="s">
        <v>670</v>
      </c>
      <c r="O14" t="s">
        <v>705</v>
      </c>
      <c r="P14" t="s">
        <v>710</v>
      </c>
      <c r="Q14" t="s">
        <v>716</v>
      </c>
      <c r="R14">
        <f t="shared" si="7"/>
        <v>27</v>
      </c>
      <c r="S14" t="s">
        <v>732</v>
      </c>
      <c r="T14" t="s">
        <v>1062</v>
      </c>
      <c r="U14" s="4">
        <v>383.77</v>
      </c>
      <c r="V14" s="4">
        <f>Table1[[#This Row],[UnitCost]]*(1+WhatIf!$B$3)</f>
        <v>402.95850000000002</v>
      </c>
      <c r="W14" s="4">
        <f t="shared" si="8"/>
        <v>3837.7</v>
      </c>
      <c r="X14" s="4">
        <f>Table1[[#This Row],[ScenarioRev]]-Table1[[#This Row],[ScenarioUnitCost]]</f>
        <v>7979.5695000000005</v>
      </c>
      <c r="Y14" s="4">
        <v>952.56</v>
      </c>
      <c r="Z14" s="4">
        <f t="shared" si="9"/>
        <v>6229.7423999999992</v>
      </c>
      <c r="AA14" s="4">
        <f>Table1[[#This Row],[ScenarioQuanity]]*Table1[[#This Row],[UnitPrice]]*(1-Table1[[#This Row],[ScenarioDiscPct]])</f>
        <v>8382.5280000000002</v>
      </c>
      <c r="AB14" s="4">
        <f t="shared" si="10"/>
        <v>2392.0423999999994</v>
      </c>
      <c r="AC14" s="4">
        <f>Table1[[#This Row],[ScenarioRev]] - Table1[[#This Row],[ScenarioCostOfGoods]]</f>
        <v>402.95849999999973</v>
      </c>
      <c r="AD14" s="6">
        <v>0.34599999999999997</v>
      </c>
      <c r="AE14" s="6">
        <f>MIN(Table1[[#This Row],[DiscountPct]], WhatIf!$B$2)</f>
        <v>0.2</v>
      </c>
      <c r="AF14" s="6">
        <f>IF(Table1[[#This Row],[DiscountPct]]&gt;0.2, 1, 0)</f>
        <v>1</v>
      </c>
      <c r="AG14" s="6" t="str">
        <f t="shared" si="11"/>
        <v>High</v>
      </c>
      <c r="AH14" s="6">
        <f t="shared" si="12"/>
        <v>0.38397131797937578</v>
      </c>
      <c r="AI14" s="5">
        <v>10</v>
      </c>
      <c r="AJ14" s="6">
        <f>Table1[[#This Row],[Quantity]]*(1+WhatIf!$B$4)</f>
        <v>11</v>
      </c>
    </row>
    <row r="15" spans="1:36" x14ac:dyDescent="0.3">
      <c r="A15" t="s">
        <v>49</v>
      </c>
      <c r="B15" s="3">
        <v>45527</v>
      </c>
      <c r="C15" s="3">
        <v>45525</v>
      </c>
      <c r="D15" s="3">
        <f t="shared" si="1"/>
        <v>45541</v>
      </c>
      <c r="E15" s="4">
        <f t="shared" si="0"/>
        <v>-2</v>
      </c>
      <c r="F15" s="4">
        <f t="shared" si="2"/>
        <v>14</v>
      </c>
      <c r="G15" s="4">
        <f>IF(Table1[[#This Row],[CorrectedLeadTimeDays]]&lt;=7, 1, 0)</f>
        <v>0</v>
      </c>
      <c r="H15" s="4" t="str">
        <f t="shared" si="3"/>
        <v>August</v>
      </c>
      <c r="I15" s="4" t="str">
        <f t="shared" si="4"/>
        <v>Q3-2024</v>
      </c>
      <c r="J15" s="4" t="str">
        <f t="shared" si="5"/>
        <v>2023-01</v>
      </c>
      <c r="K15" s="3">
        <f t="shared" si="6"/>
        <v>44933</v>
      </c>
      <c r="L15" t="s">
        <v>646</v>
      </c>
      <c r="M15" t="s">
        <v>661</v>
      </c>
      <c r="N15" t="s">
        <v>682</v>
      </c>
      <c r="O15" t="s">
        <v>702</v>
      </c>
      <c r="P15" t="s">
        <v>707</v>
      </c>
      <c r="Q15" t="s">
        <v>718</v>
      </c>
      <c r="R15">
        <f t="shared" si="7"/>
        <v>19</v>
      </c>
      <c r="S15" t="s">
        <v>727</v>
      </c>
      <c r="T15" t="s">
        <v>768</v>
      </c>
      <c r="U15" s="4">
        <v>1432.52</v>
      </c>
      <c r="V15" s="4">
        <f>Table1[[#This Row],[UnitCost]]*(1+WhatIf!$B$3)</f>
        <v>1504.146</v>
      </c>
      <c r="W15" s="4">
        <f t="shared" si="8"/>
        <v>12892.68</v>
      </c>
      <c r="X15" s="4">
        <f>Table1[[#This Row],[ScenarioRev]]-Table1[[#This Row],[ScenarioUnitCost]]</f>
        <v>28560.866999999998</v>
      </c>
      <c r="Y15" s="4">
        <v>3036.87</v>
      </c>
      <c r="Z15" s="4">
        <f t="shared" si="9"/>
        <v>27331.829999999998</v>
      </c>
      <c r="AA15" s="4">
        <f>Table1[[#This Row],[ScenarioQuanity]]*Table1[[#This Row],[UnitPrice]]*(1-Table1[[#This Row],[ScenarioDiscPct]])</f>
        <v>30065.012999999999</v>
      </c>
      <c r="AB15" s="4">
        <f t="shared" si="10"/>
        <v>14439.149999999998</v>
      </c>
      <c r="AC15" s="4">
        <f>Table1[[#This Row],[ScenarioRev]] - Table1[[#This Row],[ScenarioCostOfGoods]]</f>
        <v>1504.1460000000006</v>
      </c>
      <c r="AD15" s="6">
        <v>0</v>
      </c>
      <c r="AE15" s="6">
        <f>MIN(Table1[[#This Row],[DiscountPct]], WhatIf!$B$2)</f>
        <v>0</v>
      </c>
      <c r="AF15" s="6">
        <f>IF(Table1[[#This Row],[DiscountPct]]&gt;0.2, 1, 0)</f>
        <v>0</v>
      </c>
      <c r="AG15" s="6" t="str">
        <f t="shared" si="11"/>
        <v>High</v>
      </c>
      <c r="AH15" s="6">
        <f t="shared" si="12"/>
        <v>0.52829064135112791</v>
      </c>
      <c r="AI15" s="5">
        <v>9</v>
      </c>
      <c r="AJ15" s="6">
        <f>Table1[[#This Row],[Quantity]]*(1+WhatIf!$B$4)</f>
        <v>9.9</v>
      </c>
    </row>
    <row r="16" spans="1:36" x14ac:dyDescent="0.3">
      <c r="A16" t="s">
        <v>281</v>
      </c>
      <c r="B16" s="3">
        <v>45053</v>
      </c>
      <c r="C16" s="3">
        <v>45051</v>
      </c>
      <c r="D16" s="3">
        <f t="shared" si="1"/>
        <v>45067</v>
      </c>
      <c r="E16" s="4">
        <f t="shared" si="0"/>
        <v>-2</v>
      </c>
      <c r="F16" s="4">
        <f t="shared" si="2"/>
        <v>14</v>
      </c>
      <c r="G16" s="4">
        <f>IF(Table1[[#This Row],[CorrectedLeadTimeDays]]&lt;=7, 1, 0)</f>
        <v>0</v>
      </c>
      <c r="H16" s="4" t="str">
        <f t="shared" si="3"/>
        <v>May</v>
      </c>
      <c r="I16" s="4" t="str">
        <f t="shared" si="4"/>
        <v>Q2-2023</v>
      </c>
      <c r="J16" s="4" t="str">
        <f t="shared" si="5"/>
        <v>2023-01</v>
      </c>
      <c r="K16" s="3">
        <f t="shared" si="6"/>
        <v>44941</v>
      </c>
      <c r="L16" t="s">
        <v>646</v>
      </c>
      <c r="M16" t="s">
        <v>651</v>
      </c>
      <c r="N16" t="s">
        <v>663</v>
      </c>
      <c r="O16" t="s">
        <v>703</v>
      </c>
      <c r="P16" t="s">
        <v>709</v>
      </c>
      <c r="Q16" t="s">
        <v>720</v>
      </c>
      <c r="R16">
        <f t="shared" si="7"/>
        <v>3</v>
      </c>
      <c r="S16" t="s">
        <v>727</v>
      </c>
      <c r="T16" t="s">
        <v>1001</v>
      </c>
      <c r="U16" s="4">
        <v>1269.6500000000001</v>
      </c>
      <c r="V16" s="4">
        <f>Table1[[#This Row],[UnitCost]]*(1+WhatIf!$B$3)</f>
        <v>1333.1325000000002</v>
      </c>
      <c r="W16" s="4">
        <f t="shared" si="8"/>
        <v>10157.200000000001</v>
      </c>
      <c r="X16" s="4">
        <f>Table1[[#This Row],[ScenarioRev]]-Table1[[#This Row],[ScenarioUnitCost]]</f>
        <v>18020.299268000002</v>
      </c>
      <c r="Y16" s="4">
        <v>2462.77</v>
      </c>
      <c r="Z16" s="4">
        <f t="shared" si="9"/>
        <v>17594.028880000002</v>
      </c>
      <c r="AA16" s="4">
        <f>Table1[[#This Row],[ScenarioQuanity]]*Table1[[#This Row],[UnitPrice]]*(1-Table1[[#This Row],[ScenarioDiscPct]])</f>
        <v>19353.431768000002</v>
      </c>
      <c r="AB16" s="4">
        <f t="shared" si="10"/>
        <v>7436.8288800000009</v>
      </c>
      <c r="AC16" s="4">
        <f>Table1[[#This Row],[ScenarioRev]] - Table1[[#This Row],[ScenarioCostOfGoods]]</f>
        <v>1333.1324999999997</v>
      </c>
      <c r="AD16" s="6">
        <v>0.107</v>
      </c>
      <c r="AE16" s="6">
        <f>MIN(Table1[[#This Row],[DiscountPct]], WhatIf!$B$2)</f>
        <v>0.107</v>
      </c>
      <c r="AF16" s="6">
        <f>IF(Table1[[#This Row],[DiscountPct]]&gt;0.2, 1, 0)</f>
        <v>0</v>
      </c>
      <c r="AG16" s="6" t="str">
        <f t="shared" si="11"/>
        <v>High</v>
      </c>
      <c r="AH16" s="6">
        <f t="shared" si="12"/>
        <v>0.42269050089225502</v>
      </c>
      <c r="AI16" s="5">
        <v>8</v>
      </c>
      <c r="AJ16" s="6">
        <f>Table1[[#This Row],[Quantity]]*(1+WhatIf!$B$4)</f>
        <v>8.8000000000000007</v>
      </c>
    </row>
    <row r="17" spans="1:36" x14ac:dyDescent="0.3">
      <c r="A17" t="s">
        <v>451</v>
      </c>
      <c r="B17" s="3">
        <v>45037</v>
      </c>
      <c r="C17" s="3">
        <v>45035</v>
      </c>
      <c r="D17" s="3">
        <f t="shared" si="1"/>
        <v>45051</v>
      </c>
      <c r="E17" s="4">
        <f t="shared" si="0"/>
        <v>-2</v>
      </c>
      <c r="F17" s="4">
        <f t="shared" si="2"/>
        <v>14</v>
      </c>
      <c r="G17" s="4">
        <f>IF(Table1[[#This Row],[CorrectedLeadTimeDays]]&lt;=7, 1, 0)</f>
        <v>0</v>
      </c>
      <c r="H17" s="4" t="str">
        <f t="shared" si="3"/>
        <v>April</v>
      </c>
      <c r="I17" s="4" t="str">
        <f t="shared" si="4"/>
        <v>Q2-2023</v>
      </c>
      <c r="J17" s="4" t="str">
        <f t="shared" si="5"/>
        <v>2023-03</v>
      </c>
      <c r="K17" s="3">
        <f t="shared" si="6"/>
        <v>44988</v>
      </c>
      <c r="L17" t="s">
        <v>647</v>
      </c>
      <c r="M17" t="s">
        <v>652</v>
      </c>
      <c r="N17" t="s">
        <v>694</v>
      </c>
      <c r="O17" t="s">
        <v>705</v>
      </c>
      <c r="P17" t="s">
        <v>711</v>
      </c>
      <c r="Q17" t="s">
        <v>724</v>
      </c>
      <c r="R17">
        <f t="shared" si="7"/>
        <v>1</v>
      </c>
      <c r="S17" t="s">
        <v>727</v>
      </c>
      <c r="T17" t="s">
        <v>1170</v>
      </c>
      <c r="U17" s="4">
        <v>607.04</v>
      </c>
      <c r="V17" s="4">
        <f>Table1[[#This Row],[UnitCost]]*(1+WhatIf!$B$3)</f>
        <v>637.39199999999994</v>
      </c>
      <c r="W17" s="4">
        <f t="shared" si="8"/>
        <v>4249.28</v>
      </c>
      <c r="X17" s="4">
        <f>Table1[[#This Row],[ScenarioRev]]-Table1[[#This Row],[ScenarioUnitCost]]</f>
        <v>7437.0360540000011</v>
      </c>
      <c r="Y17" s="4">
        <v>1229.3399999999999</v>
      </c>
      <c r="Z17" s="4">
        <f t="shared" si="9"/>
        <v>7340.3891399999993</v>
      </c>
      <c r="AA17" s="4">
        <f>Table1[[#This Row],[ScenarioQuanity]]*Table1[[#This Row],[UnitPrice]]*(1-Table1[[#This Row],[ScenarioDiscPct]])</f>
        <v>8074.4280540000009</v>
      </c>
      <c r="AB17" s="4">
        <f t="shared" si="10"/>
        <v>3091.1091399999996</v>
      </c>
      <c r="AC17" s="4">
        <f>Table1[[#This Row],[ScenarioRev]] - Table1[[#This Row],[ScenarioCostOfGoods]]</f>
        <v>637.39199999999983</v>
      </c>
      <c r="AD17" s="6">
        <v>0.14699999999999999</v>
      </c>
      <c r="AE17" s="6">
        <f>MIN(Table1[[#This Row],[DiscountPct]], WhatIf!$B$2)</f>
        <v>0.14699999999999999</v>
      </c>
      <c r="AF17" s="6">
        <f>IF(Table1[[#This Row],[DiscountPct]]&gt;0.2, 1, 0)</f>
        <v>0</v>
      </c>
      <c r="AG17" s="6" t="str">
        <f t="shared" si="11"/>
        <v>High</v>
      </c>
      <c r="AH17" s="6">
        <f t="shared" si="12"/>
        <v>0.42110970972310058</v>
      </c>
      <c r="AI17" s="5">
        <v>7</v>
      </c>
      <c r="AJ17" s="6">
        <f>Table1[[#This Row],[Quantity]]*(1+WhatIf!$B$4)</f>
        <v>7.7000000000000011</v>
      </c>
    </row>
    <row r="18" spans="1:36" x14ac:dyDescent="0.3">
      <c r="A18" t="s">
        <v>167</v>
      </c>
      <c r="B18" s="3">
        <v>45267</v>
      </c>
      <c r="C18" s="3">
        <v>45265</v>
      </c>
      <c r="D18" s="3">
        <f t="shared" si="1"/>
        <v>45281</v>
      </c>
      <c r="E18" s="4">
        <f t="shared" si="0"/>
        <v>-2</v>
      </c>
      <c r="F18" s="4">
        <f t="shared" si="2"/>
        <v>14</v>
      </c>
      <c r="G18" s="4">
        <f>IF(Table1[[#This Row],[CorrectedLeadTimeDays]]&lt;=7, 1, 0)</f>
        <v>0</v>
      </c>
      <c r="H18" s="4" t="str">
        <f t="shared" si="3"/>
        <v>December</v>
      </c>
      <c r="I18" s="4" t="str">
        <f t="shared" si="4"/>
        <v>Q4-2023</v>
      </c>
      <c r="J18" s="4" t="str">
        <f t="shared" si="5"/>
        <v>2023-03</v>
      </c>
      <c r="K18" s="3">
        <f t="shared" si="6"/>
        <v>44988</v>
      </c>
      <c r="L18" t="s">
        <v>647</v>
      </c>
      <c r="M18" t="s">
        <v>652</v>
      </c>
      <c r="N18" t="s">
        <v>689</v>
      </c>
      <c r="O18" t="s">
        <v>703</v>
      </c>
      <c r="P18" t="s">
        <v>709</v>
      </c>
      <c r="Q18" t="s">
        <v>722</v>
      </c>
      <c r="R18">
        <f t="shared" si="7"/>
        <v>9</v>
      </c>
      <c r="S18" t="s">
        <v>728</v>
      </c>
      <c r="T18" t="s">
        <v>886</v>
      </c>
      <c r="U18" s="4">
        <v>1097.5899999999999</v>
      </c>
      <c r="V18" s="4">
        <f>Table1[[#This Row],[UnitCost]]*(1+WhatIf!$B$3)</f>
        <v>1152.4694999999999</v>
      </c>
      <c r="W18" s="4">
        <f t="shared" si="8"/>
        <v>6585.5399999999991</v>
      </c>
      <c r="X18" s="4">
        <f>Table1[[#This Row],[ScenarioRev]]-Table1[[#This Row],[ScenarioUnitCost]]</f>
        <v>3401.3245800000004</v>
      </c>
      <c r="Y18" s="4">
        <v>845.55</v>
      </c>
      <c r="Z18" s="4">
        <f t="shared" si="9"/>
        <v>4139.8127999999997</v>
      </c>
      <c r="AA18" s="4">
        <f>Table1[[#This Row],[ScenarioQuanity]]*Table1[[#This Row],[UnitPrice]]*(1-Table1[[#This Row],[ScenarioDiscPct]])</f>
        <v>4553.7940800000006</v>
      </c>
      <c r="AB18" s="4">
        <f t="shared" si="10"/>
        <v>-2445.7271999999994</v>
      </c>
      <c r="AC18" s="4">
        <f>Table1[[#This Row],[ScenarioRev]] - Table1[[#This Row],[ScenarioCostOfGoods]]</f>
        <v>1152.4695000000002</v>
      </c>
      <c r="AD18" s="6">
        <v>0.184</v>
      </c>
      <c r="AE18" s="6">
        <f>MIN(Table1[[#This Row],[DiscountPct]], WhatIf!$B$2)</f>
        <v>0.184</v>
      </c>
      <c r="AF18" s="6">
        <f>IF(Table1[[#This Row],[DiscountPct]]&gt;0.2, 1, 0)</f>
        <v>0</v>
      </c>
      <c r="AG18" s="6" t="str">
        <f t="shared" si="11"/>
        <v>High</v>
      </c>
      <c r="AH18" s="6">
        <f t="shared" si="12"/>
        <v>-0.59078207594314402</v>
      </c>
      <c r="AI18" s="5">
        <v>6</v>
      </c>
      <c r="AJ18" s="6">
        <f>Table1[[#This Row],[Quantity]]*(1+WhatIf!$B$4)</f>
        <v>6.6000000000000005</v>
      </c>
    </row>
    <row r="19" spans="1:36" x14ac:dyDescent="0.3">
      <c r="A19" t="s">
        <v>610</v>
      </c>
      <c r="B19" s="3">
        <v>45705</v>
      </c>
      <c r="C19" s="3">
        <v>45703</v>
      </c>
      <c r="D19" s="3">
        <f t="shared" si="1"/>
        <v>45719</v>
      </c>
      <c r="E19" s="4">
        <f t="shared" si="0"/>
        <v>-2</v>
      </c>
      <c r="F19" s="4">
        <f t="shared" si="2"/>
        <v>14</v>
      </c>
      <c r="G19" s="4">
        <f>IF(Table1[[#This Row],[CorrectedLeadTimeDays]]&lt;=7, 1, 0)</f>
        <v>0</v>
      </c>
      <c r="H19" s="4" t="str">
        <f t="shared" si="3"/>
        <v>February</v>
      </c>
      <c r="I19" s="4" t="str">
        <f t="shared" si="4"/>
        <v>Q1-2025</v>
      </c>
      <c r="J19" s="4" t="str">
        <f t="shared" si="5"/>
        <v>2023-01</v>
      </c>
      <c r="K19" s="3">
        <f t="shared" si="6"/>
        <v>44928</v>
      </c>
      <c r="L19" t="s">
        <v>648</v>
      </c>
      <c r="M19" t="s">
        <v>653</v>
      </c>
      <c r="N19" t="s">
        <v>667</v>
      </c>
      <c r="O19" t="s">
        <v>705</v>
      </c>
      <c r="P19" t="s">
        <v>707</v>
      </c>
      <c r="Q19" t="s">
        <v>726</v>
      </c>
      <c r="R19">
        <f t="shared" si="7"/>
        <v>25</v>
      </c>
      <c r="S19" t="s">
        <v>727</v>
      </c>
      <c r="T19" t="s">
        <v>1328</v>
      </c>
      <c r="U19" s="4">
        <v>1133.47</v>
      </c>
      <c r="V19" s="4">
        <f>Table1[[#This Row],[UnitCost]]*(1+WhatIf!$B$3)</f>
        <v>1190.1435000000001</v>
      </c>
      <c r="W19" s="4">
        <f t="shared" si="8"/>
        <v>5667.35</v>
      </c>
      <c r="X19" s="4">
        <f>Table1[[#This Row],[ScenarioRev]]-Table1[[#This Row],[ScenarioUnitCost]]</f>
        <v>7751.2271249999994</v>
      </c>
      <c r="Y19" s="4">
        <v>1698.75</v>
      </c>
      <c r="Z19" s="4">
        <f t="shared" si="9"/>
        <v>8128.5187499999993</v>
      </c>
      <c r="AA19" s="4">
        <f>Table1[[#This Row],[ScenarioQuanity]]*Table1[[#This Row],[UnitPrice]]*(1-Table1[[#This Row],[ScenarioDiscPct]])</f>
        <v>8941.3706249999996</v>
      </c>
      <c r="AB19" s="4">
        <f t="shared" si="10"/>
        <v>2461.1687499999989</v>
      </c>
      <c r="AC19" s="4">
        <f>Table1[[#This Row],[ScenarioRev]] - Table1[[#This Row],[ScenarioCostOfGoods]]</f>
        <v>1190.1435000000001</v>
      </c>
      <c r="AD19" s="6">
        <v>4.2999999999999997E-2</v>
      </c>
      <c r="AE19" s="6">
        <f>MIN(Table1[[#This Row],[DiscountPct]], WhatIf!$B$2)</f>
        <v>4.2999999999999997E-2</v>
      </c>
      <c r="AF19" s="6">
        <f>IF(Table1[[#This Row],[DiscountPct]]&gt;0.2, 1, 0)</f>
        <v>0</v>
      </c>
      <c r="AG19" s="6" t="str">
        <f t="shared" si="11"/>
        <v>High</v>
      </c>
      <c r="AH19" s="6">
        <f t="shared" si="12"/>
        <v>0.30278194904821976</v>
      </c>
      <c r="AI19" s="5">
        <v>5</v>
      </c>
      <c r="AJ19" s="6">
        <f>Table1[[#This Row],[Quantity]]*(1+WhatIf!$B$4)</f>
        <v>5.5</v>
      </c>
    </row>
    <row r="20" spans="1:36" x14ac:dyDescent="0.3">
      <c r="A20" t="s">
        <v>89</v>
      </c>
      <c r="B20" s="3">
        <v>45066</v>
      </c>
      <c r="C20" s="3">
        <v>45064</v>
      </c>
      <c r="D20" s="3">
        <f t="shared" si="1"/>
        <v>45080</v>
      </c>
      <c r="E20" s="4">
        <f t="shared" si="0"/>
        <v>-2</v>
      </c>
      <c r="F20" s="4">
        <f t="shared" si="2"/>
        <v>14</v>
      </c>
      <c r="G20" s="4">
        <f>IF(Table1[[#This Row],[CorrectedLeadTimeDays]]&lt;=7, 1, 0)</f>
        <v>0</v>
      </c>
      <c r="H20" s="4" t="str">
        <f t="shared" si="3"/>
        <v>May</v>
      </c>
      <c r="I20" s="4" t="str">
        <f t="shared" si="4"/>
        <v>Q2-2023</v>
      </c>
      <c r="J20" s="4" t="str">
        <f t="shared" si="5"/>
        <v>2023-01</v>
      </c>
      <c r="K20" s="3">
        <f t="shared" si="6"/>
        <v>44933</v>
      </c>
      <c r="L20" t="s">
        <v>646</v>
      </c>
      <c r="M20" t="s">
        <v>661</v>
      </c>
      <c r="N20" t="s">
        <v>687</v>
      </c>
      <c r="O20" t="s">
        <v>701</v>
      </c>
      <c r="P20" t="s">
        <v>710</v>
      </c>
      <c r="Q20" t="s">
        <v>720</v>
      </c>
      <c r="R20">
        <f t="shared" si="7"/>
        <v>4</v>
      </c>
      <c r="S20" t="s">
        <v>727</v>
      </c>
      <c r="T20" t="s">
        <v>808</v>
      </c>
      <c r="U20" s="4">
        <v>917.88</v>
      </c>
      <c r="V20" s="4">
        <f>Table1[[#This Row],[UnitCost]]*(1+WhatIf!$B$3)</f>
        <v>963.774</v>
      </c>
      <c r="W20" s="4">
        <f t="shared" si="8"/>
        <v>4589.3999999999996</v>
      </c>
      <c r="X20" s="4">
        <f>Table1[[#This Row],[ScenarioRev]]-Table1[[#This Row],[ScenarioUnitCost]]</f>
        <v>4967.0740000000005</v>
      </c>
      <c r="Y20" s="4">
        <v>1347.92</v>
      </c>
      <c r="Z20" s="4">
        <f t="shared" si="9"/>
        <v>4427.9172000000008</v>
      </c>
      <c r="AA20" s="4">
        <f>Table1[[#This Row],[ScenarioQuanity]]*Table1[[#This Row],[UnitPrice]]*(1-Table1[[#This Row],[ScenarioDiscPct]])</f>
        <v>5930.8480000000009</v>
      </c>
      <c r="AB20" s="4">
        <f t="shared" si="10"/>
        <v>-161.48279999999886</v>
      </c>
      <c r="AC20" s="4">
        <f>Table1[[#This Row],[ScenarioRev]] - Table1[[#This Row],[ScenarioCostOfGoods]]</f>
        <v>963.77400000000034</v>
      </c>
      <c r="AD20" s="6">
        <v>0.34300000000000003</v>
      </c>
      <c r="AE20" s="6">
        <f>MIN(Table1[[#This Row],[DiscountPct]], WhatIf!$B$2)</f>
        <v>0.2</v>
      </c>
      <c r="AF20" s="6">
        <f>IF(Table1[[#This Row],[DiscountPct]]&gt;0.2, 1, 0)</f>
        <v>1</v>
      </c>
      <c r="AG20" s="6" t="str">
        <f t="shared" si="11"/>
        <v>High</v>
      </c>
      <c r="AH20" s="6">
        <f t="shared" si="12"/>
        <v>-3.6469245630880096E-2</v>
      </c>
      <c r="AI20" s="5">
        <v>5</v>
      </c>
      <c r="AJ20" s="6">
        <f>Table1[[#This Row],[Quantity]]*(1+WhatIf!$B$4)</f>
        <v>5.5</v>
      </c>
    </row>
    <row r="21" spans="1:36" x14ac:dyDescent="0.3">
      <c r="A21" t="s">
        <v>16</v>
      </c>
      <c r="B21" s="3">
        <v>45588</v>
      </c>
      <c r="C21" s="3">
        <v>45587</v>
      </c>
      <c r="D21" s="3">
        <f t="shared" si="1"/>
        <v>45602</v>
      </c>
      <c r="E21" s="4">
        <f t="shared" si="0"/>
        <v>-1</v>
      </c>
      <c r="F21" s="4">
        <f t="shared" si="2"/>
        <v>14</v>
      </c>
      <c r="G21" s="4">
        <f>IF(Table1[[#This Row],[CorrectedLeadTimeDays]]&lt;=7, 1, 0)</f>
        <v>0</v>
      </c>
      <c r="H21" s="4" t="str">
        <f t="shared" si="3"/>
        <v>October</v>
      </c>
      <c r="I21" s="4" t="str">
        <f t="shared" si="4"/>
        <v>Q4-2024</v>
      </c>
      <c r="J21" s="4" t="str">
        <f t="shared" si="5"/>
        <v>2023-01</v>
      </c>
      <c r="K21" s="3">
        <f t="shared" si="6"/>
        <v>44941</v>
      </c>
      <c r="L21" t="s">
        <v>646</v>
      </c>
      <c r="M21" t="s">
        <v>651</v>
      </c>
      <c r="N21" t="s">
        <v>663</v>
      </c>
      <c r="O21" t="s">
        <v>702</v>
      </c>
      <c r="P21" t="s">
        <v>708</v>
      </c>
      <c r="Q21" t="s">
        <v>713</v>
      </c>
      <c r="R21">
        <f t="shared" si="7"/>
        <v>21</v>
      </c>
      <c r="S21" t="s">
        <v>728</v>
      </c>
      <c r="T21" t="s">
        <v>735</v>
      </c>
      <c r="U21" s="4">
        <v>1084.3900000000001</v>
      </c>
      <c r="V21" s="4">
        <f>Table1[[#This Row],[UnitCost]]*(1+WhatIf!$B$3)</f>
        <v>1138.6095000000003</v>
      </c>
      <c r="W21" s="4">
        <f t="shared" si="8"/>
        <v>33616.090000000004</v>
      </c>
      <c r="X21" s="4">
        <f>Table1[[#This Row],[ScenarioRev]]-Table1[[#This Row],[ScenarioUnitCost]]</f>
        <v>19575.912900000003</v>
      </c>
      <c r="Y21" s="4">
        <v>759.33</v>
      </c>
      <c r="Z21" s="4">
        <f t="shared" si="9"/>
        <v>17960.432489999999</v>
      </c>
      <c r="AA21" s="4">
        <f>Table1[[#This Row],[ScenarioQuanity]]*Table1[[#This Row],[UnitPrice]]*(1-Table1[[#This Row],[ScenarioDiscPct]])</f>
        <v>20714.522400000002</v>
      </c>
      <c r="AB21" s="4">
        <f t="shared" si="10"/>
        <v>-15655.657510000005</v>
      </c>
      <c r="AC21" s="4">
        <f>Table1[[#This Row],[ScenarioRev]] - Table1[[#This Row],[ScenarioCostOfGoods]]</f>
        <v>1138.6094999999987</v>
      </c>
      <c r="AD21" s="6">
        <v>0.23699999999999999</v>
      </c>
      <c r="AE21" s="6">
        <f>MIN(Table1[[#This Row],[DiscountPct]], WhatIf!$B$2)</f>
        <v>0.2</v>
      </c>
      <c r="AF21" s="6">
        <f>IF(Table1[[#This Row],[DiscountPct]]&gt;0.2, 1, 0)</f>
        <v>1</v>
      </c>
      <c r="AG21" s="6" t="str">
        <f t="shared" si="11"/>
        <v>Low</v>
      </c>
      <c r="AH21" s="6">
        <f t="shared" si="12"/>
        <v>-0.87167486187856302</v>
      </c>
      <c r="AI21" s="5">
        <v>31</v>
      </c>
      <c r="AJ21" s="6">
        <f>Table1[[#This Row],[Quantity]]*(1+WhatIf!$B$4)</f>
        <v>34.1</v>
      </c>
    </row>
    <row r="22" spans="1:36" x14ac:dyDescent="0.3">
      <c r="A22" t="s">
        <v>638</v>
      </c>
      <c r="B22" s="3">
        <v>45141</v>
      </c>
      <c r="C22" s="3">
        <v>45140</v>
      </c>
      <c r="D22" s="3">
        <f t="shared" si="1"/>
        <v>45155</v>
      </c>
      <c r="E22" s="4">
        <f t="shared" si="0"/>
        <v>-1</v>
      </c>
      <c r="F22" s="4">
        <f t="shared" si="2"/>
        <v>14</v>
      </c>
      <c r="G22" s="4">
        <f>IF(Table1[[#This Row],[CorrectedLeadTimeDays]]&lt;=7, 1, 0)</f>
        <v>0</v>
      </c>
      <c r="H22" s="4" t="str">
        <f t="shared" si="3"/>
        <v>August</v>
      </c>
      <c r="I22" s="4" t="str">
        <f t="shared" si="4"/>
        <v>Q3-2023</v>
      </c>
      <c r="J22" s="4" t="str">
        <f t="shared" si="5"/>
        <v>2023-01</v>
      </c>
      <c r="K22" s="3">
        <f t="shared" si="6"/>
        <v>44938</v>
      </c>
      <c r="L22" t="s">
        <v>647</v>
      </c>
      <c r="M22" t="s">
        <v>659</v>
      </c>
      <c r="N22" t="s">
        <v>685</v>
      </c>
      <c r="O22" t="s">
        <v>703</v>
      </c>
      <c r="P22" t="s">
        <v>711</v>
      </c>
      <c r="Q22" t="s">
        <v>713</v>
      </c>
      <c r="R22">
        <f t="shared" si="7"/>
        <v>6</v>
      </c>
      <c r="S22" t="s">
        <v>729</v>
      </c>
      <c r="T22" t="s">
        <v>1356</v>
      </c>
      <c r="U22" s="4">
        <v>1021.97</v>
      </c>
      <c r="V22" s="4">
        <f>Table1[[#This Row],[UnitCost]]*(1+WhatIf!$B$3)</f>
        <v>1073.0685000000001</v>
      </c>
      <c r="W22" s="4">
        <f t="shared" si="8"/>
        <v>26571.22</v>
      </c>
      <c r="X22" s="4">
        <f>Table1[[#This Row],[ScenarioRev]]-Table1[[#This Row],[ScenarioUnitCost]]</f>
        <v>54026.368749999994</v>
      </c>
      <c r="Y22" s="4">
        <v>2296.25</v>
      </c>
      <c r="Z22" s="4">
        <f t="shared" si="9"/>
        <v>50090.397499999999</v>
      </c>
      <c r="AA22" s="4">
        <f>Table1[[#This Row],[ScenarioQuanity]]*Table1[[#This Row],[UnitPrice]]*(1-Table1[[#This Row],[ScenarioDiscPct]])</f>
        <v>55099.437249999995</v>
      </c>
      <c r="AB22" s="4">
        <f t="shared" si="10"/>
        <v>23519.177499999998</v>
      </c>
      <c r="AC22" s="4">
        <f>Table1[[#This Row],[ScenarioRev]] - Table1[[#This Row],[ScenarioCostOfGoods]]</f>
        <v>1073.0685000000012</v>
      </c>
      <c r="AD22" s="6">
        <v>0.161</v>
      </c>
      <c r="AE22" s="6">
        <f>MIN(Table1[[#This Row],[DiscountPct]], WhatIf!$B$2)</f>
        <v>0.161</v>
      </c>
      <c r="AF22" s="6">
        <f>IF(Table1[[#This Row],[DiscountPct]]&gt;0.2, 1, 0)</f>
        <v>0</v>
      </c>
      <c r="AG22" s="6" t="str">
        <f t="shared" si="11"/>
        <v>High</v>
      </c>
      <c r="AH22" s="6">
        <f t="shared" si="12"/>
        <v>0.46953465482081669</v>
      </c>
      <c r="AI22" s="5">
        <v>26</v>
      </c>
      <c r="AJ22" s="6">
        <f>Table1[[#This Row],[Quantity]]*(1+WhatIf!$B$4)</f>
        <v>28.6</v>
      </c>
    </row>
    <row r="23" spans="1:36" x14ac:dyDescent="0.3">
      <c r="A23" t="s">
        <v>606</v>
      </c>
      <c r="B23" s="3">
        <v>44984</v>
      </c>
      <c r="C23" s="3">
        <v>44983</v>
      </c>
      <c r="D23" s="3">
        <f t="shared" si="1"/>
        <v>44998</v>
      </c>
      <c r="E23" s="4">
        <f t="shared" si="0"/>
        <v>-1</v>
      </c>
      <c r="F23" s="4">
        <f t="shared" si="2"/>
        <v>14</v>
      </c>
      <c r="G23" s="4">
        <f>IF(Table1[[#This Row],[CorrectedLeadTimeDays]]&lt;=7, 1, 0)</f>
        <v>0</v>
      </c>
      <c r="H23" s="4" t="str">
        <f t="shared" si="3"/>
        <v>February</v>
      </c>
      <c r="I23" s="4" t="str">
        <f t="shared" si="4"/>
        <v>Q1-2023</v>
      </c>
      <c r="J23" s="4" t="str">
        <f t="shared" si="5"/>
        <v>2023-01</v>
      </c>
      <c r="K23" s="3">
        <f t="shared" si="6"/>
        <v>44939</v>
      </c>
      <c r="L23" t="s">
        <v>648</v>
      </c>
      <c r="M23" t="s">
        <v>660</v>
      </c>
      <c r="N23" t="s">
        <v>686</v>
      </c>
      <c r="O23" t="s">
        <v>703</v>
      </c>
      <c r="P23" t="s">
        <v>708</v>
      </c>
      <c r="Q23" t="s">
        <v>716</v>
      </c>
      <c r="R23">
        <f t="shared" si="7"/>
        <v>1</v>
      </c>
      <c r="S23" t="s">
        <v>729</v>
      </c>
      <c r="T23" t="s">
        <v>1324</v>
      </c>
      <c r="U23" s="4">
        <v>1015.91</v>
      </c>
      <c r="V23" s="4">
        <f>Table1[[#This Row],[UnitCost]]*(1+WhatIf!$B$3)</f>
        <v>1066.7055</v>
      </c>
      <c r="W23" s="4">
        <f t="shared" si="8"/>
        <v>26413.66</v>
      </c>
      <c r="X23" s="4">
        <f>Table1[[#This Row],[ScenarioRev]]-Table1[[#This Row],[ScenarioUnitCost]]</f>
        <v>55878.294612000012</v>
      </c>
      <c r="Y23" s="4">
        <v>2331.48</v>
      </c>
      <c r="Z23" s="4">
        <f t="shared" si="9"/>
        <v>51768.181920000003</v>
      </c>
      <c r="AA23" s="4">
        <f>Table1[[#This Row],[ScenarioQuanity]]*Table1[[#This Row],[UnitPrice]]*(1-Table1[[#This Row],[ScenarioDiscPct]])</f>
        <v>56945.000112000009</v>
      </c>
      <c r="AB23" s="4">
        <f t="shared" si="10"/>
        <v>25354.521920000003</v>
      </c>
      <c r="AC23" s="4">
        <f>Table1[[#This Row],[ScenarioRev]] - Table1[[#This Row],[ScenarioCostOfGoods]]</f>
        <v>1066.7054999999964</v>
      </c>
      <c r="AD23" s="6">
        <v>0.14599999999999999</v>
      </c>
      <c r="AE23" s="6">
        <f>MIN(Table1[[#This Row],[DiscountPct]], WhatIf!$B$2)</f>
        <v>0.14599999999999999</v>
      </c>
      <c r="AF23" s="6">
        <f>IF(Table1[[#This Row],[DiscountPct]]&gt;0.2, 1, 0)</f>
        <v>0</v>
      </c>
      <c r="AG23" s="6" t="str">
        <f t="shared" si="11"/>
        <v>High</v>
      </c>
      <c r="AH23" s="6">
        <f t="shared" si="12"/>
        <v>0.48977037592669626</v>
      </c>
      <c r="AI23" s="5">
        <v>26</v>
      </c>
      <c r="AJ23" s="6">
        <f>Table1[[#This Row],[Quantity]]*(1+WhatIf!$B$4)</f>
        <v>28.6</v>
      </c>
    </row>
    <row r="24" spans="1:36" x14ac:dyDescent="0.3">
      <c r="A24" t="s">
        <v>160</v>
      </c>
      <c r="B24" s="3">
        <v>45260</v>
      </c>
      <c r="C24" s="3">
        <v>45259</v>
      </c>
      <c r="D24" s="3">
        <f t="shared" si="1"/>
        <v>45274</v>
      </c>
      <c r="E24" s="4">
        <f t="shared" si="0"/>
        <v>-1</v>
      </c>
      <c r="F24" s="4">
        <f t="shared" si="2"/>
        <v>14</v>
      </c>
      <c r="G24" s="4">
        <f>IF(Table1[[#This Row],[CorrectedLeadTimeDays]]&lt;=7, 1, 0)</f>
        <v>0</v>
      </c>
      <c r="H24" s="4" t="str">
        <f t="shared" si="3"/>
        <v>November</v>
      </c>
      <c r="I24" s="4" t="str">
        <f t="shared" si="4"/>
        <v>Q4-2023</v>
      </c>
      <c r="J24" s="4" t="str">
        <f t="shared" si="5"/>
        <v>2023-01</v>
      </c>
      <c r="K24" s="3">
        <f t="shared" si="6"/>
        <v>44933</v>
      </c>
      <c r="L24" t="s">
        <v>646</v>
      </c>
      <c r="M24" t="s">
        <v>661</v>
      </c>
      <c r="N24" t="s">
        <v>687</v>
      </c>
      <c r="O24" t="s">
        <v>705</v>
      </c>
      <c r="P24" t="s">
        <v>709</v>
      </c>
      <c r="Q24" t="s">
        <v>718</v>
      </c>
      <c r="R24">
        <f t="shared" si="7"/>
        <v>10</v>
      </c>
      <c r="S24" t="s">
        <v>731</v>
      </c>
      <c r="T24" t="s">
        <v>879</v>
      </c>
      <c r="U24" s="4">
        <v>275.56</v>
      </c>
      <c r="V24" s="4">
        <f>Table1[[#This Row],[UnitCost]]*(1+WhatIf!$B$3)</f>
        <v>289.33800000000002</v>
      </c>
      <c r="W24" s="4">
        <f t="shared" si="8"/>
        <v>6337.88</v>
      </c>
      <c r="X24" s="4">
        <f>Table1[[#This Row],[ScenarioRev]]-Table1[[#This Row],[ScenarioUnitCost]]</f>
        <v>13960.455888</v>
      </c>
      <c r="Y24" s="4">
        <v>630.72</v>
      </c>
      <c r="Z24" s="4">
        <f t="shared" si="9"/>
        <v>12954.358080000002</v>
      </c>
      <c r="AA24" s="4">
        <f>Table1[[#This Row],[ScenarioQuanity]]*Table1[[#This Row],[UnitPrice]]*(1-Table1[[#This Row],[ScenarioDiscPct]])</f>
        <v>14249.793888</v>
      </c>
      <c r="AB24" s="4">
        <f t="shared" si="10"/>
        <v>6616.4780800000017</v>
      </c>
      <c r="AC24" s="4">
        <f>Table1[[#This Row],[ScenarioRev]] - Table1[[#This Row],[ScenarioCostOfGoods]]</f>
        <v>289.33799999999974</v>
      </c>
      <c r="AD24" s="6">
        <v>0.107</v>
      </c>
      <c r="AE24" s="6">
        <f>MIN(Table1[[#This Row],[DiscountPct]], WhatIf!$B$2)</f>
        <v>0.107</v>
      </c>
      <c r="AF24" s="6">
        <f>IF(Table1[[#This Row],[DiscountPct]]&gt;0.2, 1, 0)</f>
        <v>0</v>
      </c>
      <c r="AG24" s="6" t="str">
        <f t="shared" si="11"/>
        <v>Low</v>
      </c>
      <c r="AH24" s="6">
        <f t="shared" si="12"/>
        <v>0.5107530638831933</v>
      </c>
      <c r="AI24" s="5">
        <v>23</v>
      </c>
      <c r="AJ24" s="6">
        <f>Table1[[#This Row],[Quantity]]*(1+WhatIf!$B$4)</f>
        <v>25.3</v>
      </c>
    </row>
    <row r="25" spans="1:36" x14ac:dyDescent="0.3">
      <c r="A25" t="s">
        <v>335</v>
      </c>
      <c r="B25" s="3">
        <v>45293</v>
      </c>
      <c r="C25" s="3">
        <v>45292</v>
      </c>
      <c r="D25" s="3">
        <f t="shared" si="1"/>
        <v>45307</v>
      </c>
      <c r="E25" s="4">
        <f t="shared" si="0"/>
        <v>-1</v>
      </c>
      <c r="F25" s="4">
        <f t="shared" si="2"/>
        <v>14</v>
      </c>
      <c r="G25" s="4">
        <f>IF(Table1[[#This Row],[CorrectedLeadTimeDays]]&lt;=7, 1, 0)</f>
        <v>0</v>
      </c>
      <c r="H25" s="4" t="str">
        <f t="shared" si="3"/>
        <v>January</v>
      </c>
      <c r="I25" s="4" t="str">
        <f t="shared" si="4"/>
        <v>Q1-2024</v>
      </c>
      <c r="J25" s="4" t="str">
        <f t="shared" si="5"/>
        <v>2023-01</v>
      </c>
      <c r="K25" s="3">
        <f t="shared" si="6"/>
        <v>44939</v>
      </c>
      <c r="L25" t="s">
        <v>648</v>
      </c>
      <c r="M25" t="s">
        <v>660</v>
      </c>
      <c r="N25" t="s">
        <v>677</v>
      </c>
      <c r="O25" t="s">
        <v>702</v>
      </c>
      <c r="P25" t="s">
        <v>709</v>
      </c>
      <c r="Q25" t="s">
        <v>717</v>
      </c>
      <c r="R25">
        <f t="shared" si="7"/>
        <v>11</v>
      </c>
      <c r="S25" t="s">
        <v>729</v>
      </c>
      <c r="T25" t="s">
        <v>1055</v>
      </c>
      <c r="U25" s="4">
        <v>404.77</v>
      </c>
      <c r="V25" s="4">
        <f>Table1[[#This Row],[UnitCost]]*(1+WhatIf!$B$3)</f>
        <v>425.00850000000003</v>
      </c>
      <c r="W25" s="4">
        <f t="shared" si="8"/>
        <v>8904.9399999999987</v>
      </c>
      <c r="X25" s="4">
        <f>Table1[[#This Row],[ScenarioRev]]-Table1[[#This Row],[ScenarioUnitCost]]</f>
        <v>7974.908300000001</v>
      </c>
      <c r="Y25" s="4">
        <v>433.88</v>
      </c>
      <c r="Z25" s="4">
        <f t="shared" si="9"/>
        <v>7493.1076000000012</v>
      </c>
      <c r="AA25" s="4">
        <f>Table1[[#This Row],[ScenarioQuanity]]*Table1[[#This Row],[UnitPrice]]*(1-Table1[[#This Row],[ScenarioDiscPct]])</f>
        <v>8399.9168000000009</v>
      </c>
      <c r="AB25" s="4">
        <f t="shared" si="10"/>
        <v>-1411.8323999999975</v>
      </c>
      <c r="AC25" s="4">
        <f>Table1[[#This Row],[ScenarioRev]] - Table1[[#This Row],[ScenarioCostOfGoods]]</f>
        <v>425.00849999999991</v>
      </c>
      <c r="AD25" s="6">
        <v>0.215</v>
      </c>
      <c r="AE25" s="6">
        <f>MIN(Table1[[#This Row],[DiscountPct]], WhatIf!$B$2)</f>
        <v>0.2</v>
      </c>
      <c r="AF25" s="6">
        <f>IF(Table1[[#This Row],[DiscountPct]]&gt;0.2, 1, 0)</f>
        <v>1</v>
      </c>
      <c r="AG25" s="6" t="str">
        <f t="shared" si="11"/>
        <v>Low</v>
      </c>
      <c r="AH25" s="6">
        <f t="shared" si="12"/>
        <v>-0.18841747314558746</v>
      </c>
      <c r="AI25" s="5">
        <v>22</v>
      </c>
      <c r="AJ25" s="6">
        <f>Table1[[#This Row],[Quantity]]*(1+WhatIf!$B$4)</f>
        <v>24.200000000000003</v>
      </c>
    </row>
    <row r="26" spans="1:36" x14ac:dyDescent="0.3">
      <c r="A26" t="s">
        <v>623</v>
      </c>
      <c r="B26" s="3">
        <v>45319</v>
      </c>
      <c r="C26" s="3">
        <v>45318</v>
      </c>
      <c r="D26" s="3">
        <f t="shared" si="1"/>
        <v>45333</v>
      </c>
      <c r="E26" s="4">
        <f t="shared" si="0"/>
        <v>-1</v>
      </c>
      <c r="F26" s="4">
        <f t="shared" si="2"/>
        <v>14</v>
      </c>
      <c r="G26" s="4">
        <f>IF(Table1[[#This Row],[CorrectedLeadTimeDays]]&lt;=7, 1, 0)</f>
        <v>0</v>
      </c>
      <c r="H26" s="4" t="str">
        <f t="shared" si="3"/>
        <v>January</v>
      </c>
      <c r="I26" s="4" t="str">
        <f t="shared" si="4"/>
        <v>Q1-2024</v>
      </c>
      <c r="J26" s="4" t="str">
        <f t="shared" si="5"/>
        <v>2023-01</v>
      </c>
      <c r="K26" s="3">
        <f t="shared" si="6"/>
        <v>44933</v>
      </c>
      <c r="L26" t="s">
        <v>646</v>
      </c>
      <c r="M26" t="s">
        <v>661</v>
      </c>
      <c r="N26" t="s">
        <v>695</v>
      </c>
      <c r="O26" t="s">
        <v>706</v>
      </c>
      <c r="P26" t="s">
        <v>711</v>
      </c>
      <c r="Q26" t="s">
        <v>719</v>
      </c>
      <c r="R26">
        <f t="shared" si="7"/>
        <v>12</v>
      </c>
      <c r="S26" t="s">
        <v>727</v>
      </c>
      <c r="T26" t="s">
        <v>1341</v>
      </c>
      <c r="U26" s="4">
        <v>109.75</v>
      </c>
      <c r="V26" s="4">
        <f>Table1[[#This Row],[UnitCost]]*(1+WhatIf!$B$3)</f>
        <v>115.23750000000001</v>
      </c>
      <c r="W26" s="4">
        <f t="shared" si="8"/>
        <v>2085.25</v>
      </c>
      <c r="X26" s="4">
        <f>Table1[[#This Row],[ScenarioRev]]-Table1[[#This Row],[ScenarioUnitCost]]</f>
        <v>2169.9684999999999</v>
      </c>
      <c r="Y26" s="4">
        <v>124.25</v>
      </c>
      <c r="Z26" s="4">
        <f t="shared" si="9"/>
        <v>2077.46</v>
      </c>
      <c r="AA26" s="4">
        <f>Table1[[#This Row],[ScenarioQuanity]]*Table1[[#This Row],[UnitPrice]]*(1-Table1[[#This Row],[ScenarioDiscPct]])</f>
        <v>2285.2060000000001</v>
      </c>
      <c r="AB26" s="4">
        <f t="shared" si="10"/>
        <v>-7.7899999999999636</v>
      </c>
      <c r="AC26" s="4">
        <f>Table1[[#This Row],[ScenarioRev]] - Table1[[#This Row],[ScenarioCostOfGoods]]</f>
        <v>115.23750000000018</v>
      </c>
      <c r="AD26" s="6">
        <v>0.12</v>
      </c>
      <c r="AE26" s="6">
        <f>MIN(Table1[[#This Row],[DiscountPct]], WhatIf!$B$2)</f>
        <v>0.12</v>
      </c>
      <c r="AF26" s="6">
        <f>IF(Table1[[#This Row],[DiscountPct]]&gt;0.2, 1, 0)</f>
        <v>0</v>
      </c>
      <c r="AG26" s="6" t="str">
        <f t="shared" si="11"/>
        <v>Low</v>
      </c>
      <c r="AH26" s="6">
        <f t="shared" si="12"/>
        <v>-3.7497713554051405E-3</v>
      </c>
      <c r="AI26" s="5">
        <v>19</v>
      </c>
      <c r="AJ26" s="6">
        <f>Table1[[#This Row],[Quantity]]*(1+WhatIf!$B$4)</f>
        <v>20.900000000000002</v>
      </c>
    </row>
    <row r="27" spans="1:36" x14ac:dyDescent="0.3">
      <c r="A27" t="s">
        <v>98</v>
      </c>
      <c r="B27" s="3">
        <v>45770</v>
      </c>
      <c r="C27" s="3">
        <v>45769</v>
      </c>
      <c r="D27" s="3">
        <f t="shared" si="1"/>
        <v>45784</v>
      </c>
      <c r="E27" s="4">
        <f t="shared" si="0"/>
        <v>-1</v>
      </c>
      <c r="F27" s="4">
        <f t="shared" si="2"/>
        <v>14</v>
      </c>
      <c r="G27" s="4">
        <f>IF(Table1[[#This Row],[CorrectedLeadTimeDays]]&lt;=7, 1, 0)</f>
        <v>0</v>
      </c>
      <c r="H27" s="4" t="str">
        <f t="shared" si="3"/>
        <v>April</v>
      </c>
      <c r="I27" s="4" t="str">
        <f t="shared" si="4"/>
        <v>Q2-2025</v>
      </c>
      <c r="J27" s="4" t="str">
        <f t="shared" si="5"/>
        <v>2023-01</v>
      </c>
      <c r="K27" s="3">
        <f t="shared" si="6"/>
        <v>44939</v>
      </c>
      <c r="L27" t="s">
        <v>648</v>
      </c>
      <c r="M27" t="s">
        <v>660</v>
      </c>
      <c r="N27" t="s">
        <v>686</v>
      </c>
      <c r="O27" t="s">
        <v>703</v>
      </c>
      <c r="P27" t="s">
        <v>710</v>
      </c>
      <c r="Q27" t="s">
        <v>726</v>
      </c>
      <c r="R27">
        <f t="shared" si="7"/>
        <v>27</v>
      </c>
      <c r="S27" t="s">
        <v>732</v>
      </c>
      <c r="T27" t="s">
        <v>817</v>
      </c>
      <c r="U27" s="4">
        <v>23.24</v>
      </c>
      <c r="V27" s="4">
        <f>Table1[[#This Row],[UnitCost]]*(1+WhatIf!$B$3)</f>
        <v>24.402000000000001</v>
      </c>
      <c r="W27" s="4">
        <f t="shared" si="8"/>
        <v>348.59999999999997</v>
      </c>
      <c r="X27" s="4">
        <f>Table1[[#This Row],[ScenarioRev]]-Table1[[#This Row],[ScenarioUnitCost]]</f>
        <v>563.92199999999991</v>
      </c>
      <c r="Y27" s="4">
        <v>44.57</v>
      </c>
      <c r="Z27" s="4">
        <f t="shared" si="9"/>
        <v>524.81174999999996</v>
      </c>
      <c r="AA27" s="4">
        <f>Table1[[#This Row],[ScenarioQuanity]]*Table1[[#This Row],[UnitPrice]]*(1-Table1[[#This Row],[ScenarioDiscPct]])</f>
        <v>588.32399999999996</v>
      </c>
      <c r="AB27" s="4">
        <f t="shared" si="10"/>
        <v>176.21174999999999</v>
      </c>
      <c r="AC27" s="4">
        <f>Table1[[#This Row],[ScenarioRev]] - Table1[[#This Row],[ScenarioCostOfGoods]]</f>
        <v>24.402000000000044</v>
      </c>
      <c r="AD27" s="6">
        <v>0.215</v>
      </c>
      <c r="AE27" s="6">
        <f>MIN(Table1[[#This Row],[DiscountPct]], WhatIf!$B$2)</f>
        <v>0.2</v>
      </c>
      <c r="AF27" s="6">
        <f>IF(Table1[[#This Row],[DiscountPct]]&gt;0.2, 1, 0)</f>
        <v>1</v>
      </c>
      <c r="AG27" s="6" t="str">
        <f t="shared" si="11"/>
        <v>Low</v>
      </c>
      <c r="AH27" s="6">
        <f t="shared" si="12"/>
        <v>0.33576182316802167</v>
      </c>
      <c r="AI27" s="5">
        <v>15</v>
      </c>
      <c r="AJ27" s="6">
        <f>Table1[[#This Row],[Quantity]]*(1+WhatIf!$B$4)</f>
        <v>16.5</v>
      </c>
    </row>
    <row r="28" spans="1:36" x14ac:dyDescent="0.3">
      <c r="A28" t="s">
        <v>336</v>
      </c>
      <c r="B28" s="3">
        <v>44985</v>
      </c>
      <c r="C28" s="3">
        <v>44984</v>
      </c>
      <c r="D28" s="3">
        <f t="shared" si="1"/>
        <v>44999</v>
      </c>
      <c r="E28" s="4">
        <f t="shared" si="0"/>
        <v>-1</v>
      </c>
      <c r="F28" s="4">
        <f t="shared" si="2"/>
        <v>14</v>
      </c>
      <c r="G28" s="4">
        <f>IF(Table1[[#This Row],[CorrectedLeadTimeDays]]&lt;=7, 1, 0)</f>
        <v>0</v>
      </c>
      <c r="H28" s="4" t="str">
        <f t="shared" si="3"/>
        <v>February</v>
      </c>
      <c r="I28" s="4" t="str">
        <f t="shared" si="4"/>
        <v>Q1-2023</v>
      </c>
      <c r="J28" s="4" t="str">
        <f t="shared" si="5"/>
        <v>2023-01</v>
      </c>
      <c r="K28" s="3">
        <f t="shared" si="6"/>
        <v>44936</v>
      </c>
      <c r="L28" t="s">
        <v>649</v>
      </c>
      <c r="M28" t="s">
        <v>657</v>
      </c>
      <c r="N28" t="s">
        <v>673</v>
      </c>
      <c r="O28" t="s">
        <v>701</v>
      </c>
      <c r="P28" t="s">
        <v>707</v>
      </c>
      <c r="Q28" t="s">
        <v>723</v>
      </c>
      <c r="R28">
        <f t="shared" si="7"/>
        <v>1</v>
      </c>
      <c r="S28" t="s">
        <v>729</v>
      </c>
      <c r="T28" t="s">
        <v>1056</v>
      </c>
      <c r="U28" s="4">
        <v>1299.81</v>
      </c>
      <c r="V28" s="4">
        <f>Table1[[#This Row],[UnitCost]]*(1+WhatIf!$B$3)</f>
        <v>1364.8005000000001</v>
      </c>
      <c r="W28" s="4">
        <f t="shared" si="8"/>
        <v>18197.34</v>
      </c>
      <c r="X28" s="4">
        <f>Table1[[#This Row],[ScenarioRev]]-Table1[[#This Row],[ScenarioUnitCost]]</f>
        <v>42136.651494000012</v>
      </c>
      <c r="Y28" s="4">
        <v>3149.13</v>
      </c>
      <c r="Z28" s="4">
        <f t="shared" si="9"/>
        <v>39546.774539999999</v>
      </c>
      <c r="AA28" s="4">
        <f>Table1[[#This Row],[ScenarioQuanity]]*Table1[[#This Row],[UnitPrice]]*(1-Table1[[#This Row],[ScenarioDiscPct]])</f>
        <v>43501.45199400001</v>
      </c>
      <c r="AB28" s="4">
        <f t="shared" si="10"/>
        <v>21349.434539999998</v>
      </c>
      <c r="AC28" s="4">
        <f>Table1[[#This Row],[ScenarioRev]] - Table1[[#This Row],[ScenarioCostOfGoods]]</f>
        <v>1364.8004999999976</v>
      </c>
      <c r="AD28" s="6">
        <v>0.10299999999999999</v>
      </c>
      <c r="AE28" s="6">
        <f>MIN(Table1[[#This Row],[DiscountPct]], WhatIf!$B$2)</f>
        <v>0.10299999999999999</v>
      </c>
      <c r="AF28" s="6">
        <f>IF(Table1[[#This Row],[DiscountPct]]&gt;0.2, 1, 0)</f>
        <v>0</v>
      </c>
      <c r="AG28" s="6" t="str">
        <f t="shared" si="11"/>
        <v>High</v>
      </c>
      <c r="AH28" s="6">
        <f t="shared" si="12"/>
        <v>0.53985273864511729</v>
      </c>
      <c r="AI28" s="5">
        <v>14</v>
      </c>
      <c r="AJ28" s="6">
        <f>Table1[[#This Row],[Quantity]]*(1+WhatIf!$B$4)</f>
        <v>15.400000000000002</v>
      </c>
    </row>
    <row r="29" spans="1:36" x14ac:dyDescent="0.3">
      <c r="A29" t="s">
        <v>358</v>
      </c>
      <c r="B29" s="3">
        <v>45486</v>
      </c>
      <c r="C29" s="3">
        <v>45485</v>
      </c>
      <c r="D29" s="3">
        <f t="shared" si="1"/>
        <v>45500</v>
      </c>
      <c r="E29" s="4">
        <f t="shared" si="0"/>
        <v>-1</v>
      </c>
      <c r="F29" s="4">
        <f t="shared" si="2"/>
        <v>14</v>
      </c>
      <c r="G29" s="4">
        <f>IF(Table1[[#This Row],[CorrectedLeadTimeDays]]&lt;=7, 1, 0)</f>
        <v>0</v>
      </c>
      <c r="H29" s="4" t="str">
        <f t="shared" si="3"/>
        <v>July</v>
      </c>
      <c r="I29" s="4" t="str">
        <f t="shared" si="4"/>
        <v>Q3-2024</v>
      </c>
      <c r="J29" s="4" t="str">
        <f t="shared" si="5"/>
        <v>2023-03</v>
      </c>
      <c r="K29" s="3">
        <f t="shared" si="6"/>
        <v>44988</v>
      </c>
      <c r="L29" t="s">
        <v>647</v>
      </c>
      <c r="M29" t="s">
        <v>652</v>
      </c>
      <c r="N29" t="s">
        <v>694</v>
      </c>
      <c r="O29" t="s">
        <v>705</v>
      </c>
      <c r="P29" t="s">
        <v>709</v>
      </c>
      <c r="Q29" t="s">
        <v>721</v>
      </c>
      <c r="R29">
        <f t="shared" si="7"/>
        <v>16</v>
      </c>
      <c r="S29" t="s">
        <v>729</v>
      </c>
      <c r="T29" t="s">
        <v>1078</v>
      </c>
      <c r="U29" s="4">
        <v>105.13</v>
      </c>
      <c r="V29" s="4">
        <f>Table1[[#This Row],[UnitCost]]*(1+WhatIf!$B$3)</f>
        <v>110.3865</v>
      </c>
      <c r="W29" s="4">
        <f t="shared" si="8"/>
        <v>1471.82</v>
      </c>
      <c r="X29" s="4">
        <f>Table1[[#This Row],[ScenarioRev]]-Table1[[#This Row],[ScenarioUnitCost]]</f>
        <v>3382.2837580000005</v>
      </c>
      <c r="Y29" s="4">
        <v>244.13</v>
      </c>
      <c r="Z29" s="4">
        <f t="shared" si="9"/>
        <v>3175.1547799999998</v>
      </c>
      <c r="AA29" s="4">
        <f>Table1[[#This Row],[ScenarioQuanity]]*Table1[[#This Row],[UnitPrice]]*(1-Table1[[#This Row],[ScenarioDiscPct]])</f>
        <v>3492.6702580000006</v>
      </c>
      <c r="AB29" s="4">
        <f t="shared" si="10"/>
        <v>1703.3347799999999</v>
      </c>
      <c r="AC29" s="4">
        <f>Table1[[#This Row],[ScenarioRev]] - Table1[[#This Row],[ScenarioCostOfGoods]]</f>
        <v>110.38650000000007</v>
      </c>
      <c r="AD29" s="6">
        <v>7.0999999999999994E-2</v>
      </c>
      <c r="AE29" s="6">
        <f>MIN(Table1[[#This Row],[DiscountPct]], WhatIf!$B$2)</f>
        <v>7.0999999999999994E-2</v>
      </c>
      <c r="AF29" s="6">
        <f>IF(Table1[[#This Row],[DiscountPct]]&gt;0.2, 1, 0)</f>
        <v>0</v>
      </c>
      <c r="AG29" s="6" t="str">
        <f t="shared" si="11"/>
        <v>Low</v>
      </c>
      <c r="AH29" s="6">
        <f t="shared" si="12"/>
        <v>0.53645724319618837</v>
      </c>
      <c r="AI29" s="5">
        <v>14</v>
      </c>
      <c r="AJ29" s="6">
        <f>Table1[[#This Row],[Quantity]]*(1+WhatIf!$B$4)</f>
        <v>15.400000000000002</v>
      </c>
    </row>
    <row r="30" spans="1:36" x14ac:dyDescent="0.3">
      <c r="A30" t="s">
        <v>507</v>
      </c>
      <c r="B30" s="3">
        <v>45352</v>
      </c>
      <c r="C30" s="3">
        <v>45351</v>
      </c>
      <c r="D30" s="3">
        <f t="shared" si="1"/>
        <v>45366</v>
      </c>
      <c r="E30" s="4">
        <f t="shared" si="0"/>
        <v>-1</v>
      </c>
      <c r="F30" s="4">
        <f t="shared" si="2"/>
        <v>14</v>
      </c>
      <c r="G30" s="4">
        <f>IF(Table1[[#This Row],[CorrectedLeadTimeDays]]&lt;=7, 1, 0)</f>
        <v>0</v>
      </c>
      <c r="H30" s="4" t="str">
        <f t="shared" si="3"/>
        <v>March</v>
      </c>
      <c r="I30" s="4" t="str">
        <f t="shared" si="4"/>
        <v>Q1-2024</v>
      </c>
      <c r="J30" s="4" t="str">
        <f t="shared" si="5"/>
        <v>2023-01</v>
      </c>
      <c r="K30" s="3">
        <f t="shared" si="6"/>
        <v>44955</v>
      </c>
      <c r="L30" t="s">
        <v>648</v>
      </c>
      <c r="M30" t="s">
        <v>655</v>
      </c>
      <c r="N30" t="s">
        <v>670</v>
      </c>
      <c r="O30" t="s">
        <v>703</v>
      </c>
      <c r="P30" t="s">
        <v>711</v>
      </c>
      <c r="Q30" t="s">
        <v>714</v>
      </c>
      <c r="R30">
        <f t="shared" si="7"/>
        <v>13</v>
      </c>
      <c r="S30" t="s">
        <v>730</v>
      </c>
      <c r="T30" t="s">
        <v>1226</v>
      </c>
      <c r="U30" s="4">
        <v>5.34</v>
      </c>
      <c r="V30" s="4">
        <f>Table1[[#This Row],[UnitCost]]*(1+WhatIf!$B$3)</f>
        <v>5.6070000000000002</v>
      </c>
      <c r="W30" s="4">
        <f t="shared" si="8"/>
        <v>53.4</v>
      </c>
      <c r="X30" s="4">
        <f>Table1[[#This Row],[ScenarioRev]]-Table1[[#This Row],[ScenarioUnitCost]]</f>
        <v>115.55712</v>
      </c>
      <c r="Y30" s="4">
        <v>12.69</v>
      </c>
      <c r="Z30" s="4">
        <f t="shared" si="9"/>
        <v>110.14919999999999</v>
      </c>
      <c r="AA30" s="4">
        <f>Table1[[#This Row],[ScenarioQuanity]]*Table1[[#This Row],[UnitPrice]]*(1-Table1[[#This Row],[ScenarioDiscPct]])</f>
        <v>121.16412</v>
      </c>
      <c r="AB30" s="4">
        <f t="shared" si="10"/>
        <v>56.749199999999995</v>
      </c>
      <c r="AC30" s="4">
        <f>Table1[[#This Row],[ScenarioRev]] - Table1[[#This Row],[ScenarioCostOfGoods]]</f>
        <v>5.6069999999999993</v>
      </c>
      <c r="AD30" s="6">
        <v>0.13200000000000001</v>
      </c>
      <c r="AE30" s="6">
        <f>MIN(Table1[[#This Row],[DiscountPct]], WhatIf!$B$2)</f>
        <v>0.13200000000000001</v>
      </c>
      <c r="AF30" s="6">
        <f>IF(Table1[[#This Row],[DiscountPct]]&gt;0.2, 1, 0)</f>
        <v>0</v>
      </c>
      <c r="AG30" s="6" t="str">
        <f t="shared" si="11"/>
        <v>Low</v>
      </c>
      <c r="AH30" s="6">
        <f t="shared" si="12"/>
        <v>0.51520301554618642</v>
      </c>
      <c r="AI30" s="5">
        <v>10</v>
      </c>
      <c r="AJ30" s="6">
        <f>Table1[[#This Row],[Quantity]]*(1+WhatIf!$B$4)</f>
        <v>11</v>
      </c>
    </row>
    <row r="31" spans="1:36" x14ac:dyDescent="0.3">
      <c r="A31" t="s">
        <v>30</v>
      </c>
      <c r="B31" s="3">
        <v>45039</v>
      </c>
      <c r="C31" s="3">
        <v>45038</v>
      </c>
      <c r="D31" s="3">
        <f t="shared" si="1"/>
        <v>45053</v>
      </c>
      <c r="E31" s="4">
        <f t="shared" si="0"/>
        <v>-1</v>
      </c>
      <c r="F31" s="4">
        <f t="shared" si="2"/>
        <v>14</v>
      </c>
      <c r="G31" s="4">
        <f>IF(Table1[[#This Row],[CorrectedLeadTimeDays]]&lt;=7, 1, 0)</f>
        <v>0</v>
      </c>
      <c r="H31" s="4" t="str">
        <f t="shared" si="3"/>
        <v>April</v>
      </c>
      <c r="I31" s="4" t="str">
        <f t="shared" si="4"/>
        <v>Q2-2023</v>
      </c>
      <c r="J31" s="4" t="str">
        <f t="shared" si="5"/>
        <v>2023-01</v>
      </c>
      <c r="K31" s="3">
        <f t="shared" si="6"/>
        <v>44946</v>
      </c>
      <c r="L31" t="s">
        <v>646</v>
      </c>
      <c r="M31" t="s">
        <v>650</v>
      </c>
      <c r="N31" t="s">
        <v>664</v>
      </c>
      <c r="O31" t="s">
        <v>705</v>
      </c>
      <c r="P31" t="s">
        <v>711</v>
      </c>
      <c r="Q31" t="s">
        <v>718</v>
      </c>
      <c r="R31">
        <f t="shared" si="7"/>
        <v>3</v>
      </c>
      <c r="S31" t="s">
        <v>731</v>
      </c>
      <c r="T31" t="s">
        <v>749</v>
      </c>
      <c r="U31" s="4">
        <v>756.51</v>
      </c>
      <c r="V31" s="4">
        <f>Table1[[#This Row],[UnitCost]]*(1+WhatIf!$B$3)</f>
        <v>794.33550000000002</v>
      </c>
      <c r="W31" s="4">
        <f t="shared" si="8"/>
        <v>6808.59</v>
      </c>
      <c r="X31" s="4">
        <f>Table1[[#This Row],[ScenarioRev]]-Table1[[#This Row],[ScenarioUnitCost]]</f>
        <v>7005.2884199999999</v>
      </c>
      <c r="Y31" s="4">
        <v>850.8</v>
      </c>
      <c r="Z31" s="4">
        <f t="shared" si="9"/>
        <v>7090.5672000000004</v>
      </c>
      <c r="AA31" s="4">
        <f>Table1[[#This Row],[ScenarioQuanity]]*Table1[[#This Row],[UnitPrice]]*(1-Table1[[#This Row],[ScenarioDiscPct]])</f>
        <v>7799.62392</v>
      </c>
      <c r="AB31" s="4">
        <f t="shared" si="10"/>
        <v>281.97720000000027</v>
      </c>
      <c r="AC31" s="4">
        <f>Table1[[#This Row],[ScenarioRev]] - Table1[[#This Row],[ScenarioCostOfGoods]]</f>
        <v>794.33550000000014</v>
      </c>
      <c r="AD31" s="6">
        <v>7.3999999999999996E-2</v>
      </c>
      <c r="AE31" s="6">
        <f>MIN(Table1[[#This Row],[DiscountPct]], WhatIf!$B$2)</f>
        <v>7.3999999999999996E-2</v>
      </c>
      <c r="AF31" s="6">
        <f>IF(Table1[[#This Row],[DiscountPct]]&gt;0.2, 1, 0)</f>
        <v>0</v>
      </c>
      <c r="AG31" s="6" t="str">
        <f t="shared" si="11"/>
        <v>High</v>
      </c>
      <c r="AH31" s="6">
        <f t="shared" si="12"/>
        <v>3.9767932810791252E-2</v>
      </c>
      <c r="AI31" s="5">
        <v>9</v>
      </c>
      <c r="AJ31" s="6">
        <f>Table1[[#This Row],[Quantity]]*(1+WhatIf!$B$4)</f>
        <v>9.9</v>
      </c>
    </row>
    <row r="32" spans="1:36" x14ac:dyDescent="0.3">
      <c r="A32" t="s">
        <v>107</v>
      </c>
      <c r="B32" s="3">
        <v>45101</v>
      </c>
      <c r="C32" s="3">
        <v>45100</v>
      </c>
      <c r="D32" s="3">
        <f t="shared" si="1"/>
        <v>45115</v>
      </c>
      <c r="E32" s="4">
        <f t="shared" si="0"/>
        <v>-1</v>
      </c>
      <c r="F32" s="4">
        <f t="shared" si="2"/>
        <v>14</v>
      </c>
      <c r="G32" s="4">
        <f>IF(Table1[[#This Row],[CorrectedLeadTimeDays]]&lt;=7, 1, 0)</f>
        <v>0</v>
      </c>
      <c r="H32" s="4" t="str">
        <f t="shared" si="3"/>
        <v>June</v>
      </c>
      <c r="I32" s="4" t="str">
        <f t="shared" si="4"/>
        <v>Q2-2023</v>
      </c>
      <c r="J32" s="4" t="str">
        <f t="shared" si="5"/>
        <v>2023-01</v>
      </c>
      <c r="K32" s="3">
        <f t="shared" si="6"/>
        <v>44955</v>
      </c>
      <c r="L32" t="s">
        <v>648</v>
      </c>
      <c r="M32" t="s">
        <v>655</v>
      </c>
      <c r="N32" t="s">
        <v>692</v>
      </c>
      <c r="O32" t="s">
        <v>703</v>
      </c>
      <c r="P32" t="s">
        <v>707</v>
      </c>
      <c r="Q32" t="s">
        <v>718</v>
      </c>
      <c r="R32">
        <f t="shared" si="7"/>
        <v>4</v>
      </c>
      <c r="S32" t="s">
        <v>728</v>
      </c>
      <c r="T32" t="s">
        <v>826</v>
      </c>
      <c r="U32" s="4">
        <v>804.01</v>
      </c>
      <c r="V32" s="4">
        <f>Table1[[#This Row],[UnitCost]]*(1+WhatIf!$B$3)</f>
        <v>844.21050000000002</v>
      </c>
      <c r="W32" s="4">
        <f t="shared" si="8"/>
        <v>6432.08</v>
      </c>
      <c r="X32" s="4">
        <f>Table1[[#This Row],[ScenarioRev]]-Table1[[#This Row],[ScenarioUnitCost]]</f>
        <v>10333.402364000001</v>
      </c>
      <c r="Y32" s="4">
        <v>1405.07</v>
      </c>
      <c r="Z32" s="4">
        <f t="shared" si="9"/>
        <v>10161.46624</v>
      </c>
      <c r="AA32" s="4">
        <f>Table1[[#This Row],[ScenarioQuanity]]*Table1[[#This Row],[UnitPrice]]*(1-Table1[[#This Row],[ScenarioDiscPct]])</f>
        <v>11177.612864000001</v>
      </c>
      <c r="AB32" s="4">
        <f t="shared" si="10"/>
        <v>3729.3862399999998</v>
      </c>
      <c r="AC32" s="4">
        <f>Table1[[#This Row],[ScenarioRev]] - Table1[[#This Row],[ScenarioCostOfGoods]]</f>
        <v>844.21049999999923</v>
      </c>
      <c r="AD32" s="6">
        <v>9.6000000000000002E-2</v>
      </c>
      <c r="AE32" s="6">
        <f>MIN(Table1[[#This Row],[DiscountPct]], WhatIf!$B$2)</f>
        <v>9.6000000000000002E-2</v>
      </c>
      <c r="AF32" s="6">
        <f>IF(Table1[[#This Row],[DiscountPct]]&gt;0.2, 1, 0)</f>
        <v>0</v>
      </c>
      <c r="AG32" s="6" t="str">
        <f t="shared" si="11"/>
        <v>High</v>
      </c>
      <c r="AH32" s="6">
        <f t="shared" si="12"/>
        <v>0.36701260939287439</v>
      </c>
      <c r="AI32" s="5">
        <v>8</v>
      </c>
      <c r="AJ32" s="6">
        <f>Table1[[#This Row],[Quantity]]*(1+WhatIf!$B$4)</f>
        <v>8.8000000000000007</v>
      </c>
    </row>
    <row r="33" spans="1:36" x14ac:dyDescent="0.3">
      <c r="A33" t="s">
        <v>231</v>
      </c>
      <c r="B33" s="3">
        <v>44948</v>
      </c>
      <c r="C33" s="3">
        <v>44947</v>
      </c>
      <c r="D33" s="3">
        <f t="shared" si="1"/>
        <v>44962</v>
      </c>
      <c r="E33" s="4">
        <f t="shared" si="0"/>
        <v>-1</v>
      </c>
      <c r="F33" s="4">
        <f t="shared" si="2"/>
        <v>14</v>
      </c>
      <c r="G33" s="4">
        <f>IF(Table1[[#This Row],[CorrectedLeadTimeDays]]&lt;=7, 1, 0)</f>
        <v>0</v>
      </c>
      <c r="H33" s="4" t="str">
        <f t="shared" si="3"/>
        <v>January</v>
      </c>
      <c r="I33" s="4" t="str">
        <f t="shared" si="4"/>
        <v>Q1-2023</v>
      </c>
      <c r="J33" s="4" t="str">
        <f t="shared" si="5"/>
        <v>2023-01</v>
      </c>
      <c r="K33" s="3">
        <f t="shared" si="6"/>
        <v>44948</v>
      </c>
      <c r="L33" t="s">
        <v>649</v>
      </c>
      <c r="M33" t="s">
        <v>656</v>
      </c>
      <c r="N33" t="s">
        <v>684</v>
      </c>
      <c r="O33" t="s">
        <v>701</v>
      </c>
      <c r="P33" t="s">
        <v>711</v>
      </c>
      <c r="Q33" t="s">
        <v>721</v>
      </c>
      <c r="R33">
        <f t="shared" si="7"/>
        <v>0</v>
      </c>
      <c r="S33" t="s">
        <v>732</v>
      </c>
      <c r="T33" t="s">
        <v>951</v>
      </c>
      <c r="U33" s="4">
        <v>150.86000000000001</v>
      </c>
      <c r="V33" s="4">
        <f>Table1[[#This Row],[UnitCost]]*(1+WhatIf!$B$3)</f>
        <v>158.40300000000002</v>
      </c>
      <c r="W33" s="4">
        <f t="shared" si="8"/>
        <v>1206.8800000000001</v>
      </c>
      <c r="X33" s="4">
        <f>Table1[[#This Row],[ScenarioRev]]-Table1[[#This Row],[ScenarioUnitCost]]</f>
        <v>2296.4083920000003</v>
      </c>
      <c r="Y33" s="4">
        <v>346.96</v>
      </c>
      <c r="Z33" s="4">
        <f t="shared" si="9"/>
        <v>2231.6467200000002</v>
      </c>
      <c r="AA33" s="4">
        <f>Table1[[#This Row],[ScenarioQuanity]]*Table1[[#This Row],[UnitPrice]]*(1-Table1[[#This Row],[ScenarioDiscPct]])</f>
        <v>2454.8113920000001</v>
      </c>
      <c r="AB33" s="4">
        <f t="shared" si="10"/>
        <v>1024.7667200000001</v>
      </c>
      <c r="AC33" s="4">
        <f>Table1[[#This Row],[ScenarioRev]] - Table1[[#This Row],[ScenarioCostOfGoods]]</f>
        <v>158.40299999999979</v>
      </c>
      <c r="AD33" s="6">
        <v>0.19600000000000001</v>
      </c>
      <c r="AE33" s="6">
        <f>MIN(Table1[[#This Row],[DiscountPct]], WhatIf!$B$2)</f>
        <v>0.19600000000000001</v>
      </c>
      <c r="AF33" s="6">
        <f>IF(Table1[[#This Row],[DiscountPct]]&gt;0.2, 1, 0)</f>
        <v>0</v>
      </c>
      <c r="AG33" s="6" t="str">
        <f t="shared" si="11"/>
        <v>Low</v>
      </c>
      <c r="AH33" s="6">
        <f t="shared" si="12"/>
        <v>0.45919755614365343</v>
      </c>
      <c r="AI33" s="5">
        <v>8</v>
      </c>
      <c r="AJ33" s="6">
        <f>Table1[[#This Row],[Quantity]]*(1+WhatIf!$B$4)</f>
        <v>8.8000000000000007</v>
      </c>
    </row>
    <row r="34" spans="1:36" x14ac:dyDescent="0.3">
      <c r="A34" t="s">
        <v>35</v>
      </c>
      <c r="B34" s="3">
        <v>45498</v>
      </c>
      <c r="C34" s="3">
        <v>45497</v>
      </c>
      <c r="D34" s="3">
        <f t="shared" si="1"/>
        <v>45512</v>
      </c>
      <c r="E34" s="4">
        <f t="shared" si="0"/>
        <v>-1</v>
      </c>
      <c r="F34" s="4">
        <f t="shared" si="2"/>
        <v>14</v>
      </c>
      <c r="G34" s="4">
        <f>IF(Table1[[#This Row],[CorrectedLeadTimeDays]]&lt;=7, 1, 0)</f>
        <v>0</v>
      </c>
      <c r="H34" s="4" t="str">
        <f t="shared" si="3"/>
        <v>July</v>
      </c>
      <c r="I34" s="4" t="str">
        <f t="shared" si="4"/>
        <v>Q3-2024</v>
      </c>
      <c r="J34" s="4" t="str">
        <f t="shared" si="5"/>
        <v>2023-01</v>
      </c>
      <c r="K34" s="3">
        <f t="shared" si="6"/>
        <v>44946</v>
      </c>
      <c r="L34" t="s">
        <v>646</v>
      </c>
      <c r="M34" t="s">
        <v>650</v>
      </c>
      <c r="N34" t="s">
        <v>675</v>
      </c>
      <c r="O34" t="s">
        <v>703</v>
      </c>
      <c r="P34" t="s">
        <v>711</v>
      </c>
      <c r="Q34" t="s">
        <v>713</v>
      </c>
      <c r="R34">
        <f t="shared" si="7"/>
        <v>18</v>
      </c>
      <c r="S34" t="s">
        <v>731</v>
      </c>
      <c r="T34" t="s">
        <v>754</v>
      </c>
      <c r="U34" s="4">
        <v>1494.4</v>
      </c>
      <c r="V34" s="4">
        <f>Table1[[#This Row],[UnitCost]]*(1+WhatIf!$B$3)</f>
        <v>1569.1200000000001</v>
      </c>
      <c r="W34" s="4">
        <f t="shared" si="8"/>
        <v>10460.800000000001</v>
      </c>
      <c r="X34" s="4">
        <f>Table1[[#This Row],[ScenarioRev]]-Table1[[#This Row],[ScenarioUnitCost]]</f>
        <v>24591.421792000008</v>
      </c>
      <c r="Y34" s="4">
        <v>3661.07</v>
      </c>
      <c r="Z34" s="4">
        <f t="shared" si="9"/>
        <v>23782.310720000001</v>
      </c>
      <c r="AA34" s="4">
        <f>Table1[[#This Row],[ScenarioQuanity]]*Table1[[#This Row],[UnitPrice]]*(1-Table1[[#This Row],[ScenarioDiscPct]])</f>
        <v>26160.541792000007</v>
      </c>
      <c r="AB34" s="4">
        <f t="shared" si="10"/>
        <v>13321.51072</v>
      </c>
      <c r="AC34" s="4">
        <f>Table1[[#This Row],[ScenarioRev]] - Table1[[#This Row],[ScenarioCostOfGoods]]</f>
        <v>1569.119999999999</v>
      </c>
      <c r="AD34" s="6">
        <v>7.1999999999999995E-2</v>
      </c>
      <c r="AE34" s="6">
        <f>MIN(Table1[[#This Row],[DiscountPct]], WhatIf!$B$2)</f>
        <v>7.1999999999999995E-2</v>
      </c>
      <c r="AF34" s="6">
        <f>IF(Table1[[#This Row],[DiscountPct]]&gt;0.2, 1, 0)</f>
        <v>0</v>
      </c>
      <c r="AG34" s="6" t="str">
        <f t="shared" si="11"/>
        <v>High</v>
      </c>
      <c r="AH34" s="6">
        <f t="shared" si="12"/>
        <v>0.56014366630897339</v>
      </c>
      <c r="AI34" s="5">
        <v>7</v>
      </c>
      <c r="AJ34" s="6">
        <f>Table1[[#This Row],[Quantity]]*(1+WhatIf!$B$4)</f>
        <v>7.7000000000000011</v>
      </c>
    </row>
    <row r="35" spans="1:36" x14ac:dyDescent="0.3">
      <c r="A35" t="s">
        <v>464</v>
      </c>
      <c r="B35" s="3">
        <v>45129</v>
      </c>
      <c r="C35" s="3">
        <v>45128</v>
      </c>
      <c r="D35" s="3">
        <f t="shared" si="1"/>
        <v>45143</v>
      </c>
      <c r="E35" s="4">
        <f t="shared" si="0"/>
        <v>-1</v>
      </c>
      <c r="F35" s="4">
        <f t="shared" si="2"/>
        <v>14</v>
      </c>
      <c r="G35" s="4">
        <f>IF(Table1[[#This Row],[CorrectedLeadTimeDays]]&lt;=7, 1, 0)</f>
        <v>0</v>
      </c>
      <c r="H35" s="4" t="str">
        <f t="shared" si="3"/>
        <v>July</v>
      </c>
      <c r="I35" s="4" t="str">
        <f t="shared" si="4"/>
        <v>Q3-2023</v>
      </c>
      <c r="J35" s="4" t="str">
        <f t="shared" si="5"/>
        <v>2023-01</v>
      </c>
      <c r="K35" s="3">
        <f t="shared" si="6"/>
        <v>44955</v>
      </c>
      <c r="L35" t="s">
        <v>647</v>
      </c>
      <c r="M35" t="s">
        <v>654</v>
      </c>
      <c r="N35" t="s">
        <v>680</v>
      </c>
      <c r="O35" t="s">
        <v>705</v>
      </c>
      <c r="P35" t="s">
        <v>710</v>
      </c>
      <c r="Q35" t="s">
        <v>718</v>
      </c>
      <c r="R35">
        <f t="shared" si="7"/>
        <v>5</v>
      </c>
      <c r="S35" t="s">
        <v>728</v>
      </c>
      <c r="T35" t="s">
        <v>1183</v>
      </c>
      <c r="U35" s="4">
        <v>946.99</v>
      </c>
      <c r="V35" s="4">
        <f>Table1[[#This Row],[UnitCost]]*(1+WhatIf!$B$3)</f>
        <v>994.33950000000004</v>
      </c>
      <c r="W35" s="4">
        <f t="shared" si="8"/>
        <v>6628.93</v>
      </c>
      <c r="X35" s="4">
        <f>Table1[[#This Row],[ScenarioRev]]-Table1[[#This Row],[ScenarioUnitCost]]</f>
        <v>12714.576105</v>
      </c>
      <c r="Y35" s="4">
        <v>2132.19</v>
      </c>
      <c r="Z35" s="4">
        <f t="shared" si="9"/>
        <v>12462.65055</v>
      </c>
      <c r="AA35" s="4">
        <f>Table1[[#This Row],[ScenarioQuanity]]*Table1[[#This Row],[UnitPrice]]*(1-Table1[[#This Row],[ScenarioDiscPct]])</f>
        <v>13708.915605</v>
      </c>
      <c r="AB35" s="4">
        <f t="shared" si="10"/>
        <v>5833.72055</v>
      </c>
      <c r="AC35" s="4">
        <f>Table1[[#This Row],[ScenarioRev]] - Table1[[#This Row],[ScenarioCostOfGoods]]</f>
        <v>994.33950000000004</v>
      </c>
      <c r="AD35" s="6">
        <v>0.16500000000000001</v>
      </c>
      <c r="AE35" s="6">
        <f>MIN(Table1[[#This Row],[DiscountPct]], WhatIf!$B$2)</f>
        <v>0.16500000000000001</v>
      </c>
      <c r="AF35" s="6">
        <f>IF(Table1[[#This Row],[DiscountPct]]&gt;0.2, 1, 0)</f>
        <v>0</v>
      </c>
      <c r="AG35" s="6" t="str">
        <f t="shared" si="11"/>
        <v>High</v>
      </c>
      <c r="AH35" s="6">
        <f t="shared" si="12"/>
        <v>0.46809629513362228</v>
      </c>
      <c r="AI35" s="5">
        <v>7</v>
      </c>
      <c r="AJ35" s="6">
        <f>Table1[[#This Row],[Quantity]]*(1+WhatIf!$B$4)</f>
        <v>7.7000000000000011</v>
      </c>
    </row>
    <row r="36" spans="1:36" x14ac:dyDescent="0.3">
      <c r="A36" t="s">
        <v>587</v>
      </c>
      <c r="B36" s="3">
        <v>45293</v>
      </c>
      <c r="C36" s="3">
        <v>45293</v>
      </c>
      <c r="D36" s="3">
        <f t="shared" si="1"/>
        <v>45293</v>
      </c>
      <c r="E36" s="4">
        <f t="shared" si="0"/>
        <v>0</v>
      </c>
      <c r="F36" s="4">
        <f t="shared" si="2"/>
        <v>0</v>
      </c>
      <c r="G36" s="4">
        <f>IF(Table1[[#This Row],[CorrectedLeadTimeDays]]&lt;=7, 1, 0)</f>
        <v>1</v>
      </c>
      <c r="H36" s="4" t="str">
        <f t="shared" si="3"/>
        <v>January</v>
      </c>
      <c r="I36" s="4" t="str">
        <f t="shared" si="4"/>
        <v>Q1-2024</v>
      </c>
      <c r="J36" s="4" t="str">
        <f t="shared" si="5"/>
        <v>2023-01</v>
      </c>
      <c r="K36" s="3">
        <f t="shared" si="6"/>
        <v>44928</v>
      </c>
      <c r="L36" t="s">
        <v>648</v>
      </c>
      <c r="M36" t="s">
        <v>653</v>
      </c>
      <c r="N36" t="s">
        <v>688</v>
      </c>
      <c r="O36" t="s">
        <v>702</v>
      </c>
      <c r="P36" t="s">
        <v>711</v>
      </c>
      <c r="Q36" t="s">
        <v>720</v>
      </c>
      <c r="R36">
        <f t="shared" si="7"/>
        <v>12</v>
      </c>
      <c r="S36" t="s">
        <v>731</v>
      </c>
      <c r="T36" t="s">
        <v>1305</v>
      </c>
      <c r="U36" s="4">
        <v>444.41</v>
      </c>
      <c r="V36" s="4">
        <f>Table1[[#This Row],[UnitCost]]*(1+WhatIf!$B$3)</f>
        <v>466.63050000000004</v>
      </c>
      <c r="W36" s="4">
        <f t="shared" si="8"/>
        <v>14221.12</v>
      </c>
      <c r="X36" s="4">
        <f>Table1[[#This Row],[ScenarioRev]]-Table1[[#This Row],[ScenarioUnitCost]]</f>
        <v>20772.767900000006</v>
      </c>
      <c r="Y36" s="4">
        <v>754.24</v>
      </c>
      <c r="Z36" s="4">
        <f t="shared" si="9"/>
        <v>19139.594240000002</v>
      </c>
      <c r="AA36" s="4">
        <f>Table1[[#This Row],[ScenarioQuanity]]*Table1[[#This Row],[UnitPrice]]*(1-Table1[[#This Row],[ScenarioDiscPct]])</f>
        <v>21239.398400000005</v>
      </c>
      <c r="AB36" s="4">
        <f t="shared" si="10"/>
        <v>4918.4742400000014</v>
      </c>
      <c r="AC36" s="4">
        <f>Table1[[#This Row],[ScenarioRev]] - Table1[[#This Row],[ScenarioCostOfGoods]]</f>
        <v>466.6304999999993</v>
      </c>
      <c r="AD36" s="6">
        <v>0.20699999999999999</v>
      </c>
      <c r="AE36" s="6">
        <f>MIN(Table1[[#This Row],[DiscountPct]], WhatIf!$B$2)</f>
        <v>0.2</v>
      </c>
      <c r="AF36" s="6">
        <f>IF(Table1[[#This Row],[DiscountPct]]&gt;0.2, 1, 0)</f>
        <v>1</v>
      </c>
      <c r="AG36" s="6" t="str">
        <f t="shared" si="11"/>
        <v>Low</v>
      </c>
      <c r="AH36" s="6">
        <f t="shared" si="12"/>
        <v>0.25697902360546598</v>
      </c>
      <c r="AI36" s="5">
        <v>32</v>
      </c>
      <c r="AJ36" s="6">
        <f>Table1[[#This Row],[Quantity]]*(1+WhatIf!$B$4)</f>
        <v>35.200000000000003</v>
      </c>
    </row>
    <row r="37" spans="1:36" x14ac:dyDescent="0.3">
      <c r="A37" t="s">
        <v>499</v>
      </c>
      <c r="B37" s="3">
        <v>45634</v>
      </c>
      <c r="C37" s="3">
        <v>45634</v>
      </c>
      <c r="D37" s="3">
        <f t="shared" si="1"/>
        <v>45634</v>
      </c>
      <c r="E37" s="4">
        <f t="shared" si="0"/>
        <v>0</v>
      </c>
      <c r="F37" s="4">
        <f t="shared" si="2"/>
        <v>0</v>
      </c>
      <c r="G37" s="4">
        <f>IF(Table1[[#This Row],[CorrectedLeadTimeDays]]&lt;=7, 1, 0)</f>
        <v>1</v>
      </c>
      <c r="H37" s="4" t="str">
        <f t="shared" si="3"/>
        <v>December</v>
      </c>
      <c r="I37" s="4" t="str">
        <f t="shared" si="4"/>
        <v>Q4-2024</v>
      </c>
      <c r="J37" s="4" t="str">
        <f t="shared" si="5"/>
        <v>2023-01</v>
      </c>
      <c r="K37" s="3">
        <f t="shared" si="6"/>
        <v>44936</v>
      </c>
      <c r="L37" t="s">
        <v>649</v>
      </c>
      <c r="M37" t="s">
        <v>657</v>
      </c>
      <c r="N37" t="s">
        <v>679</v>
      </c>
      <c r="O37" t="s">
        <v>706</v>
      </c>
      <c r="P37" t="s">
        <v>707</v>
      </c>
      <c r="Q37" t="s">
        <v>722</v>
      </c>
      <c r="R37">
        <f t="shared" si="7"/>
        <v>22</v>
      </c>
      <c r="S37" t="s">
        <v>727</v>
      </c>
      <c r="T37" t="s">
        <v>1218</v>
      </c>
      <c r="U37" s="4">
        <v>257.44</v>
      </c>
      <c r="V37" s="4">
        <f>Table1[[#This Row],[UnitCost]]*(1+WhatIf!$B$3)</f>
        <v>270.31200000000001</v>
      </c>
      <c r="W37" s="4">
        <f t="shared" si="8"/>
        <v>5921.12</v>
      </c>
      <c r="X37" s="4">
        <f>Table1[[#This Row],[ScenarioRev]]-Table1[[#This Row],[ScenarioUnitCost]]</f>
        <v>6399.2648920000001</v>
      </c>
      <c r="Y37" s="4">
        <v>290.33</v>
      </c>
      <c r="Z37" s="4">
        <f t="shared" si="9"/>
        <v>6063.2517199999993</v>
      </c>
      <c r="AA37" s="4">
        <f>Table1[[#This Row],[ScenarioQuanity]]*Table1[[#This Row],[UnitPrice]]*(1-Table1[[#This Row],[ScenarioDiscPct]])</f>
        <v>6669.576892</v>
      </c>
      <c r="AB37" s="4">
        <f t="shared" si="10"/>
        <v>142.1317199999994</v>
      </c>
      <c r="AC37" s="4">
        <f>Table1[[#This Row],[ScenarioRev]] - Table1[[#This Row],[ScenarioCostOfGoods]]</f>
        <v>270.3119999999999</v>
      </c>
      <c r="AD37" s="6">
        <v>9.1999999999999998E-2</v>
      </c>
      <c r="AE37" s="6">
        <f>MIN(Table1[[#This Row],[DiscountPct]], WhatIf!$B$2)</f>
        <v>9.1999999999999998E-2</v>
      </c>
      <c r="AF37" s="6">
        <f>IF(Table1[[#This Row],[DiscountPct]]&gt;0.2, 1, 0)</f>
        <v>0</v>
      </c>
      <c r="AG37" s="6" t="str">
        <f t="shared" si="11"/>
        <v>Low</v>
      </c>
      <c r="AH37" s="6">
        <f t="shared" si="12"/>
        <v>2.3441500792581216E-2</v>
      </c>
      <c r="AI37" s="5">
        <v>23</v>
      </c>
      <c r="AJ37" s="6">
        <f>Table1[[#This Row],[Quantity]]*(1+WhatIf!$B$4)</f>
        <v>25.3</v>
      </c>
    </row>
    <row r="38" spans="1:36" x14ac:dyDescent="0.3">
      <c r="A38" t="s">
        <v>154</v>
      </c>
      <c r="B38" s="3">
        <v>45336</v>
      </c>
      <c r="C38" s="3">
        <v>45336</v>
      </c>
      <c r="D38" s="3">
        <f t="shared" si="1"/>
        <v>45336</v>
      </c>
      <c r="E38" s="4">
        <f t="shared" si="0"/>
        <v>0</v>
      </c>
      <c r="F38" s="4">
        <f t="shared" si="2"/>
        <v>0</v>
      </c>
      <c r="G38" s="4">
        <f>IF(Table1[[#This Row],[CorrectedLeadTimeDays]]&lt;=7, 1, 0)</f>
        <v>1</v>
      </c>
      <c r="H38" s="4" t="str">
        <f t="shared" si="3"/>
        <v>February</v>
      </c>
      <c r="I38" s="4" t="str">
        <f t="shared" si="4"/>
        <v>Q1-2024</v>
      </c>
      <c r="J38" s="4" t="str">
        <f t="shared" si="5"/>
        <v>2023-01</v>
      </c>
      <c r="K38" s="3">
        <f t="shared" si="6"/>
        <v>44938</v>
      </c>
      <c r="L38" t="s">
        <v>647</v>
      </c>
      <c r="M38" t="s">
        <v>659</v>
      </c>
      <c r="N38" t="s">
        <v>699</v>
      </c>
      <c r="O38" t="s">
        <v>701</v>
      </c>
      <c r="P38" t="s">
        <v>710</v>
      </c>
      <c r="Q38" t="s">
        <v>716</v>
      </c>
      <c r="R38">
        <f t="shared" si="7"/>
        <v>13</v>
      </c>
      <c r="S38" t="s">
        <v>733</v>
      </c>
      <c r="T38" t="s">
        <v>873</v>
      </c>
      <c r="U38" s="4">
        <v>65.930000000000007</v>
      </c>
      <c r="V38" s="4">
        <f>Table1[[#This Row],[UnitCost]]*(1+WhatIf!$B$3)</f>
        <v>69.226500000000016</v>
      </c>
      <c r="W38" s="4">
        <f t="shared" si="8"/>
        <v>1516.39</v>
      </c>
      <c r="X38" s="4">
        <f>Table1[[#This Row],[ScenarioRev]]-Table1[[#This Row],[ScenarioUnitCost]]</f>
        <v>1649.1495000000002</v>
      </c>
      <c r="Y38" s="4">
        <v>84.9</v>
      </c>
      <c r="Z38" s="4">
        <f t="shared" si="9"/>
        <v>1446.9507000000001</v>
      </c>
      <c r="AA38" s="4">
        <f>Table1[[#This Row],[ScenarioQuanity]]*Table1[[#This Row],[UnitPrice]]*(1-Table1[[#This Row],[ScenarioDiscPct]])</f>
        <v>1718.3760000000002</v>
      </c>
      <c r="AB38" s="4">
        <f t="shared" si="10"/>
        <v>-69.439300000000003</v>
      </c>
      <c r="AC38" s="4">
        <f>Table1[[#This Row],[ScenarioRev]] - Table1[[#This Row],[ScenarioCostOfGoods]]</f>
        <v>69.226499999999987</v>
      </c>
      <c r="AD38" s="6">
        <v>0.25900000000000001</v>
      </c>
      <c r="AE38" s="6">
        <f>MIN(Table1[[#This Row],[DiscountPct]], WhatIf!$B$2)</f>
        <v>0.2</v>
      </c>
      <c r="AF38" s="6">
        <f>IF(Table1[[#This Row],[DiscountPct]]&gt;0.2, 1, 0)</f>
        <v>1</v>
      </c>
      <c r="AG38" s="6" t="str">
        <f t="shared" si="11"/>
        <v>Low</v>
      </c>
      <c r="AH38" s="6">
        <f t="shared" si="12"/>
        <v>-4.7990093926489688E-2</v>
      </c>
      <c r="AI38" s="5">
        <v>23</v>
      </c>
      <c r="AJ38" s="6">
        <f>Table1[[#This Row],[Quantity]]*(1+WhatIf!$B$4)</f>
        <v>25.3</v>
      </c>
    </row>
    <row r="39" spans="1:36" x14ac:dyDescent="0.3">
      <c r="A39" t="s">
        <v>313</v>
      </c>
      <c r="B39" s="3">
        <v>45679</v>
      </c>
      <c r="C39" s="3">
        <v>45679</v>
      </c>
      <c r="D39" s="3">
        <f t="shared" si="1"/>
        <v>45679</v>
      </c>
      <c r="E39" s="4">
        <f t="shared" si="0"/>
        <v>0</v>
      </c>
      <c r="F39" s="4">
        <f t="shared" si="2"/>
        <v>0</v>
      </c>
      <c r="G39" s="4">
        <f>IF(Table1[[#This Row],[CorrectedLeadTimeDays]]&lt;=7, 1, 0)</f>
        <v>1</v>
      </c>
      <c r="H39" s="4" t="str">
        <f t="shared" si="3"/>
        <v>January</v>
      </c>
      <c r="I39" s="4" t="str">
        <f t="shared" si="4"/>
        <v>Q1-2025</v>
      </c>
      <c r="J39" s="4" t="str">
        <f t="shared" si="5"/>
        <v>2023-01</v>
      </c>
      <c r="K39" s="3">
        <f t="shared" si="6"/>
        <v>44936</v>
      </c>
      <c r="L39" t="s">
        <v>649</v>
      </c>
      <c r="M39" t="s">
        <v>657</v>
      </c>
      <c r="N39" t="s">
        <v>679</v>
      </c>
      <c r="O39" t="s">
        <v>705</v>
      </c>
      <c r="P39" t="s">
        <v>708</v>
      </c>
      <c r="Q39" t="s">
        <v>717</v>
      </c>
      <c r="R39">
        <f t="shared" si="7"/>
        <v>24</v>
      </c>
      <c r="S39" t="s">
        <v>733</v>
      </c>
      <c r="T39" t="s">
        <v>1033</v>
      </c>
      <c r="U39" s="4">
        <v>591.72</v>
      </c>
      <c r="V39" s="4">
        <f>Table1[[#This Row],[UnitCost]]*(1+WhatIf!$B$3)</f>
        <v>621.30600000000004</v>
      </c>
      <c r="W39" s="4">
        <f t="shared" si="8"/>
        <v>13017.84</v>
      </c>
      <c r="X39" s="4">
        <f>Table1[[#This Row],[ScenarioRev]]-Table1[[#This Row],[ScenarioUnitCost]]</f>
        <v>13347.902000000002</v>
      </c>
      <c r="Y39" s="4">
        <v>577.24</v>
      </c>
      <c r="Z39" s="4">
        <f t="shared" si="9"/>
        <v>12699.28</v>
      </c>
      <c r="AA39" s="4">
        <f>Table1[[#This Row],[ScenarioQuanity]]*Table1[[#This Row],[UnitPrice]]*(1-Table1[[#This Row],[ScenarioDiscPct]])</f>
        <v>13969.208000000002</v>
      </c>
      <c r="AB39" s="4">
        <f t="shared" si="10"/>
        <v>-318.55999999999949</v>
      </c>
      <c r="AC39" s="4">
        <f>Table1[[#This Row],[ScenarioRev]] - Table1[[#This Row],[ScenarioCostOfGoods]]</f>
        <v>621.30600000000049</v>
      </c>
      <c r="AD39" s="6">
        <v>0</v>
      </c>
      <c r="AE39" s="6">
        <f>MIN(Table1[[#This Row],[DiscountPct]], WhatIf!$B$2)</f>
        <v>0</v>
      </c>
      <c r="AF39" s="6">
        <f>IF(Table1[[#This Row],[DiscountPct]]&gt;0.2, 1, 0)</f>
        <v>0</v>
      </c>
      <c r="AG39" s="6" t="str">
        <f t="shared" si="11"/>
        <v>Low</v>
      </c>
      <c r="AH39" s="6">
        <f t="shared" si="12"/>
        <v>-2.5084886702238195E-2</v>
      </c>
      <c r="AI39" s="5">
        <v>22</v>
      </c>
      <c r="AJ39" s="6">
        <f>Table1[[#This Row],[Quantity]]*(1+WhatIf!$B$4)</f>
        <v>24.200000000000003</v>
      </c>
    </row>
    <row r="40" spans="1:36" x14ac:dyDescent="0.3">
      <c r="A40" t="s">
        <v>599</v>
      </c>
      <c r="B40" s="3">
        <v>45764</v>
      </c>
      <c r="C40" s="3">
        <v>45764</v>
      </c>
      <c r="D40" s="3">
        <f t="shared" si="1"/>
        <v>45764</v>
      </c>
      <c r="E40" s="4">
        <f t="shared" si="0"/>
        <v>0</v>
      </c>
      <c r="F40" s="4">
        <f t="shared" si="2"/>
        <v>0</v>
      </c>
      <c r="G40" s="4">
        <f>IF(Table1[[#This Row],[CorrectedLeadTimeDays]]&lt;=7, 1, 0)</f>
        <v>1</v>
      </c>
      <c r="H40" s="4" t="str">
        <f t="shared" si="3"/>
        <v>April</v>
      </c>
      <c r="I40" s="4" t="str">
        <f t="shared" si="4"/>
        <v>Q2-2025</v>
      </c>
      <c r="J40" s="4" t="str">
        <f t="shared" si="5"/>
        <v>2023-01</v>
      </c>
      <c r="K40" s="3">
        <f t="shared" si="6"/>
        <v>44955</v>
      </c>
      <c r="L40" t="s">
        <v>648</v>
      </c>
      <c r="M40" t="s">
        <v>655</v>
      </c>
      <c r="N40" t="s">
        <v>670</v>
      </c>
      <c r="O40" t="s">
        <v>701</v>
      </c>
      <c r="P40" t="s">
        <v>710</v>
      </c>
      <c r="Q40" t="s">
        <v>716</v>
      </c>
      <c r="R40">
        <f t="shared" si="7"/>
        <v>26</v>
      </c>
      <c r="S40" t="s">
        <v>730</v>
      </c>
      <c r="T40" t="s">
        <v>1317</v>
      </c>
      <c r="U40" s="4">
        <v>719.41</v>
      </c>
      <c r="V40" s="4">
        <f>Table1[[#This Row],[UnitCost]]*(1+WhatIf!$B$3)</f>
        <v>755.38049999999998</v>
      </c>
      <c r="W40" s="4">
        <f t="shared" si="8"/>
        <v>15107.609999999999</v>
      </c>
      <c r="X40" s="4">
        <f>Table1[[#This Row],[ScenarioRev]]-Table1[[#This Row],[ScenarioUnitCost]]</f>
        <v>24188.563371000004</v>
      </c>
      <c r="Y40" s="4">
        <v>1125.99</v>
      </c>
      <c r="Z40" s="4">
        <f t="shared" si="9"/>
        <v>22676.312610000001</v>
      </c>
      <c r="AA40" s="4">
        <f>Table1[[#This Row],[ScenarioQuanity]]*Table1[[#This Row],[UnitPrice]]*(1-Table1[[#This Row],[ScenarioDiscPct]])</f>
        <v>24943.943871000003</v>
      </c>
      <c r="AB40" s="4">
        <f t="shared" si="10"/>
        <v>7568.7026100000021</v>
      </c>
      <c r="AC40" s="4">
        <f>Table1[[#This Row],[ScenarioRev]] - Table1[[#This Row],[ScenarioCostOfGoods]]</f>
        <v>755.3804999999993</v>
      </c>
      <c r="AD40" s="6">
        <v>4.1000000000000002E-2</v>
      </c>
      <c r="AE40" s="6">
        <f>MIN(Table1[[#This Row],[DiscountPct]], WhatIf!$B$2)</f>
        <v>4.1000000000000002E-2</v>
      </c>
      <c r="AF40" s="6">
        <f>IF(Table1[[#This Row],[DiscountPct]]&gt;0.2, 1, 0)</f>
        <v>0</v>
      </c>
      <c r="AG40" s="6" t="str">
        <f t="shared" si="11"/>
        <v>High</v>
      </c>
      <c r="AH40" s="6">
        <f t="shared" si="12"/>
        <v>0.33377131194876403</v>
      </c>
      <c r="AI40" s="5">
        <v>21</v>
      </c>
      <c r="AJ40" s="6">
        <f>Table1[[#This Row],[Quantity]]*(1+WhatIf!$B$4)</f>
        <v>23.1</v>
      </c>
    </row>
    <row r="41" spans="1:36" x14ac:dyDescent="0.3">
      <c r="A41" t="s">
        <v>280</v>
      </c>
      <c r="B41" s="3">
        <v>45573</v>
      </c>
      <c r="C41" s="3">
        <v>45573</v>
      </c>
      <c r="D41" s="3">
        <f t="shared" si="1"/>
        <v>45573</v>
      </c>
      <c r="E41" s="4">
        <f t="shared" si="0"/>
        <v>0</v>
      </c>
      <c r="F41" s="4">
        <f t="shared" si="2"/>
        <v>0</v>
      </c>
      <c r="G41" s="4">
        <f>IF(Table1[[#This Row],[CorrectedLeadTimeDays]]&lt;=7, 1, 0)</f>
        <v>1</v>
      </c>
      <c r="H41" s="4" t="str">
        <f t="shared" si="3"/>
        <v>October</v>
      </c>
      <c r="I41" s="4" t="str">
        <f t="shared" si="4"/>
        <v>Q4-2024</v>
      </c>
      <c r="J41" s="4" t="str">
        <f t="shared" si="5"/>
        <v>2023-01</v>
      </c>
      <c r="K41" s="3">
        <f t="shared" si="6"/>
        <v>44945</v>
      </c>
      <c r="L41" t="s">
        <v>649</v>
      </c>
      <c r="M41" t="s">
        <v>658</v>
      </c>
      <c r="N41" t="s">
        <v>683</v>
      </c>
      <c r="O41" t="s">
        <v>701</v>
      </c>
      <c r="P41" t="s">
        <v>708</v>
      </c>
      <c r="Q41" t="s">
        <v>718</v>
      </c>
      <c r="R41">
        <f t="shared" si="7"/>
        <v>20</v>
      </c>
      <c r="S41" t="s">
        <v>732</v>
      </c>
      <c r="T41" t="s">
        <v>1000</v>
      </c>
      <c r="U41" s="4">
        <v>1108.1099999999999</v>
      </c>
      <c r="V41" s="4">
        <f>Table1[[#This Row],[UnitCost]]*(1+WhatIf!$B$3)</f>
        <v>1163.5155</v>
      </c>
      <c r="W41" s="4">
        <f t="shared" si="8"/>
        <v>21054.089999999997</v>
      </c>
      <c r="X41" s="4">
        <f>Table1[[#This Row],[ScenarioRev]]-Table1[[#This Row],[ScenarioUnitCost]]</f>
        <v>41537.120676000006</v>
      </c>
      <c r="Y41" s="4">
        <v>2503.79</v>
      </c>
      <c r="Z41" s="4">
        <f t="shared" si="9"/>
        <v>38818.760160000005</v>
      </c>
      <c r="AA41" s="4">
        <f>Table1[[#This Row],[ScenarioQuanity]]*Table1[[#This Row],[UnitPrice]]*(1-Table1[[#This Row],[ScenarioDiscPct]])</f>
        <v>42700.636176000007</v>
      </c>
      <c r="AB41" s="4">
        <f t="shared" si="10"/>
        <v>17764.670160000009</v>
      </c>
      <c r="AC41" s="4">
        <f>Table1[[#This Row],[ScenarioRev]] - Table1[[#This Row],[ScenarioCostOfGoods]]</f>
        <v>1163.5155000000013</v>
      </c>
      <c r="AD41" s="6">
        <v>0.184</v>
      </c>
      <c r="AE41" s="6">
        <f>MIN(Table1[[#This Row],[DiscountPct]], WhatIf!$B$2)</f>
        <v>0.184</v>
      </c>
      <c r="AF41" s="6">
        <f>IF(Table1[[#This Row],[DiscountPct]]&gt;0.2, 1, 0)</f>
        <v>0</v>
      </c>
      <c r="AG41" s="6" t="str">
        <f t="shared" si="11"/>
        <v>High</v>
      </c>
      <c r="AH41" s="6">
        <f t="shared" si="12"/>
        <v>0.45763105485025896</v>
      </c>
      <c r="AI41" s="5">
        <v>19</v>
      </c>
      <c r="AJ41" s="6">
        <f>Table1[[#This Row],[Quantity]]*(1+WhatIf!$B$4)</f>
        <v>20.900000000000002</v>
      </c>
    </row>
    <row r="42" spans="1:36" x14ac:dyDescent="0.3">
      <c r="A42" t="s">
        <v>366</v>
      </c>
      <c r="B42" s="3">
        <v>45121</v>
      </c>
      <c r="C42" s="3">
        <v>45121</v>
      </c>
      <c r="D42" s="3">
        <f t="shared" si="1"/>
        <v>45121</v>
      </c>
      <c r="E42" s="4">
        <f t="shared" si="0"/>
        <v>0</v>
      </c>
      <c r="F42" s="4">
        <f t="shared" si="2"/>
        <v>0</v>
      </c>
      <c r="G42" s="4">
        <f>IF(Table1[[#This Row],[CorrectedLeadTimeDays]]&lt;=7, 1, 0)</f>
        <v>1</v>
      </c>
      <c r="H42" s="4" t="str">
        <f t="shared" si="3"/>
        <v>July</v>
      </c>
      <c r="I42" s="4" t="str">
        <f t="shared" si="4"/>
        <v>Q3-2023</v>
      </c>
      <c r="J42" s="4" t="str">
        <f t="shared" si="5"/>
        <v>2023-01</v>
      </c>
      <c r="K42" s="3">
        <f t="shared" si="6"/>
        <v>44941</v>
      </c>
      <c r="L42" t="s">
        <v>646</v>
      </c>
      <c r="M42" t="s">
        <v>651</v>
      </c>
      <c r="N42" t="s">
        <v>665</v>
      </c>
      <c r="O42" t="s">
        <v>702</v>
      </c>
      <c r="P42" t="s">
        <v>707</v>
      </c>
      <c r="Q42" t="s">
        <v>714</v>
      </c>
      <c r="R42">
        <f t="shared" si="7"/>
        <v>5</v>
      </c>
      <c r="S42" t="s">
        <v>733</v>
      </c>
      <c r="T42" t="s">
        <v>1086</v>
      </c>
      <c r="U42" s="4">
        <v>956.38</v>
      </c>
      <c r="V42" s="4">
        <f>Table1[[#This Row],[UnitCost]]*(1+WhatIf!$B$3)</f>
        <v>1004.1990000000001</v>
      </c>
      <c r="W42" s="4">
        <f t="shared" si="8"/>
        <v>18171.22</v>
      </c>
      <c r="X42" s="4">
        <f>Table1[[#This Row],[ScenarioRev]]-Table1[[#This Row],[ScenarioUnitCost]]</f>
        <v>28203.664278000004</v>
      </c>
      <c r="Y42" s="4">
        <v>1454.22</v>
      </c>
      <c r="Z42" s="4">
        <f t="shared" si="9"/>
        <v>26552.60298</v>
      </c>
      <c r="AA42" s="4">
        <f>Table1[[#This Row],[ScenarioQuanity]]*Table1[[#This Row],[UnitPrice]]*(1-Table1[[#This Row],[ScenarioDiscPct]])</f>
        <v>29207.863278000004</v>
      </c>
      <c r="AB42" s="4">
        <f t="shared" si="10"/>
        <v>8381.3829799999985</v>
      </c>
      <c r="AC42" s="4">
        <f>Table1[[#This Row],[ScenarioRev]] - Table1[[#This Row],[ScenarioCostOfGoods]]</f>
        <v>1004.1990000000005</v>
      </c>
      <c r="AD42" s="6">
        <v>3.9E-2</v>
      </c>
      <c r="AE42" s="6">
        <f>MIN(Table1[[#This Row],[DiscountPct]], WhatIf!$B$2)</f>
        <v>3.9E-2</v>
      </c>
      <c r="AF42" s="6">
        <f>IF(Table1[[#This Row],[DiscountPct]]&gt;0.2, 1, 0)</f>
        <v>0</v>
      </c>
      <c r="AG42" s="6" t="str">
        <f t="shared" si="11"/>
        <v>High</v>
      </c>
      <c r="AH42" s="6">
        <f t="shared" si="12"/>
        <v>0.31565202802576603</v>
      </c>
      <c r="AI42" s="5">
        <v>19</v>
      </c>
      <c r="AJ42" s="6">
        <f>Table1[[#This Row],[Quantity]]*(1+WhatIf!$B$4)</f>
        <v>20.900000000000002</v>
      </c>
    </row>
    <row r="43" spans="1:36" x14ac:dyDescent="0.3">
      <c r="A43" t="s">
        <v>185</v>
      </c>
      <c r="B43" s="3">
        <v>45488</v>
      </c>
      <c r="C43" s="3">
        <v>45488</v>
      </c>
      <c r="D43" s="3">
        <f t="shared" si="1"/>
        <v>45488</v>
      </c>
      <c r="E43" s="4">
        <f t="shared" si="0"/>
        <v>0</v>
      </c>
      <c r="F43" s="4">
        <f t="shared" si="2"/>
        <v>0</v>
      </c>
      <c r="G43" s="4">
        <f>IF(Table1[[#This Row],[CorrectedLeadTimeDays]]&lt;=7, 1, 0)</f>
        <v>1</v>
      </c>
      <c r="H43" s="4" t="str">
        <f t="shared" si="3"/>
        <v>July</v>
      </c>
      <c r="I43" s="4" t="str">
        <f t="shared" si="4"/>
        <v>Q3-2024</v>
      </c>
      <c r="J43" s="4" t="str">
        <f t="shared" si="5"/>
        <v>2023-03</v>
      </c>
      <c r="K43" s="3">
        <f t="shared" si="6"/>
        <v>44988</v>
      </c>
      <c r="L43" t="s">
        <v>647</v>
      </c>
      <c r="M43" t="s">
        <v>652</v>
      </c>
      <c r="N43" t="s">
        <v>689</v>
      </c>
      <c r="O43" t="s">
        <v>705</v>
      </c>
      <c r="P43" t="s">
        <v>709</v>
      </c>
      <c r="Q43" t="s">
        <v>715</v>
      </c>
      <c r="R43">
        <f t="shared" si="7"/>
        <v>16</v>
      </c>
      <c r="S43" t="s">
        <v>733</v>
      </c>
      <c r="T43" t="s">
        <v>904</v>
      </c>
      <c r="U43" s="4">
        <v>801.77</v>
      </c>
      <c r="V43" s="4">
        <f>Table1[[#This Row],[UnitCost]]*(1+WhatIf!$B$3)</f>
        <v>841.85850000000005</v>
      </c>
      <c r="W43" s="4">
        <f t="shared" si="8"/>
        <v>12828.32</v>
      </c>
      <c r="X43" s="4">
        <f>Table1[[#This Row],[ScenarioRev]]-Table1[[#This Row],[ScenarioUnitCost]]</f>
        <v>16320.535100000003</v>
      </c>
      <c r="Y43" s="4">
        <v>1218.92</v>
      </c>
      <c r="Z43" s="4">
        <f t="shared" si="9"/>
        <v>14549.029120000001</v>
      </c>
      <c r="AA43" s="4">
        <f>Table1[[#This Row],[ScenarioQuanity]]*Table1[[#This Row],[UnitPrice]]*(1-Table1[[#This Row],[ScenarioDiscPct]])</f>
        <v>17162.393600000003</v>
      </c>
      <c r="AB43" s="4">
        <f t="shared" si="10"/>
        <v>1720.7091200000013</v>
      </c>
      <c r="AC43" s="4">
        <f>Table1[[#This Row],[ScenarioRev]] - Table1[[#This Row],[ScenarioCostOfGoods]]</f>
        <v>841.85850000000028</v>
      </c>
      <c r="AD43" s="6">
        <v>0.254</v>
      </c>
      <c r="AE43" s="6">
        <f>MIN(Table1[[#This Row],[DiscountPct]], WhatIf!$B$2)</f>
        <v>0.2</v>
      </c>
      <c r="AF43" s="6">
        <f>IF(Table1[[#This Row],[DiscountPct]]&gt;0.2, 1, 0)</f>
        <v>1</v>
      </c>
      <c r="AG43" s="6" t="str">
        <f t="shared" si="11"/>
        <v>High</v>
      </c>
      <c r="AH43" s="6">
        <f t="shared" si="12"/>
        <v>0.11826968698788344</v>
      </c>
      <c r="AI43" s="5">
        <v>16</v>
      </c>
      <c r="AJ43" s="6">
        <f>Table1[[#This Row],[Quantity]]*(1+WhatIf!$B$4)</f>
        <v>17.600000000000001</v>
      </c>
    </row>
    <row r="44" spans="1:36" x14ac:dyDescent="0.3">
      <c r="A44" t="s">
        <v>625</v>
      </c>
      <c r="B44" s="3">
        <v>45323</v>
      </c>
      <c r="C44" s="3">
        <v>45323</v>
      </c>
      <c r="D44" s="3">
        <f t="shared" si="1"/>
        <v>45323</v>
      </c>
      <c r="E44" s="4">
        <f t="shared" si="0"/>
        <v>0</v>
      </c>
      <c r="F44" s="4">
        <f t="shared" si="2"/>
        <v>0</v>
      </c>
      <c r="G44" s="4">
        <f>IF(Table1[[#This Row],[CorrectedLeadTimeDays]]&lt;=7, 1, 0)</f>
        <v>1</v>
      </c>
      <c r="H44" s="4" t="str">
        <f t="shared" si="3"/>
        <v>February</v>
      </c>
      <c r="I44" s="4" t="str">
        <f t="shared" si="4"/>
        <v>Q1-2024</v>
      </c>
      <c r="J44" s="4" t="str">
        <f t="shared" si="5"/>
        <v>2023-01</v>
      </c>
      <c r="K44" s="3">
        <f t="shared" si="6"/>
        <v>44939</v>
      </c>
      <c r="L44" t="s">
        <v>648</v>
      </c>
      <c r="M44" t="s">
        <v>660</v>
      </c>
      <c r="N44" t="s">
        <v>697</v>
      </c>
      <c r="O44" t="s">
        <v>704</v>
      </c>
      <c r="P44" t="s">
        <v>710</v>
      </c>
      <c r="Q44" t="s">
        <v>722</v>
      </c>
      <c r="R44">
        <f t="shared" si="7"/>
        <v>12</v>
      </c>
      <c r="S44" t="s">
        <v>728</v>
      </c>
      <c r="T44" t="s">
        <v>1343</v>
      </c>
      <c r="U44" s="4">
        <v>714.43</v>
      </c>
      <c r="V44" s="4">
        <f>Table1[[#This Row],[UnitCost]]*(1+WhatIf!$B$3)</f>
        <v>750.15149999999994</v>
      </c>
      <c r="W44" s="4">
        <f t="shared" si="8"/>
        <v>10002.019999999999</v>
      </c>
      <c r="X44" s="4">
        <f>Table1[[#This Row],[ScenarioRev]]-Table1[[#This Row],[ScenarioUnitCost]]</f>
        <v>19054.080948000003</v>
      </c>
      <c r="Y44" s="4">
        <v>1595.52</v>
      </c>
      <c r="Z44" s="4">
        <f t="shared" si="9"/>
        <v>18003.847679999999</v>
      </c>
      <c r="AA44" s="4">
        <f>Table1[[#This Row],[ScenarioQuanity]]*Table1[[#This Row],[UnitPrice]]*(1-Table1[[#This Row],[ScenarioDiscPct]])</f>
        <v>19804.232448000002</v>
      </c>
      <c r="AB44" s="4">
        <f t="shared" si="10"/>
        <v>8001.8276800000003</v>
      </c>
      <c r="AC44" s="4">
        <f>Table1[[#This Row],[ScenarioRev]] - Table1[[#This Row],[ScenarioCostOfGoods]]</f>
        <v>750.15149999999994</v>
      </c>
      <c r="AD44" s="6">
        <v>0.19400000000000001</v>
      </c>
      <c r="AE44" s="6">
        <f>MIN(Table1[[#This Row],[DiscountPct]], WhatIf!$B$2)</f>
        <v>0.19400000000000001</v>
      </c>
      <c r="AF44" s="6">
        <f>IF(Table1[[#This Row],[DiscountPct]]&gt;0.2, 1, 0)</f>
        <v>0</v>
      </c>
      <c r="AG44" s="6" t="str">
        <f t="shared" si="11"/>
        <v>High</v>
      </c>
      <c r="AH44" s="6">
        <f t="shared" si="12"/>
        <v>0.44445097638151093</v>
      </c>
      <c r="AI44" s="5">
        <v>14</v>
      </c>
      <c r="AJ44" s="6">
        <f>Table1[[#This Row],[Quantity]]*(1+WhatIf!$B$4)</f>
        <v>15.400000000000002</v>
      </c>
    </row>
    <row r="45" spans="1:36" x14ac:dyDescent="0.3">
      <c r="A45" t="s">
        <v>583</v>
      </c>
      <c r="B45" s="3">
        <v>45342</v>
      </c>
      <c r="C45" s="3">
        <v>45342</v>
      </c>
      <c r="D45" s="3">
        <f t="shared" si="1"/>
        <v>45342</v>
      </c>
      <c r="E45" s="4">
        <f t="shared" si="0"/>
        <v>0</v>
      </c>
      <c r="F45" s="4">
        <f t="shared" si="2"/>
        <v>0</v>
      </c>
      <c r="G45" s="4">
        <f>IF(Table1[[#This Row],[CorrectedLeadTimeDays]]&lt;=7, 1, 0)</f>
        <v>1</v>
      </c>
      <c r="H45" s="4" t="str">
        <f t="shared" si="3"/>
        <v>February</v>
      </c>
      <c r="I45" s="4" t="str">
        <f t="shared" si="4"/>
        <v>Q1-2024</v>
      </c>
      <c r="J45" s="4" t="str">
        <f t="shared" si="5"/>
        <v>2023-01</v>
      </c>
      <c r="K45" s="3">
        <f t="shared" si="6"/>
        <v>44939</v>
      </c>
      <c r="L45" t="s">
        <v>648</v>
      </c>
      <c r="M45" t="s">
        <v>660</v>
      </c>
      <c r="N45" t="s">
        <v>700</v>
      </c>
      <c r="O45" t="s">
        <v>706</v>
      </c>
      <c r="P45" t="s">
        <v>708</v>
      </c>
      <c r="Q45" t="s">
        <v>712</v>
      </c>
      <c r="R45">
        <f t="shared" si="7"/>
        <v>13</v>
      </c>
      <c r="S45" t="s">
        <v>729</v>
      </c>
      <c r="T45" t="s">
        <v>1301</v>
      </c>
      <c r="U45" s="4">
        <v>1407.05</v>
      </c>
      <c r="V45" s="4">
        <f>Table1[[#This Row],[UnitCost]]*(1+WhatIf!$B$3)</f>
        <v>1477.4024999999999</v>
      </c>
      <c r="W45" s="4">
        <f t="shared" si="8"/>
        <v>16884.599999999999</v>
      </c>
      <c r="X45" s="4">
        <f>Table1[[#This Row],[ScenarioRev]]-Table1[[#This Row],[ScenarioUnitCost]]</f>
        <v>36260.473500000007</v>
      </c>
      <c r="Y45" s="4">
        <v>2858.93</v>
      </c>
      <c r="Z45" s="4">
        <f t="shared" si="9"/>
        <v>34307.159999999996</v>
      </c>
      <c r="AA45" s="4">
        <f>Table1[[#This Row],[ScenarioQuanity]]*Table1[[#This Row],[UnitPrice]]*(1-Table1[[#This Row],[ScenarioDiscPct]])</f>
        <v>37737.876000000004</v>
      </c>
      <c r="AB45" s="4">
        <f t="shared" si="10"/>
        <v>17422.559999999998</v>
      </c>
      <c r="AC45" s="4">
        <f>Table1[[#This Row],[ScenarioRev]] - Table1[[#This Row],[ScenarioCostOfGoods]]</f>
        <v>1477.4024999999965</v>
      </c>
      <c r="AD45" s="6">
        <v>0</v>
      </c>
      <c r="AE45" s="6">
        <f>MIN(Table1[[#This Row],[DiscountPct]], WhatIf!$B$2)</f>
        <v>0</v>
      </c>
      <c r="AF45" s="6">
        <f>IF(Table1[[#This Row],[DiscountPct]]&gt;0.2, 1, 0)</f>
        <v>0</v>
      </c>
      <c r="AG45" s="6" t="str">
        <f t="shared" si="11"/>
        <v>High</v>
      </c>
      <c r="AH45" s="6">
        <f t="shared" si="12"/>
        <v>0.50784034586366222</v>
      </c>
      <c r="AI45" s="5">
        <v>12</v>
      </c>
      <c r="AJ45" s="6">
        <f>Table1[[#This Row],[Quantity]]*(1+WhatIf!$B$4)</f>
        <v>13.200000000000001</v>
      </c>
    </row>
    <row r="46" spans="1:36" x14ac:dyDescent="0.3">
      <c r="A46" t="s">
        <v>446</v>
      </c>
      <c r="B46" s="3">
        <v>45220</v>
      </c>
      <c r="C46" s="3">
        <v>45220</v>
      </c>
      <c r="D46" s="3">
        <f t="shared" si="1"/>
        <v>45220</v>
      </c>
      <c r="E46" s="4">
        <f t="shared" si="0"/>
        <v>0</v>
      </c>
      <c r="F46" s="4">
        <f t="shared" si="2"/>
        <v>0</v>
      </c>
      <c r="G46" s="4">
        <f>IF(Table1[[#This Row],[CorrectedLeadTimeDays]]&lt;=7, 1, 0)</f>
        <v>1</v>
      </c>
      <c r="H46" s="4" t="str">
        <f t="shared" si="3"/>
        <v>October</v>
      </c>
      <c r="I46" s="4" t="str">
        <f t="shared" si="4"/>
        <v>Q4-2023</v>
      </c>
      <c r="J46" s="4" t="str">
        <f t="shared" si="5"/>
        <v>2023-01</v>
      </c>
      <c r="K46" s="3">
        <f t="shared" si="6"/>
        <v>44945</v>
      </c>
      <c r="L46" t="s">
        <v>649</v>
      </c>
      <c r="M46" t="s">
        <v>658</v>
      </c>
      <c r="N46" t="s">
        <v>693</v>
      </c>
      <c r="O46" t="s">
        <v>706</v>
      </c>
      <c r="P46" t="s">
        <v>710</v>
      </c>
      <c r="Q46" t="s">
        <v>713</v>
      </c>
      <c r="R46">
        <f t="shared" si="7"/>
        <v>9</v>
      </c>
      <c r="S46" t="s">
        <v>732</v>
      </c>
      <c r="T46" t="s">
        <v>1165</v>
      </c>
      <c r="U46" s="4">
        <v>384.19</v>
      </c>
      <c r="V46" s="4">
        <f>Table1[[#This Row],[UnitCost]]*(1+WhatIf!$B$3)</f>
        <v>403.39949999999999</v>
      </c>
      <c r="W46" s="4">
        <f t="shared" si="8"/>
        <v>3841.9</v>
      </c>
      <c r="X46" s="4">
        <f>Table1[[#This Row],[ScenarioRev]]-Table1[[#This Row],[ScenarioUnitCost]]</f>
        <v>2486.9869000000003</v>
      </c>
      <c r="Y46" s="4">
        <v>278.35000000000002</v>
      </c>
      <c r="Z46" s="4">
        <f t="shared" si="9"/>
        <v>2627.6239999999998</v>
      </c>
      <c r="AA46" s="4">
        <f>Table1[[#This Row],[ScenarioQuanity]]*Table1[[#This Row],[UnitPrice]]*(1-Table1[[#This Row],[ScenarioDiscPct]])</f>
        <v>2890.3864000000003</v>
      </c>
      <c r="AB46" s="4">
        <f t="shared" si="10"/>
        <v>-1214.2760000000003</v>
      </c>
      <c r="AC46" s="4">
        <f>Table1[[#This Row],[ScenarioRev]] - Table1[[#This Row],[ScenarioCostOfGoods]]</f>
        <v>403.39949999999999</v>
      </c>
      <c r="AD46" s="6">
        <v>5.6000000000000001E-2</v>
      </c>
      <c r="AE46" s="6">
        <f>MIN(Table1[[#This Row],[DiscountPct]], WhatIf!$B$2)</f>
        <v>5.6000000000000001E-2</v>
      </c>
      <c r="AF46" s="6">
        <f>IF(Table1[[#This Row],[DiscountPct]]&gt;0.2, 1, 0)</f>
        <v>0</v>
      </c>
      <c r="AG46" s="6" t="str">
        <f t="shared" si="11"/>
        <v>Low</v>
      </c>
      <c r="AH46" s="6">
        <f t="shared" si="12"/>
        <v>-0.46211938998882657</v>
      </c>
      <c r="AI46" s="5">
        <v>10</v>
      </c>
      <c r="AJ46" s="6">
        <f>Table1[[#This Row],[Quantity]]*(1+WhatIf!$B$4)</f>
        <v>11</v>
      </c>
    </row>
    <row r="47" spans="1:36" x14ac:dyDescent="0.3">
      <c r="A47" t="s">
        <v>301</v>
      </c>
      <c r="B47" s="3">
        <v>45542</v>
      </c>
      <c r="C47" s="3">
        <v>45542</v>
      </c>
      <c r="D47" s="3">
        <f t="shared" si="1"/>
        <v>45542</v>
      </c>
      <c r="E47" s="4">
        <f t="shared" si="0"/>
        <v>0</v>
      </c>
      <c r="F47" s="4">
        <f t="shared" si="2"/>
        <v>0</v>
      </c>
      <c r="G47" s="4">
        <f>IF(Table1[[#This Row],[CorrectedLeadTimeDays]]&lt;=7, 1, 0)</f>
        <v>1</v>
      </c>
      <c r="H47" s="4" t="str">
        <f t="shared" si="3"/>
        <v>September</v>
      </c>
      <c r="I47" s="4" t="str">
        <f t="shared" si="4"/>
        <v>Q3-2024</v>
      </c>
      <c r="J47" s="4" t="str">
        <f t="shared" si="5"/>
        <v>2023-01</v>
      </c>
      <c r="K47" s="3">
        <f t="shared" si="6"/>
        <v>44955</v>
      </c>
      <c r="L47" t="s">
        <v>647</v>
      </c>
      <c r="M47" t="s">
        <v>654</v>
      </c>
      <c r="N47" t="s">
        <v>691</v>
      </c>
      <c r="O47" t="s">
        <v>702</v>
      </c>
      <c r="P47" t="s">
        <v>710</v>
      </c>
      <c r="Q47" t="s">
        <v>717</v>
      </c>
      <c r="R47">
        <f t="shared" si="7"/>
        <v>19</v>
      </c>
      <c r="S47" t="s">
        <v>729</v>
      </c>
      <c r="T47" t="s">
        <v>1021</v>
      </c>
      <c r="U47" s="4">
        <v>1066.6500000000001</v>
      </c>
      <c r="V47" s="4">
        <f>Table1[[#This Row],[UnitCost]]*(1+WhatIf!$B$3)</f>
        <v>1119.9825000000001</v>
      </c>
      <c r="W47" s="4">
        <f t="shared" si="8"/>
        <v>9599.85</v>
      </c>
      <c r="X47" s="4">
        <f>Table1[[#This Row],[ScenarioRev]]-Table1[[#This Row],[ScenarioUnitCost]]</f>
        <v>20911.683618000003</v>
      </c>
      <c r="Y47" s="4">
        <v>2569.77</v>
      </c>
      <c r="Z47" s="4">
        <f t="shared" si="9"/>
        <v>20028.787380000002</v>
      </c>
      <c r="AA47" s="4">
        <f>Table1[[#This Row],[ScenarioQuanity]]*Table1[[#This Row],[UnitPrice]]*(1-Table1[[#This Row],[ScenarioDiscPct]])</f>
        <v>22031.666118000001</v>
      </c>
      <c r="AB47" s="4">
        <f t="shared" si="10"/>
        <v>10428.937380000001</v>
      </c>
      <c r="AC47" s="4">
        <f>Table1[[#This Row],[ScenarioRev]] - Table1[[#This Row],[ScenarioCostOfGoods]]</f>
        <v>1119.9824999999983</v>
      </c>
      <c r="AD47" s="6">
        <v>0.13400000000000001</v>
      </c>
      <c r="AE47" s="6">
        <f>MIN(Table1[[#This Row],[DiscountPct]], WhatIf!$B$2)</f>
        <v>0.13400000000000001</v>
      </c>
      <c r="AF47" s="6">
        <f>IF(Table1[[#This Row],[DiscountPct]]&gt;0.2, 1, 0)</f>
        <v>0</v>
      </c>
      <c r="AG47" s="6" t="str">
        <f t="shared" si="11"/>
        <v>High</v>
      </c>
      <c r="AH47" s="6">
        <f t="shared" si="12"/>
        <v>0.52069739331368348</v>
      </c>
      <c r="AI47" s="5">
        <v>9</v>
      </c>
      <c r="AJ47" s="6">
        <f>Table1[[#This Row],[Quantity]]*(1+WhatIf!$B$4)</f>
        <v>9.9</v>
      </c>
    </row>
    <row r="48" spans="1:36" x14ac:dyDescent="0.3">
      <c r="A48" t="s">
        <v>42</v>
      </c>
      <c r="B48" s="3">
        <v>45492</v>
      </c>
      <c r="C48" s="3">
        <v>45492</v>
      </c>
      <c r="D48" s="3">
        <f t="shared" si="1"/>
        <v>45492</v>
      </c>
      <c r="E48" s="4">
        <f t="shared" si="0"/>
        <v>0</v>
      </c>
      <c r="F48" s="4">
        <f t="shared" si="2"/>
        <v>0</v>
      </c>
      <c r="G48" s="4">
        <f>IF(Table1[[#This Row],[CorrectedLeadTimeDays]]&lt;=7, 1, 0)</f>
        <v>1</v>
      </c>
      <c r="H48" s="4" t="str">
        <f t="shared" si="3"/>
        <v>July</v>
      </c>
      <c r="I48" s="4" t="str">
        <f t="shared" si="4"/>
        <v>Q3-2024</v>
      </c>
      <c r="J48" s="4" t="str">
        <f t="shared" si="5"/>
        <v>2023-01</v>
      </c>
      <c r="K48" s="3">
        <f t="shared" si="6"/>
        <v>44946</v>
      </c>
      <c r="L48" t="s">
        <v>646</v>
      </c>
      <c r="M48" t="s">
        <v>650</v>
      </c>
      <c r="N48" t="s">
        <v>662</v>
      </c>
      <c r="O48" t="s">
        <v>705</v>
      </c>
      <c r="P48" t="s">
        <v>707</v>
      </c>
      <c r="Q48" t="s">
        <v>720</v>
      </c>
      <c r="R48">
        <f t="shared" si="7"/>
        <v>17</v>
      </c>
      <c r="S48" t="s">
        <v>730</v>
      </c>
      <c r="T48" t="s">
        <v>761</v>
      </c>
      <c r="U48" s="4">
        <v>857.24</v>
      </c>
      <c r="V48" s="4">
        <f>Table1[[#This Row],[UnitCost]]*(1+WhatIf!$B$3)</f>
        <v>900.10200000000009</v>
      </c>
      <c r="W48" s="4">
        <f t="shared" si="8"/>
        <v>5143.4400000000005</v>
      </c>
      <c r="X48" s="4">
        <f>Table1[[#This Row],[ScenarioRev]]-Table1[[#This Row],[ScenarioUnitCost]]</f>
        <v>3478.6762500000004</v>
      </c>
      <c r="Y48" s="4">
        <v>758.23</v>
      </c>
      <c r="Z48" s="4">
        <f t="shared" si="9"/>
        <v>3980.7075</v>
      </c>
      <c r="AA48" s="4">
        <f>Table1[[#This Row],[ScenarioQuanity]]*Table1[[#This Row],[UnitPrice]]*(1-Table1[[#This Row],[ScenarioDiscPct]])</f>
        <v>4378.7782500000003</v>
      </c>
      <c r="AB48" s="4">
        <f t="shared" si="10"/>
        <v>-1162.7325000000005</v>
      </c>
      <c r="AC48" s="4">
        <f>Table1[[#This Row],[ScenarioRev]] - Table1[[#This Row],[ScenarioCostOfGoods]]</f>
        <v>900.10199999999986</v>
      </c>
      <c r="AD48" s="6">
        <v>0.125</v>
      </c>
      <c r="AE48" s="6">
        <f>MIN(Table1[[#This Row],[DiscountPct]], WhatIf!$B$2)</f>
        <v>0.125</v>
      </c>
      <c r="AF48" s="6">
        <f>IF(Table1[[#This Row],[DiscountPct]]&gt;0.2, 1, 0)</f>
        <v>0</v>
      </c>
      <c r="AG48" s="6" t="str">
        <f t="shared" si="11"/>
        <v>Low</v>
      </c>
      <c r="AH48" s="6">
        <f t="shared" si="12"/>
        <v>-0.29209192084572921</v>
      </c>
      <c r="AI48" s="5">
        <v>6</v>
      </c>
      <c r="AJ48" s="6">
        <f>Table1[[#This Row],[Quantity]]*(1+WhatIf!$B$4)</f>
        <v>6.6000000000000005</v>
      </c>
    </row>
    <row r="49" spans="1:36" x14ac:dyDescent="0.3">
      <c r="A49" t="s">
        <v>173</v>
      </c>
      <c r="B49" s="3">
        <v>45703</v>
      </c>
      <c r="C49" s="3">
        <v>45703</v>
      </c>
      <c r="D49" s="3">
        <f t="shared" si="1"/>
        <v>45703</v>
      </c>
      <c r="E49" s="4">
        <f t="shared" si="0"/>
        <v>0</v>
      </c>
      <c r="F49" s="4">
        <f t="shared" si="2"/>
        <v>0</v>
      </c>
      <c r="G49" s="4">
        <f>IF(Table1[[#This Row],[CorrectedLeadTimeDays]]&lt;=7, 1, 0)</f>
        <v>1</v>
      </c>
      <c r="H49" s="4" t="str">
        <f t="shared" si="3"/>
        <v>February</v>
      </c>
      <c r="I49" s="4" t="str">
        <f t="shared" si="4"/>
        <v>Q1-2025</v>
      </c>
      <c r="J49" s="4" t="str">
        <f t="shared" si="5"/>
        <v>2023-01</v>
      </c>
      <c r="K49" s="3">
        <f t="shared" si="6"/>
        <v>44948</v>
      </c>
      <c r="L49" t="s">
        <v>649</v>
      </c>
      <c r="M49" t="s">
        <v>656</v>
      </c>
      <c r="N49" t="s">
        <v>698</v>
      </c>
      <c r="O49" t="s">
        <v>705</v>
      </c>
      <c r="P49" t="s">
        <v>709</v>
      </c>
      <c r="Q49" t="s">
        <v>716</v>
      </c>
      <c r="R49">
        <f t="shared" si="7"/>
        <v>24</v>
      </c>
      <c r="S49" t="s">
        <v>733</v>
      </c>
      <c r="T49" t="s">
        <v>892</v>
      </c>
      <c r="U49" s="4">
        <v>815.83</v>
      </c>
      <c r="V49" s="4">
        <f>Table1[[#This Row],[UnitCost]]*(1+WhatIf!$B$3)</f>
        <v>856.62150000000008</v>
      </c>
      <c r="W49" s="4">
        <f t="shared" si="8"/>
        <v>4894.9800000000005</v>
      </c>
      <c r="X49" s="4">
        <f>Table1[[#This Row],[ScenarioRev]]-Table1[[#This Row],[ScenarioUnitCost]]</f>
        <v>10564.303224000001</v>
      </c>
      <c r="Y49" s="4">
        <v>1982.18</v>
      </c>
      <c r="Z49" s="4">
        <f t="shared" si="9"/>
        <v>10382.65884</v>
      </c>
      <c r="AA49" s="4">
        <f>Table1[[#This Row],[ScenarioQuanity]]*Table1[[#This Row],[UnitPrice]]*(1-Table1[[#This Row],[ScenarioDiscPct]])</f>
        <v>11420.924724</v>
      </c>
      <c r="AB49" s="4">
        <f t="shared" si="10"/>
        <v>5487.6788399999996</v>
      </c>
      <c r="AC49" s="4">
        <f>Table1[[#This Row],[ScenarioRev]] - Table1[[#This Row],[ScenarioCostOfGoods]]</f>
        <v>856.62149999999929</v>
      </c>
      <c r="AD49" s="6">
        <v>0.127</v>
      </c>
      <c r="AE49" s="6">
        <f>MIN(Table1[[#This Row],[DiscountPct]], WhatIf!$B$2)</f>
        <v>0.127</v>
      </c>
      <c r="AF49" s="6">
        <f>IF(Table1[[#This Row],[DiscountPct]]&gt;0.2, 1, 0)</f>
        <v>0</v>
      </c>
      <c r="AG49" s="6" t="str">
        <f t="shared" si="11"/>
        <v>High</v>
      </c>
      <c r="AH49" s="6">
        <f t="shared" si="12"/>
        <v>0.52854272923408507</v>
      </c>
      <c r="AI49" s="5">
        <v>6</v>
      </c>
      <c r="AJ49" s="6">
        <f>Table1[[#This Row],[Quantity]]*(1+WhatIf!$B$4)</f>
        <v>6.6000000000000005</v>
      </c>
    </row>
    <row r="50" spans="1:36" x14ac:dyDescent="0.3">
      <c r="A50" t="s">
        <v>585</v>
      </c>
      <c r="B50" s="3">
        <v>45078</v>
      </c>
      <c r="C50" s="3">
        <v>45078</v>
      </c>
      <c r="D50" s="3">
        <f t="shared" si="1"/>
        <v>45078</v>
      </c>
      <c r="E50" s="4">
        <f t="shared" si="0"/>
        <v>0</v>
      </c>
      <c r="F50" s="4">
        <f t="shared" si="2"/>
        <v>0</v>
      </c>
      <c r="G50" s="4">
        <f>IF(Table1[[#This Row],[CorrectedLeadTimeDays]]&lt;=7, 1, 0)</f>
        <v>1</v>
      </c>
      <c r="H50" s="4" t="str">
        <f t="shared" si="3"/>
        <v>June</v>
      </c>
      <c r="I50" s="4" t="str">
        <f t="shared" si="4"/>
        <v>Q2-2023</v>
      </c>
      <c r="J50" s="4" t="str">
        <f t="shared" si="5"/>
        <v>2023-01</v>
      </c>
      <c r="K50" s="3">
        <f t="shared" si="6"/>
        <v>44955</v>
      </c>
      <c r="L50" t="s">
        <v>647</v>
      </c>
      <c r="M50" t="s">
        <v>654</v>
      </c>
      <c r="N50" t="s">
        <v>668</v>
      </c>
      <c r="O50" t="s">
        <v>701</v>
      </c>
      <c r="P50" t="s">
        <v>707</v>
      </c>
      <c r="Q50" t="s">
        <v>718</v>
      </c>
      <c r="R50">
        <f t="shared" si="7"/>
        <v>4</v>
      </c>
      <c r="S50" t="s">
        <v>733</v>
      </c>
      <c r="T50" t="s">
        <v>1303</v>
      </c>
      <c r="U50" s="4">
        <v>669.37</v>
      </c>
      <c r="V50" s="4">
        <f>Table1[[#This Row],[UnitCost]]*(1+WhatIf!$B$3)</f>
        <v>702.83850000000007</v>
      </c>
      <c r="W50" s="4">
        <f t="shared" si="8"/>
        <v>3346.85</v>
      </c>
      <c r="X50" s="4">
        <f>Table1[[#This Row],[ScenarioRev]]-Table1[[#This Row],[ScenarioUnitCost]]</f>
        <v>4332.0243000000009</v>
      </c>
      <c r="Y50" s="4">
        <v>997.2</v>
      </c>
      <c r="Z50" s="4">
        <f t="shared" si="9"/>
        <v>4577.1480000000001</v>
      </c>
      <c r="AA50" s="4">
        <f>Table1[[#This Row],[ScenarioQuanity]]*Table1[[#This Row],[UnitPrice]]*(1-Table1[[#This Row],[ScenarioDiscPct]])</f>
        <v>5034.8628000000008</v>
      </c>
      <c r="AB50" s="4">
        <f t="shared" si="10"/>
        <v>1230.2980000000002</v>
      </c>
      <c r="AC50" s="4">
        <f>Table1[[#This Row],[ScenarioRev]] - Table1[[#This Row],[ScenarioCostOfGoods]]</f>
        <v>702.83849999999984</v>
      </c>
      <c r="AD50" s="6">
        <v>8.2000000000000003E-2</v>
      </c>
      <c r="AE50" s="6">
        <f>MIN(Table1[[#This Row],[DiscountPct]], WhatIf!$B$2)</f>
        <v>8.2000000000000003E-2</v>
      </c>
      <c r="AF50" s="6">
        <f>IF(Table1[[#This Row],[DiscountPct]]&gt;0.2, 1, 0)</f>
        <v>0</v>
      </c>
      <c r="AG50" s="6" t="str">
        <f t="shared" si="11"/>
        <v>High</v>
      </c>
      <c r="AH50" s="6">
        <f t="shared" si="12"/>
        <v>0.26879139586484863</v>
      </c>
      <c r="AI50" s="5">
        <v>5</v>
      </c>
      <c r="AJ50" s="6">
        <f>Table1[[#This Row],[Quantity]]*(1+WhatIf!$B$4)</f>
        <v>5.5</v>
      </c>
    </row>
    <row r="51" spans="1:36" x14ac:dyDescent="0.3">
      <c r="A51" t="s">
        <v>589</v>
      </c>
      <c r="B51" s="3">
        <v>45042</v>
      </c>
      <c r="C51" s="3">
        <v>45042</v>
      </c>
      <c r="D51" s="3">
        <f t="shared" si="1"/>
        <v>45042</v>
      </c>
      <c r="E51" s="4">
        <f t="shared" si="0"/>
        <v>0</v>
      </c>
      <c r="F51" s="4">
        <f t="shared" si="2"/>
        <v>0</v>
      </c>
      <c r="G51" s="4">
        <f>IF(Table1[[#This Row],[CorrectedLeadTimeDays]]&lt;=7, 1, 0)</f>
        <v>1</v>
      </c>
      <c r="H51" s="4" t="str">
        <f t="shared" si="3"/>
        <v>April</v>
      </c>
      <c r="I51" s="4" t="str">
        <f t="shared" si="4"/>
        <v>Q2-2023</v>
      </c>
      <c r="J51" s="4" t="str">
        <f t="shared" si="5"/>
        <v>2023-01</v>
      </c>
      <c r="K51" s="3">
        <f t="shared" si="6"/>
        <v>44936</v>
      </c>
      <c r="L51" t="s">
        <v>649</v>
      </c>
      <c r="M51" t="s">
        <v>657</v>
      </c>
      <c r="N51" t="s">
        <v>673</v>
      </c>
      <c r="O51" t="s">
        <v>704</v>
      </c>
      <c r="P51" t="s">
        <v>711</v>
      </c>
      <c r="Q51" t="s">
        <v>724</v>
      </c>
      <c r="R51">
        <f t="shared" si="7"/>
        <v>3</v>
      </c>
      <c r="S51" t="s">
        <v>727</v>
      </c>
      <c r="T51" t="s">
        <v>1307</v>
      </c>
      <c r="U51" s="4">
        <v>81.489999999999995</v>
      </c>
      <c r="V51" s="4">
        <f>Table1[[#This Row],[UnitCost]]*(1+WhatIf!$B$3)</f>
        <v>85.564499999999995</v>
      </c>
      <c r="W51" s="4">
        <f t="shared" si="8"/>
        <v>407.45</v>
      </c>
      <c r="X51" s="4">
        <f>Table1[[#This Row],[ScenarioRev]]-Table1[[#This Row],[ScenarioUnitCost]]</f>
        <v>461.12075999999996</v>
      </c>
      <c r="Y51" s="4">
        <v>113.08</v>
      </c>
      <c r="Z51" s="4">
        <f t="shared" si="9"/>
        <v>496.98660000000001</v>
      </c>
      <c r="AA51" s="4">
        <f>Table1[[#This Row],[ScenarioQuanity]]*Table1[[#This Row],[UnitPrice]]*(1-Table1[[#This Row],[ScenarioDiscPct]])</f>
        <v>546.68525999999997</v>
      </c>
      <c r="AB51" s="4">
        <f t="shared" si="10"/>
        <v>89.536600000000021</v>
      </c>
      <c r="AC51" s="4">
        <f>Table1[[#This Row],[ScenarioRev]] - Table1[[#This Row],[ScenarioCostOfGoods]]</f>
        <v>85.56450000000001</v>
      </c>
      <c r="AD51" s="6">
        <v>0.121</v>
      </c>
      <c r="AE51" s="6">
        <f>MIN(Table1[[#This Row],[DiscountPct]], WhatIf!$B$2)</f>
        <v>0.121</v>
      </c>
      <c r="AF51" s="6">
        <f>IF(Table1[[#This Row],[DiscountPct]]&gt;0.2, 1, 0)</f>
        <v>0</v>
      </c>
      <c r="AG51" s="6" t="str">
        <f t="shared" si="11"/>
        <v>Low</v>
      </c>
      <c r="AH51" s="6">
        <f t="shared" si="12"/>
        <v>0.18015898215364362</v>
      </c>
      <c r="AI51" s="5">
        <v>5</v>
      </c>
      <c r="AJ51" s="6">
        <f>Table1[[#This Row],[Quantity]]*(1+WhatIf!$B$4)</f>
        <v>5.5</v>
      </c>
    </row>
    <row r="52" spans="1:36" x14ac:dyDescent="0.3">
      <c r="A52" t="s">
        <v>262</v>
      </c>
      <c r="B52" s="3">
        <v>45604</v>
      </c>
      <c r="C52" s="3">
        <v>45604</v>
      </c>
      <c r="D52" s="3">
        <f t="shared" si="1"/>
        <v>45604</v>
      </c>
      <c r="E52" s="4">
        <f t="shared" si="0"/>
        <v>0</v>
      </c>
      <c r="F52" s="4">
        <f t="shared" si="2"/>
        <v>0</v>
      </c>
      <c r="G52" s="4">
        <f>IF(Table1[[#This Row],[CorrectedLeadTimeDays]]&lt;=7, 1, 0)</f>
        <v>1</v>
      </c>
      <c r="H52" s="4" t="str">
        <f t="shared" si="3"/>
        <v>November</v>
      </c>
      <c r="I52" s="4" t="str">
        <f t="shared" si="4"/>
        <v>Q4-2024</v>
      </c>
      <c r="J52" s="4" t="str">
        <f t="shared" si="5"/>
        <v>2023-01</v>
      </c>
      <c r="K52" s="3">
        <f t="shared" si="6"/>
        <v>44946</v>
      </c>
      <c r="L52" t="s">
        <v>646</v>
      </c>
      <c r="M52" t="s">
        <v>650</v>
      </c>
      <c r="N52" t="s">
        <v>678</v>
      </c>
      <c r="O52" t="s">
        <v>706</v>
      </c>
      <c r="P52" t="s">
        <v>709</v>
      </c>
      <c r="Q52" t="s">
        <v>724</v>
      </c>
      <c r="R52">
        <f t="shared" si="7"/>
        <v>21</v>
      </c>
      <c r="S52" t="s">
        <v>729</v>
      </c>
      <c r="T52" t="s">
        <v>982</v>
      </c>
      <c r="U52" s="4">
        <v>803.28</v>
      </c>
      <c r="V52" s="4">
        <f>Table1[[#This Row],[UnitCost]]*(1+WhatIf!$B$3)</f>
        <v>843.44399999999996</v>
      </c>
      <c r="W52" s="4">
        <f t="shared" si="8"/>
        <v>3213.12</v>
      </c>
      <c r="X52" s="4">
        <f>Table1[[#This Row],[ScenarioRev]]-Table1[[#This Row],[ScenarioUnitCost]]</f>
        <v>3107.8000000000006</v>
      </c>
      <c r="Y52" s="4">
        <v>1009</v>
      </c>
      <c r="Z52" s="4">
        <f t="shared" si="9"/>
        <v>3592.04</v>
      </c>
      <c r="AA52" s="4">
        <f>Table1[[#This Row],[ScenarioQuanity]]*Table1[[#This Row],[UnitPrice]]*(1-Table1[[#This Row],[ScenarioDiscPct]])</f>
        <v>3951.2440000000006</v>
      </c>
      <c r="AB52" s="4">
        <f t="shared" si="10"/>
        <v>378.92000000000007</v>
      </c>
      <c r="AC52" s="4">
        <f>Table1[[#This Row],[ScenarioRev]] - Table1[[#This Row],[ScenarioCostOfGoods]]</f>
        <v>843.44399999999996</v>
      </c>
      <c r="AD52" s="6">
        <v>0.11</v>
      </c>
      <c r="AE52" s="6">
        <f>MIN(Table1[[#This Row],[DiscountPct]], WhatIf!$B$2)</f>
        <v>0.11</v>
      </c>
      <c r="AF52" s="6">
        <f>IF(Table1[[#This Row],[DiscountPct]]&gt;0.2, 1, 0)</f>
        <v>0</v>
      </c>
      <c r="AG52" s="6" t="str">
        <f t="shared" si="11"/>
        <v>High</v>
      </c>
      <c r="AH52" s="6">
        <f t="shared" si="12"/>
        <v>0.10548880302001093</v>
      </c>
      <c r="AI52" s="5">
        <v>4</v>
      </c>
      <c r="AJ52" s="6">
        <f>Table1[[#This Row],[Quantity]]*(1+WhatIf!$B$4)</f>
        <v>4.4000000000000004</v>
      </c>
    </row>
    <row r="53" spans="1:36" x14ac:dyDescent="0.3">
      <c r="A53" t="s">
        <v>178</v>
      </c>
      <c r="B53" s="3">
        <v>45010</v>
      </c>
      <c r="C53" s="3">
        <v>45011</v>
      </c>
      <c r="D53" s="3">
        <f t="shared" si="1"/>
        <v>45011</v>
      </c>
      <c r="E53" s="4">
        <f t="shared" si="0"/>
        <v>1</v>
      </c>
      <c r="F53" s="4">
        <f t="shared" si="2"/>
        <v>1</v>
      </c>
      <c r="G53" s="4">
        <f>IF(Table1[[#This Row],[CorrectedLeadTimeDays]]&lt;=7, 1, 0)</f>
        <v>1</v>
      </c>
      <c r="H53" s="4" t="str">
        <f t="shared" si="3"/>
        <v>March</v>
      </c>
      <c r="I53" s="4" t="str">
        <f t="shared" si="4"/>
        <v>Q1-2023</v>
      </c>
      <c r="J53" s="4" t="str">
        <f t="shared" si="5"/>
        <v>2023-03</v>
      </c>
      <c r="K53" s="3">
        <f t="shared" si="6"/>
        <v>44988</v>
      </c>
      <c r="L53" t="s">
        <v>647</v>
      </c>
      <c r="M53" t="s">
        <v>652</v>
      </c>
      <c r="N53" t="s">
        <v>666</v>
      </c>
      <c r="O53" t="s">
        <v>705</v>
      </c>
      <c r="P53" t="s">
        <v>710</v>
      </c>
      <c r="Q53" t="s">
        <v>714</v>
      </c>
      <c r="R53">
        <f t="shared" si="7"/>
        <v>0</v>
      </c>
      <c r="S53" t="s">
        <v>732</v>
      </c>
      <c r="T53" t="s">
        <v>897</v>
      </c>
      <c r="U53" s="4">
        <v>135.12</v>
      </c>
      <c r="V53" s="4">
        <f>Table1[[#This Row],[UnitCost]]*(1+WhatIf!$B$3)</f>
        <v>141.876</v>
      </c>
      <c r="W53" s="4">
        <f t="shared" si="8"/>
        <v>6350.64</v>
      </c>
      <c r="X53" s="4">
        <f>Table1[[#This Row],[ScenarioRev]]-Table1[[#This Row],[ScenarioUnitCost]]</f>
        <v>13272.309399999998</v>
      </c>
      <c r="Y53" s="4">
        <v>301.7</v>
      </c>
      <c r="Z53" s="4">
        <f t="shared" si="9"/>
        <v>12194.714</v>
      </c>
      <c r="AA53" s="4">
        <f>Table1[[#This Row],[ScenarioQuanity]]*Table1[[#This Row],[UnitPrice]]*(1-Table1[[#This Row],[ScenarioDiscPct]])</f>
        <v>13414.185399999998</v>
      </c>
      <c r="AB53" s="4">
        <f t="shared" si="10"/>
        <v>5844.0739999999996</v>
      </c>
      <c r="AC53" s="4">
        <f>Table1[[#This Row],[ScenarioRev]] - Table1[[#This Row],[ScenarioCostOfGoods]]</f>
        <v>141.8760000000002</v>
      </c>
      <c r="AD53" s="6">
        <v>0.14000000000000001</v>
      </c>
      <c r="AE53" s="6">
        <f>MIN(Table1[[#This Row],[DiscountPct]], WhatIf!$B$2)</f>
        <v>0.14000000000000001</v>
      </c>
      <c r="AF53" s="6">
        <f>IF(Table1[[#This Row],[DiscountPct]]&gt;0.2, 1, 0)</f>
        <v>0</v>
      </c>
      <c r="AG53" s="6" t="str">
        <f t="shared" si="11"/>
        <v>Low</v>
      </c>
      <c r="AH53" s="6">
        <f t="shared" si="12"/>
        <v>0.47923009920527859</v>
      </c>
      <c r="AI53" s="5">
        <v>47</v>
      </c>
      <c r="AJ53" s="6">
        <f>Table1[[#This Row],[Quantity]]*(1+WhatIf!$B$4)</f>
        <v>51.7</v>
      </c>
    </row>
    <row r="54" spans="1:36" x14ac:dyDescent="0.3">
      <c r="A54" t="s">
        <v>526</v>
      </c>
      <c r="B54" s="3">
        <v>45575</v>
      </c>
      <c r="C54" s="3">
        <v>45576</v>
      </c>
      <c r="D54" s="3">
        <f t="shared" si="1"/>
        <v>45576</v>
      </c>
      <c r="E54" s="4">
        <f t="shared" si="0"/>
        <v>1</v>
      </c>
      <c r="F54" s="4">
        <f t="shared" si="2"/>
        <v>1</v>
      </c>
      <c r="G54" s="4">
        <f>IF(Table1[[#This Row],[CorrectedLeadTimeDays]]&lt;=7, 1, 0)</f>
        <v>1</v>
      </c>
      <c r="H54" s="4" t="str">
        <f t="shared" si="3"/>
        <v>October</v>
      </c>
      <c r="I54" s="4" t="str">
        <f t="shared" si="4"/>
        <v>Q4-2024</v>
      </c>
      <c r="J54" s="4" t="str">
        <f t="shared" si="5"/>
        <v>2023-01</v>
      </c>
      <c r="K54" s="3">
        <f t="shared" si="6"/>
        <v>44945</v>
      </c>
      <c r="L54" t="s">
        <v>649</v>
      </c>
      <c r="M54" t="s">
        <v>658</v>
      </c>
      <c r="N54" t="s">
        <v>693</v>
      </c>
      <c r="O54" t="s">
        <v>703</v>
      </c>
      <c r="P54" t="s">
        <v>710</v>
      </c>
      <c r="Q54" t="s">
        <v>716</v>
      </c>
      <c r="R54">
        <f t="shared" si="7"/>
        <v>20</v>
      </c>
      <c r="S54" t="s">
        <v>727</v>
      </c>
      <c r="T54" t="s">
        <v>1245</v>
      </c>
      <c r="U54" s="4">
        <v>1389.46</v>
      </c>
      <c r="V54" s="4">
        <f>Table1[[#This Row],[UnitCost]]*(1+WhatIf!$B$3)</f>
        <v>1458.933</v>
      </c>
      <c r="W54" s="4">
        <f t="shared" si="8"/>
        <v>45852.18</v>
      </c>
      <c r="X54" s="4">
        <f>Table1[[#This Row],[ScenarioRev]]-Table1[[#This Row],[ScenarioUnitCost]]</f>
        <v>53867.123940000005</v>
      </c>
      <c r="Y54" s="4">
        <v>1784.7</v>
      </c>
      <c r="Z54" s="4">
        <f t="shared" si="9"/>
        <v>50296.415399999998</v>
      </c>
      <c r="AA54" s="4">
        <f>Table1[[#This Row],[ScenarioQuanity]]*Table1[[#This Row],[UnitPrice]]*(1-Table1[[#This Row],[ScenarioDiscPct]])</f>
        <v>55326.056940000002</v>
      </c>
      <c r="AB54" s="4">
        <f t="shared" si="10"/>
        <v>4444.2353999999978</v>
      </c>
      <c r="AC54" s="4">
        <f>Table1[[#This Row],[ScenarioRev]] - Table1[[#This Row],[ScenarioCostOfGoods]]</f>
        <v>1458.9329999999973</v>
      </c>
      <c r="AD54" s="6">
        <v>0.14599999999999999</v>
      </c>
      <c r="AE54" s="6">
        <f>MIN(Table1[[#This Row],[DiscountPct]], WhatIf!$B$2)</f>
        <v>0.14599999999999999</v>
      </c>
      <c r="AF54" s="6">
        <f>IF(Table1[[#This Row],[DiscountPct]]&gt;0.2, 1, 0)</f>
        <v>0</v>
      </c>
      <c r="AG54" s="6" t="str">
        <f t="shared" si="11"/>
        <v>High</v>
      </c>
      <c r="AH54" s="6">
        <f t="shared" si="12"/>
        <v>8.8360877503011831E-2</v>
      </c>
      <c r="AI54" s="5">
        <v>33</v>
      </c>
      <c r="AJ54" s="6">
        <f>Table1[[#This Row],[Quantity]]*(1+WhatIf!$B$4)</f>
        <v>36.300000000000004</v>
      </c>
    </row>
    <row r="55" spans="1:36" x14ac:dyDescent="0.3">
      <c r="A55" t="s">
        <v>327</v>
      </c>
      <c r="B55" s="3">
        <v>45600</v>
      </c>
      <c r="C55" s="3">
        <v>45601</v>
      </c>
      <c r="D55" s="3">
        <f t="shared" si="1"/>
        <v>45601</v>
      </c>
      <c r="E55" s="4">
        <f t="shared" si="0"/>
        <v>1</v>
      </c>
      <c r="F55" s="4">
        <f t="shared" si="2"/>
        <v>1</v>
      </c>
      <c r="G55" s="4">
        <f>IF(Table1[[#This Row],[CorrectedLeadTimeDays]]&lt;=7, 1, 0)</f>
        <v>1</v>
      </c>
      <c r="H55" s="4" t="str">
        <f t="shared" si="3"/>
        <v>November</v>
      </c>
      <c r="I55" s="4" t="str">
        <f t="shared" si="4"/>
        <v>Q4-2024</v>
      </c>
      <c r="J55" s="4" t="str">
        <f t="shared" si="5"/>
        <v>2023-01</v>
      </c>
      <c r="K55" s="3">
        <f t="shared" si="6"/>
        <v>44945</v>
      </c>
      <c r="L55" t="s">
        <v>649</v>
      </c>
      <c r="M55" t="s">
        <v>658</v>
      </c>
      <c r="N55" t="s">
        <v>683</v>
      </c>
      <c r="O55" t="s">
        <v>701</v>
      </c>
      <c r="P55" t="s">
        <v>707</v>
      </c>
      <c r="Q55" t="s">
        <v>724</v>
      </c>
      <c r="R55">
        <f t="shared" si="7"/>
        <v>21</v>
      </c>
      <c r="S55" t="s">
        <v>728</v>
      </c>
      <c r="T55" t="s">
        <v>1047</v>
      </c>
      <c r="U55" s="4">
        <v>840.68</v>
      </c>
      <c r="V55" s="4">
        <f>Table1[[#This Row],[UnitCost]]*(1+WhatIf!$B$3)</f>
        <v>882.71399999999994</v>
      </c>
      <c r="W55" s="4">
        <f t="shared" si="8"/>
        <v>22698.359999999997</v>
      </c>
      <c r="X55" s="4">
        <f>Table1[[#This Row],[ScenarioRev]]-Table1[[#This Row],[ScenarioUnitCost]]</f>
        <v>43475.127</v>
      </c>
      <c r="Y55" s="4">
        <v>1493.53</v>
      </c>
      <c r="Z55" s="4">
        <f t="shared" si="9"/>
        <v>40325.31</v>
      </c>
      <c r="AA55" s="4">
        <f>Table1[[#This Row],[ScenarioQuanity]]*Table1[[#This Row],[UnitPrice]]*(1-Table1[[#This Row],[ScenarioDiscPct]])</f>
        <v>44357.841</v>
      </c>
      <c r="AB55" s="4">
        <f t="shared" si="10"/>
        <v>17626.95</v>
      </c>
      <c r="AC55" s="4">
        <f>Table1[[#This Row],[ScenarioRev]] - Table1[[#This Row],[ScenarioCostOfGoods]]</f>
        <v>882.71399999999994</v>
      </c>
      <c r="AD55" s="6">
        <v>0</v>
      </c>
      <c r="AE55" s="6">
        <f>MIN(Table1[[#This Row],[DiscountPct]], WhatIf!$B$2)</f>
        <v>0</v>
      </c>
      <c r="AF55" s="6">
        <f>IF(Table1[[#This Row],[DiscountPct]]&gt;0.2, 1, 0)</f>
        <v>0</v>
      </c>
      <c r="AG55" s="6" t="str">
        <f t="shared" si="11"/>
        <v>High</v>
      </c>
      <c r="AH55" s="6">
        <f t="shared" si="12"/>
        <v>0.43711877230454027</v>
      </c>
      <c r="AI55" s="5">
        <v>27</v>
      </c>
      <c r="AJ55" s="6">
        <f>Table1[[#This Row],[Quantity]]*(1+WhatIf!$B$4)</f>
        <v>29.700000000000003</v>
      </c>
    </row>
    <row r="56" spans="1:36" x14ac:dyDescent="0.3">
      <c r="A56" t="s">
        <v>320</v>
      </c>
      <c r="B56" s="3">
        <v>45741</v>
      </c>
      <c r="C56" s="3">
        <v>45742</v>
      </c>
      <c r="D56" s="3">
        <f t="shared" si="1"/>
        <v>45742</v>
      </c>
      <c r="E56" s="4">
        <f t="shared" si="0"/>
        <v>1</v>
      </c>
      <c r="F56" s="4">
        <f t="shared" si="2"/>
        <v>1</v>
      </c>
      <c r="G56" s="4">
        <f>IF(Table1[[#This Row],[CorrectedLeadTimeDays]]&lt;=7, 1, 0)</f>
        <v>1</v>
      </c>
      <c r="H56" s="4" t="str">
        <f t="shared" si="3"/>
        <v>March</v>
      </c>
      <c r="I56" s="4" t="str">
        <f t="shared" si="4"/>
        <v>Q1-2025</v>
      </c>
      <c r="J56" s="4" t="str">
        <f t="shared" si="5"/>
        <v>2023-01</v>
      </c>
      <c r="K56" s="3">
        <f t="shared" si="6"/>
        <v>44941</v>
      </c>
      <c r="L56" t="s">
        <v>646</v>
      </c>
      <c r="M56" t="s">
        <v>651</v>
      </c>
      <c r="N56" t="s">
        <v>665</v>
      </c>
      <c r="O56" t="s">
        <v>702</v>
      </c>
      <c r="P56" t="s">
        <v>710</v>
      </c>
      <c r="Q56" t="s">
        <v>715</v>
      </c>
      <c r="R56">
        <f t="shared" si="7"/>
        <v>26</v>
      </c>
      <c r="S56" t="s">
        <v>733</v>
      </c>
      <c r="T56" t="s">
        <v>1040</v>
      </c>
      <c r="U56" s="4">
        <v>1450.43</v>
      </c>
      <c r="V56" s="4">
        <f>Table1[[#This Row],[UnitCost]]*(1+WhatIf!$B$3)</f>
        <v>1522.9515000000001</v>
      </c>
      <c r="W56" s="4">
        <f t="shared" si="8"/>
        <v>34810.32</v>
      </c>
      <c r="X56" s="4">
        <f>Table1[[#This Row],[ScenarioRev]]-Table1[[#This Row],[ScenarioUnitCost]]</f>
        <v>45870.407700000003</v>
      </c>
      <c r="Y56" s="4">
        <v>1994.67</v>
      </c>
      <c r="Z56" s="4">
        <f t="shared" si="9"/>
        <v>43084.872000000003</v>
      </c>
      <c r="AA56" s="4">
        <f>Table1[[#This Row],[ScenarioQuanity]]*Table1[[#This Row],[UnitPrice]]*(1-Table1[[#This Row],[ScenarioDiscPct]])</f>
        <v>47393.359200000006</v>
      </c>
      <c r="AB56" s="4">
        <f t="shared" si="10"/>
        <v>8274.5520000000033</v>
      </c>
      <c r="AC56" s="4">
        <f>Table1[[#This Row],[ScenarioRev]] - Table1[[#This Row],[ScenarioCostOfGoods]]</f>
        <v>1522.9515000000029</v>
      </c>
      <c r="AD56" s="6">
        <v>0.1</v>
      </c>
      <c r="AE56" s="6">
        <f>MIN(Table1[[#This Row],[DiscountPct]], WhatIf!$B$2)</f>
        <v>0.1</v>
      </c>
      <c r="AF56" s="6">
        <f>IF(Table1[[#This Row],[DiscountPct]]&gt;0.2, 1, 0)</f>
        <v>0</v>
      </c>
      <c r="AG56" s="6" t="str">
        <f t="shared" si="11"/>
        <v>High</v>
      </c>
      <c r="AH56" s="6">
        <f t="shared" si="12"/>
        <v>0.19205237513529116</v>
      </c>
      <c r="AI56" s="5">
        <v>24</v>
      </c>
      <c r="AJ56" s="6">
        <f>Table1[[#This Row],[Quantity]]*(1+WhatIf!$B$4)</f>
        <v>26.400000000000002</v>
      </c>
    </row>
    <row r="57" spans="1:36" x14ac:dyDescent="0.3">
      <c r="A57" t="s">
        <v>237</v>
      </c>
      <c r="B57" s="3">
        <v>45854</v>
      </c>
      <c r="C57" s="3">
        <v>45855</v>
      </c>
      <c r="D57" s="3">
        <f t="shared" si="1"/>
        <v>45855</v>
      </c>
      <c r="E57" s="4">
        <f t="shared" si="0"/>
        <v>1</v>
      </c>
      <c r="F57" s="4">
        <f t="shared" si="2"/>
        <v>1</v>
      </c>
      <c r="G57" s="4">
        <f>IF(Table1[[#This Row],[CorrectedLeadTimeDays]]&lt;=7, 1, 0)</f>
        <v>1</v>
      </c>
      <c r="H57" s="4" t="str">
        <f t="shared" si="3"/>
        <v>July</v>
      </c>
      <c r="I57" s="4" t="str">
        <f t="shared" si="4"/>
        <v>Q3-2025</v>
      </c>
      <c r="J57" s="4" t="str">
        <f t="shared" si="5"/>
        <v>2023-01</v>
      </c>
      <c r="K57" s="3">
        <f t="shared" si="6"/>
        <v>44933</v>
      </c>
      <c r="L57" t="s">
        <v>646</v>
      </c>
      <c r="M57" t="s">
        <v>661</v>
      </c>
      <c r="N57" t="s">
        <v>687</v>
      </c>
      <c r="O57" t="s">
        <v>705</v>
      </c>
      <c r="P57" t="s">
        <v>710</v>
      </c>
      <c r="Q57" t="s">
        <v>717</v>
      </c>
      <c r="R57">
        <f t="shared" si="7"/>
        <v>30</v>
      </c>
      <c r="S57" t="s">
        <v>729</v>
      </c>
      <c r="T57" t="s">
        <v>957</v>
      </c>
      <c r="U57" s="4">
        <v>1198.9000000000001</v>
      </c>
      <c r="V57" s="4">
        <f>Table1[[#This Row],[UnitCost]]*(1+WhatIf!$B$3)</f>
        <v>1258.8450000000003</v>
      </c>
      <c r="W57" s="4">
        <f t="shared" si="8"/>
        <v>28773.600000000002</v>
      </c>
      <c r="X57" s="4">
        <f>Table1[[#This Row],[ScenarioRev]]-Table1[[#This Row],[ScenarioUnitCost]]</f>
        <v>72428.803320000006</v>
      </c>
      <c r="Y57" s="4">
        <v>2941.2</v>
      </c>
      <c r="Z57" s="4">
        <f t="shared" si="9"/>
        <v>66988.771199999988</v>
      </c>
      <c r="AA57" s="4">
        <f>Table1[[#This Row],[ScenarioQuanity]]*Table1[[#This Row],[UnitPrice]]*(1-Table1[[#This Row],[ScenarioDiscPct]])</f>
        <v>73687.648320000008</v>
      </c>
      <c r="AB57" s="4">
        <f t="shared" si="10"/>
        <v>38215.171199999982</v>
      </c>
      <c r="AC57" s="4">
        <f>Table1[[#This Row],[ScenarioRev]] - Table1[[#This Row],[ScenarioCostOfGoods]]</f>
        <v>1258.8450000000012</v>
      </c>
      <c r="AD57" s="6">
        <v>5.0999999999999997E-2</v>
      </c>
      <c r="AE57" s="6">
        <f>MIN(Table1[[#This Row],[DiscountPct]], WhatIf!$B$2)</f>
        <v>5.0999999999999997E-2</v>
      </c>
      <c r="AF57" s="6">
        <f>IF(Table1[[#This Row],[DiscountPct]]&gt;0.2, 1, 0)</f>
        <v>0</v>
      </c>
      <c r="AG57" s="6" t="str">
        <f t="shared" si="11"/>
        <v>High</v>
      </c>
      <c r="AH57" s="6">
        <f t="shared" si="12"/>
        <v>0.57047129713583977</v>
      </c>
      <c r="AI57" s="5">
        <v>24</v>
      </c>
      <c r="AJ57" s="6">
        <f>Table1[[#This Row],[Quantity]]*(1+WhatIf!$B$4)</f>
        <v>26.400000000000002</v>
      </c>
    </row>
    <row r="58" spans="1:36" x14ac:dyDescent="0.3">
      <c r="A58" t="s">
        <v>126</v>
      </c>
      <c r="B58" s="3">
        <v>45453</v>
      </c>
      <c r="C58" s="3">
        <v>45454</v>
      </c>
      <c r="D58" s="3">
        <f t="shared" si="1"/>
        <v>45454</v>
      </c>
      <c r="E58" s="4">
        <f t="shared" si="0"/>
        <v>1</v>
      </c>
      <c r="F58" s="4">
        <f t="shared" si="2"/>
        <v>1</v>
      </c>
      <c r="G58" s="4">
        <f>IF(Table1[[#This Row],[CorrectedLeadTimeDays]]&lt;=7, 1, 0)</f>
        <v>1</v>
      </c>
      <c r="H58" s="4" t="str">
        <f t="shared" si="3"/>
        <v>June</v>
      </c>
      <c r="I58" s="4" t="str">
        <f t="shared" si="4"/>
        <v>Q2-2024</v>
      </c>
      <c r="J58" s="4" t="str">
        <f t="shared" si="5"/>
        <v>2023-01</v>
      </c>
      <c r="K58" s="3">
        <f t="shared" si="6"/>
        <v>44945</v>
      </c>
      <c r="L58" t="s">
        <v>649</v>
      </c>
      <c r="M58" t="s">
        <v>658</v>
      </c>
      <c r="N58" t="s">
        <v>674</v>
      </c>
      <c r="O58" t="s">
        <v>705</v>
      </c>
      <c r="P58" t="s">
        <v>709</v>
      </c>
      <c r="Q58" t="s">
        <v>724</v>
      </c>
      <c r="R58">
        <f t="shared" si="7"/>
        <v>16</v>
      </c>
      <c r="S58" t="s">
        <v>731</v>
      </c>
      <c r="T58" t="s">
        <v>845</v>
      </c>
      <c r="U58" s="4">
        <v>1187.1300000000001</v>
      </c>
      <c r="V58" s="4">
        <f>Table1[[#This Row],[UnitCost]]*(1+WhatIf!$B$3)</f>
        <v>1246.4865000000002</v>
      </c>
      <c r="W58" s="4">
        <f t="shared" si="8"/>
        <v>20181.210000000003</v>
      </c>
      <c r="X58" s="4">
        <f>Table1[[#This Row],[ScenarioRev]]-Table1[[#This Row],[ScenarioUnitCost]]</f>
        <v>31920.356352000003</v>
      </c>
      <c r="Y58" s="4">
        <v>1795.17</v>
      </c>
      <c r="Z58" s="4">
        <f t="shared" si="9"/>
        <v>30151.675319999998</v>
      </c>
      <c r="AA58" s="4">
        <f>Table1[[#This Row],[ScenarioQuanity]]*Table1[[#This Row],[UnitPrice]]*(1-Table1[[#This Row],[ScenarioDiscPct]])</f>
        <v>33166.842852000002</v>
      </c>
      <c r="AB58" s="4">
        <f t="shared" si="10"/>
        <v>9970.4653199999957</v>
      </c>
      <c r="AC58" s="4">
        <f>Table1[[#This Row],[ScenarioRev]] - Table1[[#This Row],[ScenarioCostOfGoods]]</f>
        <v>1246.4864999999991</v>
      </c>
      <c r="AD58" s="6">
        <v>1.2E-2</v>
      </c>
      <c r="AE58" s="6">
        <f>MIN(Table1[[#This Row],[DiscountPct]], WhatIf!$B$2)</f>
        <v>1.2E-2</v>
      </c>
      <c r="AF58" s="6">
        <f>IF(Table1[[#This Row],[DiscountPct]]&gt;0.2, 1, 0)</f>
        <v>0</v>
      </c>
      <c r="AG58" s="6" t="str">
        <f t="shared" si="11"/>
        <v>High</v>
      </c>
      <c r="AH58" s="6">
        <f t="shared" si="12"/>
        <v>0.33067699271046663</v>
      </c>
      <c r="AI58" s="5">
        <v>17</v>
      </c>
      <c r="AJ58" s="6">
        <f>Table1[[#This Row],[Quantity]]*(1+WhatIf!$B$4)</f>
        <v>18.700000000000003</v>
      </c>
    </row>
    <row r="59" spans="1:36" x14ac:dyDescent="0.3">
      <c r="A59" t="s">
        <v>580</v>
      </c>
      <c r="B59" s="3">
        <v>45330</v>
      </c>
      <c r="C59" s="3">
        <v>45331</v>
      </c>
      <c r="D59" s="3">
        <f t="shared" si="1"/>
        <v>45331</v>
      </c>
      <c r="E59" s="4">
        <f t="shared" si="0"/>
        <v>1</v>
      </c>
      <c r="F59" s="4">
        <f t="shared" si="2"/>
        <v>1</v>
      </c>
      <c r="G59" s="4">
        <f>IF(Table1[[#This Row],[CorrectedLeadTimeDays]]&lt;=7, 1, 0)</f>
        <v>1</v>
      </c>
      <c r="H59" s="4" t="str">
        <f t="shared" si="3"/>
        <v>February</v>
      </c>
      <c r="I59" s="4" t="str">
        <f t="shared" si="4"/>
        <v>Q1-2024</v>
      </c>
      <c r="J59" s="4" t="str">
        <f t="shared" si="5"/>
        <v>2023-01</v>
      </c>
      <c r="K59" s="3">
        <f t="shared" si="6"/>
        <v>44946</v>
      </c>
      <c r="L59" t="s">
        <v>646</v>
      </c>
      <c r="M59" t="s">
        <v>650</v>
      </c>
      <c r="N59" t="s">
        <v>675</v>
      </c>
      <c r="O59" t="s">
        <v>701</v>
      </c>
      <c r="P59" t="s">
        <v>711</v>
      </c>
      <c r="Q59" t="s">
        <v>721</v>
      </c>
      <c r="R59">
        <f t="shared" si="7"/>
        <v>12</v>
      </c>
      <c r="S59" t="s">
        <v>727</v>
      </c>
      <c r="T59" t="s">
        <v>1298</v>
      </c>
      <c r="U59" s="4">
        <v>1233.52</v>
      </c>
      <c r="V59" s="4">
        <f>Table1[[#This Row],[UnitCost]]*(1+WhatIf!$B$3)</f>
        <v>1295.1960000000001</v>
      </c>
      <c r="W59" s="4">
        <f t="shared" si="8"/>
        <v>16035.76</v>
      </c>
      <c r="X59" s="4">
        <f>Table1[[#This Row],[ScenarioRev]]-Table1[[#This Row],[ScenarioUnitCost]]</f>
        <v>17999.025232</v>
      </c>
      <c r="Y59" s="4">
        <v>1543.76</v>
      </c>
      <c r="Z59" s="4">
        <f t="shared" si="9"/>
        <v>17540.201120000002</v>
      </c>
      <c r="AA59" s="4">
        <f>Table1[[#This Row],[ScenarioQuanity]]*Table1[[#This Row],[UnitPrice]]*(1-Table1[[#This Row],[ScenarioDiscPct]])</f>
        <v>19294.221232</v>
      </c>
      <c r="AB59" s="4">
        <f t="shared" si="10"/>
        <v>1504.4411200000013</v>
      </c>
      <c r="AC59" s="4">
        <f>Table1[[#This Row],[ScenarioRev]] - Table1[[#This Row],[ScenarioCostOfGoods]]</f>
        <v>1295.1959999999999</v>
      </c>
      <c r="AD59" s="6">
        <v>0.126</v>
      </c>
      <c r="AE59" s="6">
        <f>MIN(Table1[[#This Row],[DiscountPct]], WhatIf!$B$2)</f>
        <v>0.126</v>
      </c>
      <c r="AF59" s="6">
        <f>IF(Table1[[#This Row],[DiscountPct]]&gt;0.2, 1, 0)</f>
        <v>0</v>
      </c>
      <c r="AG59" s="6" t="str">
        <f t="shared" si="11"/>
        <v>High</v>
      </c>
      <c r="AH59" s="6">
        <f t="shared" si="12"/>
        <v>8.5771030201277493E-2</v>
      </c>
      <c r="AI59" s="5">
        <v>13</v>
      </c>
      <c r="AJ59" s="6">
        <f>Table1[[#This Row],[Quantity]]*(1+WhatIf!$B$4)</f>
        <v>14.3</v>
      </c>
    </row>
    <row r="60" spans="1:36" x14ac:dyDescent="0.3">
      <c r="A60" t="s">
        <v>318</v>
      </c>
      <c r="B60" s="3">
        <v>45462</v>
      </c>
      <c r="C60" s="3">
        <v>45463</v>
      </c>
      <c r="D60" s="3">
        <f t="shared" si="1"/>
        <v>45463</v>
      </c>
      <c r="E60" s="4">
        <f t="shared" si="0"/>
        <v>1</v>
      </c>
      <c r="F60" s="4">
        <f t="shared" si="2"/>
        <v>1</v>
      </c>
      <c r="G60" s="4">
        <f>IF(Table1[[#This Row],[CorrectedLeadTimeDays]]&lt;=7, 1, 0)</f>
        <v>1</v>
      </c>
      <c r="H60" s="4" t="str">
        <f t="shared" si="3"/>
        <v>June</v>
      </c>
      <c r="I60" s="4" t="str">
        <f t="shared" si="4"/>
        <v>Q2-2024</v>
      </c>
      <c r="J60" s="4" t="str">
        <f t="shared" si="5"/>
        <v>2023-01</v>
      </c>
      <c r="K60" s="3">
        <f t="shared" si="6"/>
        <v>44946</v>
      </c>
      <c r="L60" t="s">
        <v>646</v>
      </c>
      <c r="M60" t="s">
        <v>650</v>
      </c>
      <c r="N60" t="s">
        <v>662</v>
      </c>
      <c r="O60" t="s">
        <v>705</v>
      </c>
      <c r="P60" t="s">
        <v>711</v>
      </c>
      <c r="Q60" t="s">
        <v>713</v>
      </c>
      <c r="R60">
        <f t="shared" si="7"/>
        <v>16</v>
      </c>
      <c r="S60" t="s">
        <v>731</v>
      </c>
      <c r="T60" t="s">
        <v>1038</v>
      </c>
      <c r="U60" s="4">
        <v>231.63</v>
      </c>
      <c r="V60" s="4">
        <f>Table1[[#This Row],[UnitCost]]*(1+WhatIf!$B$3)</f>
        <v>243.2115</v>
      </c>
      <c r="W60" s="4">
        <f t="shared" si="8"/>
        <v>2779.56</v>
      </c>
      <c r="X60" s="4">
        <f>Table1[[#This Row],[ScenarioRev]]-Table1[[#This Row],[ScenarioUnitCost]]</f>
        <v>6282.8526600000005</v>
      </c>
      <c r="Y60" s="4">
        <v>537.39</v>
      </c>
      <c r="Z60" s="4">
        <f t="shared" si="9"/>
        <v>5932.7856000000002</v>
      </c>
      <c r="AA60" s="4">
        <f>Table1[[#This Row],[ScenarioQuanity]]*Table1[[#This Row],[UnitPrice]]*(1-Table1[[#This Row],[ScenarioDiscPct]])</f>
        <v>6526.0641600000008</v>
      </c>
      <c r="AB60" s="4">
        <f t="shared" si="10"/>
        <v>3153.2256000000002</v>
      </c>
      <c r="AC60" s="4">
        <f>Table1[[#This Row],[ScenarioRev]] - Table1[[#This Row],[ScenarioCostOfGoods]]</f>
        <v>243.21150000000034</v>
      </c>
      <c r="AD60" s="6">
        <v>0.08</v>
      </c>
      <c r="AE60" s="6">
        <f>MIN(Table1[[#This Row],[DiscountPct]], WhatIf!$B$2)</f>
        <v>0.08</v>
      </c>
      <c r="AF60" s="6">
        <f>IF(Table1[[#This Row],[DiscountPct]]&gt;0.2, 1, 0)</f>
        <v>0</v>
      </c>
      <c r="AG60" s="6" t="str">
        <f t="shared" si="11"/>
        <v>Low</v>
      </c>
      <c r="AH60" s="6">
        <f t="shared" si="12"/>
        <v>0.53149158129024587</v>
      </c>
      <c r="AI60" s="5">
        <v>12</v>
      </c>
      <c r="AJ60" s="6">
        <f>Table1[[#This Row],[Quantity]]*(1+WhatIf!$B$4)</f>
        <v>13.200000000000001</v>
      </c>
    </row>
    <row r="61" spans="1:36" x14ac:dyDescent="0.3">
      <c r="A61" t="s">
        <v>584</v>
      </c>
      <c r="B61" s="3">
        <v>45760</v>
      </c>
      <c r="C61" s="3">
        <v>45761</v>
      </c>
      <c r="D61" s="3">
        <f t="shared" si="1"/>
        <v>45761</v>
      </c>
      <c r="E61" s="4">
        <f t="shared" si="0"/>
        <v>1</v>
      </c>
      <c r="F61" s="4">
        <f t="shared" si="2"/>
        <v>1</v>
      </c>
      <c r="G61" s="4">
        <f>IF(Table1[[#This Row],[CorrectedLeadTimeDays]]&lt;=7, 1, 0)</f>
        <v>1</v>
      </c>
      <c r="H61" s="4" t="str">
        <f t="shared" si="3"/>
        <v>April</v>
      </c>
      <c r="I61" s="4" t="str">
        <f t="shared" si="4"/>
        <v>Q2-2025</v>
      </c>
      <c r="J61" s="4" t="str">
        <f t="shared" si="5"/>
        <v>2023-03</v>
      </c>
      <c r="K61" s="3">
        <f t="shared" si="6"/>
        <v>44988</v>
      </c>
      <c r="L61" t="s">
        <v>647</v>
      </c>
      <c r="M61" t="s">
        <v>652</v>
      </c>
      <c r="N61" t="s">
        <v>666</v>
      </c>
      <c r="O61" t="s">
        <v>706</v>
      </c>
      <c r="P61" t="s">
        <v>708</v>
      </c>
      <c r="Q61" t="s">
        <v>715</v>
      </c>
      <c r="R61">
        <f t="shared" si="7"/>
        <v>25</v>
      </c>
      <c r="S61" t="s">
        <v>727</v>
      </c>
      <c r="T61" t="s">
        <v>1302</v>
      </c>
      <c r="U61" s="4">
        <v>138.9</v>
      </c>
      <c r="V61" s="4">
        <f>Table1[[#This Row],[UnitCost]]*(1+WhatIf!$B$3)</f>
        <v>145.845</v>
      </c>
      <c r="W61" s="4">
        <f t="shared" si="8"/>
        <v>1666.8000000000002</v>
      </c>
      <c r="X61" s="4">
        <f>Table1[[#This Row],[ScenarioRev]]-Table1[[#This Row],[ScenarioUnitCost]]</f>
        <v>3570.1176240000004</v>
      </c>
      <c r="Y61" s="4">
        <v>289.92</v>
      </c>
      <c r="Z61" s="4">
        <f t="shared" si="9"/>
        <v>3378.1478400000001</v>
      </c>
      <c r="AA61" s="4">
        <f>Table1[[#This Row],[ScenarioQuanity]]*Table1[[#This Row],[UnitPrice]]*(1-Table1[[#This Row],[ScenarioDiscPct]])</f>
        <v>3715.9626240000002</v>
      </c>
      <c r="AB61" s="4">
        <f t="shared" si="10"/>
        <v>1711.3478399999999</v>
      </c>
      <c r="AC61" s="4">
        <f>Table1[[#This Row],[ScenarioRev]] - Table1[[#This Row],[ScenarioCostOfGoods]]</f>
        <v>145.8449999999998</v>
      </c>
      <c r="AD61" s="6">
        <v>2.9000000000000001E-2</v>
      </c>
      <c r="AE61" s="6">
        <f>MIN(Table1[[#This Row],[DiscountPct]], WhatIf!$B$2)</f>
        <v>2.9000000000000001E-2</v>
      </c>
      <c r="AF61" s="6">
        <f>IF(Table1[[#This Row],[DiscountPct]]&gt;0.2, 1, 0)</f>
        <v>0</v>
      </c>
      <c r="AG61" s="6" t="str">
        <f t="shared" si="11"/>
        <v>Low</v>
      </c>
      <c r="AH61" s="6">
        <f t="shared" si="12"/>
        <v>0.50659353025828491</v>
      </c>
      <c r="AI61" s="5">
        <v>12</v>
      </c>
      <c r="AJ61" s="6">
        <f>Table1[[#This Row],[Quantity]]*(1+WhatIf!$B$4)</f>
        <v>13.200000000000001</v>
      </c>
    </row>
    <row r="62" spans="1:36" x14ac:dyDescent="0.3">
      <c r="A62" t="s">
        <v>528</v>
      </c>
      <c r="B62" s="3">
        <v>45661</v>
      </c>
      <c r="C62" s="3">
        <v>45662</v>
      </c>
      <c r="D62" s="3">
        <f t="shared" si="1"/>
        <v>45662</v>
      </c>
      <c r="E62" s="4">
        <f t="shared" si="0"/>
        <v>1</v>
      </c>
      <c r="F62" s="4">
        <f t="shared" si="2"/>
        <v>1</v>
      </c>
      <c r="G62" s="4">
        <f>IF(Table1[[#This Row],[CorrectedLeadTimeDays]]&lt;=7, 1, 0)</f>
        <v>1</v>
      </c>
      <c r="H62" s="4" t="str">
        <f t="shared" si="3"/>
        <v>January</v>
      </c>
      <c r="I62" s="4" t="str">
        <f t="shared" si="4"/>
        <v>Q1-2025</v>
      </c>
      <c r="J62" s="4" t="str">
        <f t="shared" si="5"/>
        <v>2023-01</v>
      </c>
      <c r="K62" s="3">
        <f t="shared" si="6"/>
        <v>44955</v>
      </c>
      <c r="L62" t="s">
        <v>647</v>
      </c>
      <c r="M62" t="s">
        <v>654</v>
      </c>
      <c r="N62" t="s">
        <v>680</v>
      </c>
      <c r="O62" t="s">
        <v>702</v>
      </c>
      <c r="P62" t="s">
        <v>707</v>
      </c>
      <c r="Q62" t="s">
        <v>714</v>
      </c>
      <c r="R62">
        <f t="shared" si="7"/>
        <v>23</v>
      </c>
      <c r="S62" t="s">
        <v>727</v>
      </c>
      <c r="T62" t="s">
        <v>1247</v>
      </c>
      <c r="U62" s="4">
        <v>1428.33</v>
      </c>
      <c r="V62" s="4">
        <f>Table1[[#This Row],[UnitCost]]*(1+WhatIf!$B$3)</f>
        <v>1499.7465</v>
      </c>
      <c r="W62" s="4">
        <f t="shared" si="8"/>
        <v>15711.63</v>
      </c>
      <c r="X62" s="4">
        <f>Table1[[#This Row],[ScenarioRev]]-Table1[[#This Row],[ScenarioUnitCost]]</f>
        <v>35139.658500000005</v>
      </c>
      <c r="Y62" s="4">
        <v>3028.05</v>
      </c>
      <c r="Z62" s="4">
        <f t="shared" si="9"/>
        <v>33308.550000000003</v>
      </c>
      <c r="AA62" s="4">
        <f>Table1[[#This Row],[ScenarioQuanity]]*Table1[[#This Row],[UnitPrice]]*(1-Table1[[#This Row],[ScenarioDiscPct]])</f>
        <v>36639.405000000006</v>
      </c>
      <c r="AB62" s="4">
        <f t="shared" si="10"/>
        <v>17596.920000000006</v>
      </c>
      <c r="AC62" s="4">
        <f>Table1[[#This Row],[ScenarioRev]] - Table1[[#This Row],[ScenarioCostOfGoods]]</f>
        <v>1499.7465000000011</v>
      </c>
      <c r="AD62" s="6">
        <v>0</v>
      </c>
      <c r="AE62" s="6">
        <f>MIN(Table1[[#This Row],[DiscountPct]], WhatIf!$B$2)</f>
        <v>0</v>
      </c>
      <c r="AF62" s="6">
        <f>IF(Table1[[#This Row],[DiscountPct]]&gt;0.2, 1, 0)</f>
        <v>0</v>
      </c>
      <c r="AG62" s="6" t="str">
        <f t="shared" si="11"/>
        <v>High</v>
      </c>
      <c r="AH62" s="6">
        <f t="shared" si="12"/>
        <v>0.52830039134096207</v>
      </c>
      <c r="AI62" s="5">
        <v>11</v>
      </c>
      <c r="AJ62" s="6">
        <f>Table1[[#This Row],[Quantity]]*(1+WhatIf!$B$4)</f>
        <v>12.100000000000001</v>
      </c>
    </row>
    <row r="63" spans="1:36" x14ac:dyDescent="0.3">
      <c r="A63" t="s">
        <v>100</v>
      </c>
      <c r="B63" s="3">
        <v>45282</v>
      </c>
      <c r="C63" s="3">
        <v>45283</v>
      </c>
      <c r="D63" s="3">
        <f t="shared" si="1"/>
        <v>45283</v>
      </c>
      <c r="E63" s="4">
        <f t="shared" si="0"/>
        <v>1</v>
      </c>
      <c r="F63" s="4">
        <f t="shared" si="2"/>
        <v>1</v>
      </c>
      <c r="G63" s="4">
        <f>IF(Table1[[#This Row],[CorrectedLeadTimeDays]]&lt;=7, 1, 0)</f>
        <v>1</v>
      </c>
      <c r="H63" s="4" t="str">
        <f t="shared" si="3"/>
        <v>December</v>
      </c>
      <c r="I63" s="4" t="str">
        <f t="shared" si="4"/>
        <v>Q4-2023</v>
      </c>
      <c r="J63" s="4" t="str">
        <f t="shared" si="5"/>
        <v>2023-01</v>
      </c>
      <c r="K63" s="3">
        <f t="shared" si="6"/>
        <v>44933</v>
      </c>
      <c r="L63" t="s">
        <v>646</v>
      </c>
      <c r="M63" t="s">
        <v>661</v>
      </c>
      <c r="N63" t="s">
        <v>695</v>
      </c>
      <c r="O63" t="s">
        <v>703</v>
      </c>
      <c r="P63" t="s">
        <v>709</v>
      </c>
      <c r="Q63" t="s">
        <v>726</v>
      </c>
      <c r="R63">
        <f t="shared" si="7"/>
        <v>11</v>
      </c>
      <c r="S63" t="s">
        <v>727</v>
      </c>
      <c r="T63" t="s">
        <v>819</v>
      </c>
      <c r="U63" s="4">
        <v>1186.18</v>
      </c>
      <c r="V63" s="4">
        <f>Table1[[#This Row],[UnitCost]]*(1+WhatIf!$B$3)</f>
        <v>1245.489</v>
      </c>
      <c r="W63" s="4">
        <f t="shared" si="8"/>
        <v>13047.980000000001</v>
      </c>
      <c r="X63" s="4">
        <f>Table1[[#This Row],[ScenarioRev]]-Table1[[#This Row],[ScenarioUnitCost]]</f>
        <v>13215.628769999999</v>
      </c>
      <c r="Y63" s="4">
        <v>1285.0899999999999</v>
      </c>
      <c r="Z63" s="4">
        <f t="shared" si="9"/>
        <v>13146.470699999998</v>
      </c>
      <c r="AA63" s="4">
        <f>Table1[[#This Row],[ScenarioQuanity]]*Table1[[#This Row],[UnitPrice]]*(1-Table1[[#This Row],[ScenarioDiscPct]])</f>
        <v>14461.117769999999</v>
      </c>
      <c r="AB63" s="4">
        <f t="shared" si="10"/>
        <v>98.49069999999665</v>
      </c>
      <c r="AC63" s="4">
        <f>Table1[[#This Row],[ScenarioRev]] - Table1[[#This Row],[ScenarioCostOfGoods]]</f>
        <v>1245.4889999999996</v>
      </c>
      <c r="AD63" s="6">
        <v>7.0000000000000007E-2</v>
      </c>
      <c r="AE63" s="6">
        <f>MIN(Table1[[#This Row],[DiscountPct]], WhatIf!$B$2)</f>
        <v>7.0000000000000007E-2</v>
      </c>
      <c r="AF63" s="6">
        <f>IF(Table1[[#This Row],[DiscountPct]]&gt;0.2, 1, 0)</f>
        <v>0</v>
      </c>
      <c r="AG63" s="6" t="str">
        <f t="shared" si="11"/>
        <v>High</v>
      </c>
      <c r="AH63" s="6">
        <f t="shared" si="12"/>
        <v>7.4917977796121861E-3</v>
      </c>
      <c r="AI63" s="5">
        <v>11</v>
      </c>
      <c r="AJ63" s="6">
        <f>Table1[[#This Row],[Quantity]]*(1+WhatIf!$B$4)</f>
        <v>12.100000000000001</v>
      </c>
    </row>
    <row r="64" spans="1:36" x14ac:dyDescent="0.3">
      <c r="A64" t="s">
        <v>239</v>
      </c>
      <c r="B64" s="3">
        <v>45279</v>
      </c>
      <c r="C64" s="3">
        <v>45280</v>
      </c>
      <c r="D64" s="3">
        <f t="shared" si="1"/>
        <v>45280</v>
      </c>
      <c r="E64" s="4">
        <f t="shared" si="0"/>
        <v>1</v>
      </c>
      <c r="F64" s="4">
        <f t="shared" si="2"/>
        <v>1</v>
      </c>
      <c r="G64" s="4">
        <f>IF(Table1[[#This Row],[CorrectedLeadTimeDays]]&lt;=7, 1, 0)</f>
        <v>1</v>
      </c>
      <c r="H64" s="4" t="str">
        <f t="shared" si="3"/>
        <v>December</v>
      </c>
      <c r="I64" s="4" t="str">
        <f t="shared" si="4"/>
        <v>Q4-2023</v>
      </c>
      <c r="J64" s="4" t="str">
        <f t="shared" si="5"/>
        <v>2023-01</v>
      </c>
      <c r="K64" s="3">
        <f t="shared" si="6"/>
        <v>44955</v>
      </c>
      <c r="L64" t="s">
        <v>648</v>
      </c>
      <c r="M64" t="s">
        <v>655</v>
      </c>
      <c r="N64" t="s">
        <v>692</v>
      </c>
      <c r="O64" t="s">
        <v>704</v>
      </c>
      <c r="P64" t="s">
        <v>710</v>
      </c>
      <c r="Q64" t="s">
        <v>713</v>
      </c>
      <c r="R64">
        <f t="shared" si="7"/>
        <v>10</v>
      </c>
      <c r="S64" t="s">
        <v>730</v>
      </c>
      <c r="T64" t="s">
        <v>959</v>
      </c>
      <c r="U64" s="4">
        <v>1080.43</v>
      </c>
      <c r="V64" s="4">
        <f>Table1[[#This Row],[UnitCost]]*(1+WhatIf!$B$3)</f>
        <v>1134.4515000000001</v>
      </c>
      <c r="W64" s="4">
        <f t="shared" si="8"/>
        <v>10804.300000000001</v>
      </c>
      <c r="X64" s="4">
        <f>Table1[[#This Row],[ScenarioRev]]-Table1[[#This Row],[ScenarioUnitCost]]</f>
        <v>22596.562950000003</v>
      </c>
      <c r="Y64" s="4">
        <v>2529.15</v>
      </c>
      <c r="Z64" s="4">
        <f t="shared" si="9"/>
        <v>21573.6495</v>
      </c>
      <c r="AA64" s="4">
        <f>Table1[[#This Row],[ScenarioQuanity]]*Table1[[#This Row],[UnitPrice]]*(1-Table1[[#This Row],[ScenarioDiscPct]])</f>
        <v>23731.014450000002</v>
      </c>
      <c r="AB64" s="4">
        <f t="shared" si="10"/>
        <v>10769.349499999998</v>
      </c>
      <c r="AC64" s="4">
        <f>Table1[[#This Row],[ScenarioRev]] - Table1[[#This Row],[ScenarioCostOfGoods]]</f>
        <v>1134.4514999999992</v>
      </c>
      <c r="AD64" s="6">
        <v>0.14699999999999999</v>
      </c>
      <c r="AE64" s="6">
        <f>MIN(Table1[[#This Row],[DiscountPct]], WhatIf!$B$2)</f>
        <v>0.14699999999999999</v>
      </c>
      <c r="AF64" s="6">
        <f>IF(Table1[[#This Row],[DiscountPct]]&gt;0.2, 1, 0)</f>
        <v>0</v>
      </c>
      <c r="AG64" s="6" t="str">
        <f t="shared" si="11"/>
        <v>High</v>
      </c>
      <c r="AH64" s="6">
        <f t="shared" si="12"/>
        <v>0.49918997247081437</v>
      </c>
      <c r="AI64" s="5">
        <v>10</v>
      </c>
      <c r="AJ64" s="6">
        <f>Table1[[#This Row],[Quantity]]*(1+WhatIf!$B$4)</f>
        <v>11</v>
      </c>
    </row>
    <row r="65" spans="1:36" x14ac:dyDescent="0.3">
      <c r="A65" t="s">
        <v>270</v>
      </c>
      <c r="B65" s="3">
        <v>45204</v>
      </c>
      <c r="C65" s="3">
        <v>45205</v>
      </c>
      <c r="D65" s="3">
        <f t="shared" si="1"/>
        <v>45205</v>
      </c>
      <c r="E65" s="4">
        <f t="shared" si="0"/>
        <v>1</v>
      </c>
      <c r="F65" s="4">
        <f t="shared" si="2"/>
        <v>1</v>
      </c>
      <c r="G65" s="4">
        <f>IF(Table1[[#This Row],[CorrectedLeadTimeDays]]&lt;=7, 1, 0)</f>
        <v>1</v>
      </c>
      <c r="H65" s="4" t="str">
        <f t="shared" si="3"/>
        <v>October</v>
      </c>
      <c r="I65" s="4" t="str">
        <f t="shared" si="4"/>
        <v>Q4-2023</v>
      </c>
      <c r="J65" s="4" t="str">
        <f t="shared" si="5"/>
        <v>2023-01</v>
      </c>
      <c r="K65" s="3">
        <f t="shared" si="6"/>
        <v>44955</v>
      </c>
      <c r="L65" t="s">
        <v>647</v>
      </c>
      <c r="M65" t="s">
        <v>654</v>
      </c>
      <c r="N65" t="s">
        <v>668</v>
      </c>
      <c r="O65" t="s">
        <v>703</v>
      </c>
      <c r="P65" t="s">
        <v>708</v>
      </c>
      <c r="Q65" t="s">
        <v>714</v>
      </c>
      <c r="R65">
        <f t="shared" si="7"/>
        <v>8</v>
      </c>
      <c r="S65" t="s">
        <v>727</v>
      </c>
      <c r="T65" t="s">
        <v>990</v>
      </c>
      <c r="U65" s="4">
        <v>1470.26</v>
      </c>
      <c r="V65" s="4">
        <f>Table1[[#This Row],[UnitCost]]*(1+WhatIf!$B$3)</f>
        <v>1543.7730000000001</v>
      </c>
      <c r="W65" s="4">
        <f t="shared" si="8"/>
        <v>13232.34</v>
      </c>
      <c r="X65" s="4">
        <f>Table1[[#This Row],[ScenarioRev]]-Table1[[#This Row],[ScenarioUnitCost]]</f>
        <v>19436.592615000001</v>
      </c>
      <c r="Y65" s="4">
        <v>2562.5500000000002</v>
      </c>
      <c r="Z65" s="4">
        <f t="shared" si="9"/>
        <v>19073.059649999999</v>
      </c>
      <c r="AA65" s="4">
        <f>Table1[[#This Row],[ScenarioQuanity]]*Table1[[#This Row],[UnitPrice]]*(1-Table1[[#This Row],[ScenarioDiscPct]])</f>
        <v>20980.365615000002</v>
      </c>
      <c r="AB65" s="4">
        <f t="shared" si="10"/>
        <v>5840.7196499999991</v>
      </c>
      <c r="AC65" s="4">
        <f>Table1[[#This Row],[ScenarioRev]] - Table1[[#This Row],[ScenarioCostOfGoods]]</f>
        <v>1543.773000000001</v>
      </c>
      <c r="AD65" s="6">
        <v>0.17299999999999999</v>
      </c>
      <c r="AE65" s="6">
        <f>MIN(Table1[[#This Row],[DiscountPct]], WhatIf!$B$2)</f>
        <v>0.17299999999999999</v>
      </c>
      <c r="AF65" s="6">
        <f>IF(Table1[[#This Row],[DiscountPct]]&gt;0.2, 1, 0)</f>
        <v>0</v>
      </c>
      <c r="AG65" s="6" t="str">
        <f t="shared" si="11"/>
        <v>High</v>
      </c>
      <c r="AH65" s="6">
        <f t="shared" si="12"/>
        <v>0.30622877279157462</v>
      </c>
      <c r="AI65" s="5">
        <v>9</v>
      </c>
      <c r="AJ65" s="6">
        <f>Table1[[#This Row],[Quantity]]*(1+WhatIf!$B$4)</f>
        <v>9.9</v>
      </c>
    </row>
    <row r="66" spans="1:36" x14ac:dyDescent="0.3">
      <c r="A66" t="s">
        <v>72</v>
      </c>
      <c r="B66" s="3">
        <v>45643</v>
      </c>
      <c r="C66" s="3">
        <v>45644</v>
      </c>
      <c r="D66" s="3">
        <f t="shared" si="1"/>
        <v>45644</v>
      </c>
      <c r="E66" s="4">
        <f t="shared" ref="E66:E129" si="13">C66-B66</f>
        <v>1</v>
      </c>
      <c r="F66" s="4">
        <f t="shared" si="2"/>
        <v>1</v>
      </c>
      <c r="G66" s="4">
        <f>IF(Table1[[#This Row],[CorrectedLeadTimeDays]]&lt;=7, 1, 0)</f>
        <v>1</v>
      </c>
      <c r="H66" s="4" t="str">
        <f t="shared" si="3"/>
        <v>December</v>
      </c>
      <c r="I66" s="4" t="str">
        <f t="shared" si="4"/>
        <v>Q4-2024</v>
      </c>
      <c r="J66" s="4" t="str">
        <f t="shared" si="5"/>
        <v>2023-01</v>
      </c>
      <c r="K66" s="3">
        <f t="shared" si="6"/>
        <v>44948</v>
      </c>
      <c r="L66" t="s">
        <v>649</v>
      </c>
      <c r="M66" t="s">
        <v>656</v>
      </c>
      <c r="N66" t="s">
        <v>684</v>
      </c>
      <c r="O66" t="s">
        <v>702</v>
      </c>
      <c r="P66" t="s">
        <v>707</v>
      </c>
      <c r="Q66" t="s">
        <v>716</v>
      </c>
      <c r="R66">
        <f t="shared" si="7"/>
        <v>22</v>
      </c>
      <c r="S66" t="s">
        <v>733</v>
      </c>
      <c r="T66" t="s">
        <v>791</v>
      </c>
      <c r="U66" s="4">
        <v>346.82</v>
      </c>
      <c r="V66" s="4">
        <f>Table1[[#This Row],[UnitCost]]*(1+WhatIf!$B$3)</f>
        <v>364.161</v>
      </c>
      <c r="W66" s="4">
        <f t="shared" si="8"/>
        <v>2774.56</v>
      </c>
      <c r="X66" s="4">
        <f>Table1[[#This Row],[ScenarioRev]]-Table1[[#This Row],[ScenarioUnitCost]]</f>
        <v>4904.9564800000007</v>
      </c>
      <c r="Y66" s="4">
        <v>701.95</v>
      </c>
      <c r="Z66" s="4">
        <f t="shared" si="9"/>
        <v>4790.1068000000005</v>
      </c>
      <c r="AA66" s="4">
        <f>Table1[[#This Row],[ScenarioQuanity]]*Table1[[#This Row],[UnitPrice]]*(1-Table1[[#This Row],[ScenarioDiscPct]])</f>
        <v>5269.1174800000008</v>
      </c>
      <c r="AB66" s="4">
        <f t="shared" si="10"/>
        <v>2015.5468000000005</v>
      </c>
      <c r="AC66" s="4">
        <f>Table1[[#This Row],[ScenarioRev]] - Table1[[#This Row],[ScenarioCostOfGoods]]</f>
        <v>364.16100000000006</v>
      </c>
      <c r="AD66" s="6">
        <v>0.14699999999999999</v>
      </c>
      <c r="AE66" s="6">
        <f>MIN(Table1[[#This Row],[DiscountPct]], WhatIf!$B$2)</f>
        <v>0.14699999999999999</v>
      </c>
      <c r="AF66" s="6">
        <f>IF(Table1[[#This Row],[DiscountPct]]&gt;0.2, 1, 0)</f>
        <v>0</v>
      </c>
      <c r="AG66" s="6" t="str">
        <f t="shared" si="11"/>
        <v>Low</v>
      </c>
      <c r="AH66" s="6">
        <f t="shared" si="12"/>
        <v>0.42077283120284509</v>
      </c>
      <c r="AI66" s="5">
        <v>8</v>
      </c>
      <c r="AJ66" s="6">
        <f>Table1[[#This Row],[Quantity]]*(1+WhatIf!$B$4)</f>
        <v>8.8000000000000007</v>
      </c>
    </row>
    <row r="67" spans="1:36" x14ac:dyDescent="0.3">
      <c r="A67" t="s">
        <v>555</v>
      </c>
      <c r="B67" s="3">
        <v>45115</v>
      </c>
      <c r="C67" s="3">
        <v>45116</v>
      </c>
      <c r="D67" s="3">
        <f t="shared" ref="D67:D130" si="14">IF(C67&lt;B67, B67+14, C67)</f>
        <v>45116</v>
      </c>
      <c r="E67" s="4">
        <f t="shared" si="13"/>
        <v>1</v>
      </c>
      <c r="F67" s="4">
        <f t="shared" ref="F67:F130" si="15">D67-B67</f>
        <v>1</v>
      </c>
      <c r="G67" s="4">
        <f>IF(Table1[[#This Row],[CorrectedLeadTimeDays]]&lt;=7, 1, 0)</f>
        <v>1</v>
      </c>
      <c r="H67" s="4" t="str">
        <f t="shared" ref="H67:H130" si="16">TEXT(B67, "mmmm")</f>
        <v>July</v>
      </c>
      <c r="I67" s="4" t="str">
        <f t="shared" ref="I67:I130" si="17">"Q"&amp;ROUNDUP(MONTH(B67)/3,0)&amp;"-"&amp;YEAR(B67)</f>
        <v>Q3-2023</v>
      </c>
      <c r="J67" s="4" t="str">
        <f t="shared" ref="J67:J130" si="18">TEXT(K67, "yyyy-mm")</f>
        <v>2023-01</v>
      </c>
      <c r="K67" s="3">
        <f t="shared" ref="K67:K130" si="19">_xlfn.MINIFS($B:$B,$M:$M,M67)</f>
        <v>44946</v>
      </c>
      <c r="L67" t="s">
        <v>646</v>
      </c>
      <c r="M67" t="s">
        <v>650</v>
      </c>
      <c r="N67" t="s">
        <v>664</v>
      </c>
      <c r="O67" t="s">
        <v>704</v>
      </c>
      <c r="P67" t="s">
        <v>708</v>
      </c>
      <c r="Q67" t="s">
        <v>726</v>
      </c>
      <c r="R67">
        <f t="shared" ref="R67:R130" si="20">DATEDIF(K67,B67,"m")</f>
        <v>5</v>
      </c>
      <c r="S67" t="s">
        <v>731</v>
      </c>
      <c r="T67" t="s">
        <v>1273</v>
      </c>
      <c r="U67" s="4">
        <v>1258.72</v>
      </c>
      <c r="V67" s="4">
        <f>Table1[[#This Row],[UnitCost]]*(1+WhatIf!$B$3)</f>
        <v>1321.6560000000002</v>
      </c>
      <c r="W67" s="4">
        <f t="shared" ref="W67:W130" si="21">U67*AI67</f>
        <v>8811.0400000000009</v>
      </c>
      <c r="X67" s="4">
        <f>Table1[[#This Row],[ScenarioRev]]-Table1[[#This Row],[ScenarioUnitCost]]</f>
        <v>20218.401000000002</v>
      </c>
      <c r="Y67" s="4">
        <v>2797.41</v>
      </c>
      <c r="Z67" s="4">
        <f t="shared" ref="Z67:Z130" si="22">Y67*AI67*(1-AD67)</f>
        <v>19581.87</v>
      </c>
      <c r="AA67" s="4">
        <f>Table1[[#This Row],[ScenarioQuanity]]*Table1[[#This Row],[UnitPrice]]*(1-Table1[[#This Row],[ScenarioDiscPct]])</f>
        <v>21540.057000000001</v>
      </c>
      <c r="AB67" s="4">
        <f t="shared" ref="AB67:AB130" si="23">Z67-W67</f>
        <v>10770.829999999998</v>
      </c>
      <c r="AC67" s="4">
        <f>Table1[[#This Row],[ScenarioRev]] - Table1[[#This Row],[ScenarioCostOfGoods]]</f>
        <v>1321.655999999999</v>
      </c>
      <c r="AD67" s="6">
        <v>0</v>
      </c>
      <c r="AE67" s="6">
        <f>MIN(Table1[[#This Row],[DiscountPct]], WhatIf!$B$2)</f>
        <v>0</v>
      </c>
      <c r="AF67" s="6">
        <f>IF(Table1[[#This Row],[DiscountPct]]&gt;0.2, 1, 0)</f>
        <v>0</v>
      </c>
      <c r="AG67" s="6" t="str">
        <f t="shared" ref="AG67:AG130" si="24">IF(Y67&lt;=_xlfn.PERCENTILE.INC($Y:$Y,0.33),"Low",
 IF(D67&lt;=_xlfn.PERCENTILE.INC($Y:$Y,0.66),"Medium",
 "High"))</f>
        <v>High</v>
      </c>
      <c r="AH67" s="6">
        <f t="shared" ref="AH67:AH130" si="25">IF(Z67=0, 0, AB67/Z67)</f>
        <v>0.55004093071805704</v>
      </c>
      <c r="AI67" s="5">
        <v>7</v>
      </c>
      <c r="AJ67" s="6">
        <f>Table1[[#This Row],[Quantity]]*(1+WhatIf!$B$4)</f>
        <v>7.7000000000000011</v>
      </c>
    </row>
    <row r="68" spans="1:36" x14ac:dyDescent="0.3">
      <c r="A68" t="s">
        <v>557</v>
      </c>
      <c r="B68" s="3">
        <v>44968</v>
      </c>
      <c r="C68" s="3">
        <v>44969</v>
      </c>
      <c r="D68" s="3">
        <f t="shared" si="14"/>
        <v>44969</v>
      </c>
      <c r="E68" s="4">
        <f t="shared" si="13"/>
        <v>1</v>
      </c>
      <c r="F68" s="4">
        <f t="shared" si="15"/>
        <v>1</v>
      </c>
      <c r="G68" s="4">
        <f>IF(Table1[[#This Row],[CorrectedLeadTimeDays]]&lt;=7, 1, 0)</f>
        <v>1</v>
      </c>
      <c r="H68" s="4" t="str">
        <f t="shared" si="16"/>
        <v>February</v>
      </c>
      <c r="I68" s="4" t="str">
        <f t="shared" si="17"/>
        <v>Q1-2023</v>
      </c>
      <c r="J68" s="4" t="str">
        <f t="shared" si="18"/>
        <v>2023-01</v>
      </c>
      <c r="K68" s="3">
        <f t="shared" si="19"/>
        <v>44941</v>
      </c>
      <c r="L68" t="s">
        <v>646</v>
      </c>
      <c r="M68" t="s">
        <v>651</v>
      </c>
      <c r="N68" t="s">
        <v>663</v>
      </c>
      <c r="O68" t="s">
        <v>703</v>
      </c>
      <c r="P68" t="s">
        <v>711</v>
      </c>
      <c r="Q68" t="s">
        <v>726</v>
      </c>
      <c r="R68">
        <f t="shared" si="20"/>
        <v>0</v>
      </c>
      <c r="S68" t="s">
        <v>733</v>
      </c>
      <c r="T68" t="s">
        <v>1275</v>
      </c>
      <c r="U68" s="4">
        <v>944.61</v>
      </c>
      <c r="V68" s="4">
        <f>Table1[[#This Row],[UnitCost]]*(1+WhatIf!$B$3)</f>
        <v>991.84050000000002</v>
      </c>
      <c r="W68" s="4">
        <f t="shared" si="21"/>
        <v>5667.66</v>
      </c>
      <c r="X68" s="4">
        <f>Table1[[#This Row],[ScenarioRev]]-Table1[[#This Row],[ScenarioUnitCost]]</f>
        <v>4219.1013240000002</v>
      </c>
      <c r="Y68" s="4">
        <v>839.04</v>
      </c>
      <c r="Z68" s="4">
        <f t="shared" si="22"/>
        <v>4737.2198399999997</v>
      </c>
      <c r="AA68" s="4">
        <f>Table1[[#This Row],[ScenarioQuanity]]*Table1[[#This Row],[UnitPrice]]*(1-Table1[[#This Row],[ScenarioDiscPct]])</f>
        <v>5210.9418240000005</v>
      </c>
      <c r="AB68" s="4">
        <f t="shared" si="23"/>
        <v>-930.44016000000011</v>
      </c>
      <c r="AC68" s="4">
        <f>Table1[[#This Row],[ScenarioRev]] - Table1[[#This Row],[ScenarioCostOfGoods]]</f>
        <v>991.84050000000025</v>
      </c>
      <c r="AD68" s="6">
        <v>5.8999999999999997E-2</v>
      </c>
      <c r="AE68" s="6">
        <f>MIN(Table1[[#This Row],[DiscountPct]], WhatIf!$B$2)</f>
        <v>5.8999999999999997E-2</v>
      </c>
      <c r="AF68" s="6">
        <f>IF(Table1[[#This Row],[DiscountPct]]&gt;0.2, 1, 0)</f>
        <v>0</v>
      </c>
      <c r="AG68" s="6" t="str">
        <f t="shared" si="24"/>
        <v>High</v>
      </c>
      <c r="AH68" s="6">
        <f t="shared" si="25"/>
        <v>-0.19641059343363726</v>
      </c>
      <c r="AI68" s="5">
        <v>6</v>
      </c>
      <c r="AJ68" s="6">
        <f>Table1[[#This Row],[Quantity]]*(1+WhatIf!$B$4)</f>
        <v>6.6000000000000005</v>
      </c>
    </row>
    <row r="69" spans="1:36" x14ac:dyDescent="0.3">
      <c r="A69" t="s">
        <v>517</v>
      </c>
      <c r="B69" s="3">
        <v>45740</v>
      </c>
      <c r="C69" s="3">
        <v>45741</v>
      </c>
      <c r="D69" s="3">
        <f t="shared" si="14"/>
        <v>45741</v>
      </c>
      <c r="E69" s="4">
        <f t="shared" si="13"/>
        <v>1</v>
      </c>
      <c r="F69" s="4">
        <f t="shared" si="15"/>
        <v>1</v>
      </c>
      <c r="G69" s="4">
        <f>IF(Table1[[#This Row],[CorrectedLeadTimeDays]]&lt;=7, 1, 0)</f>
        <v>1</v>
      </c>
      <c r="H69" s="4" t="str">
        <f t="shared" si="16"/>
        <v>March</v>
      </c>
      <c r="I69" s="4" t="str">
        <f t="shared" si="17"/>
        <v>Q1-2025</v>
      </c>
      <c r="J69" s="4" t="str">
        <f t="shared" si="18"/>
        <v>2023-01</v>
      </c>
      <c r="K69" s="3">
        <f t="shared" si="19"/>
        <v>44938</v>
      </c>
      <c r="L69" t="s">
        <v>647</v>
      </c>
      <c r="M69" t="s">
        <v>659</v>
      </c>
      <c r="N69" t="s">
        <v>699</v>
      </c>
      <c r="O69" t="s">
        <v>703</v>
      </c>
      <c r="P69" t="s">
        <v>708</v>
      </c>
      <c r="Q69" t="s">
        <v>715</v>
      </c>
      <c r="R69">
        <f t="shared" si="20"/>
        <v>26</v>
      </c>
      <c r="S69" t="s">
        <v>729</v>
      </c>
      <c r="T69" t="s">
        <v>1236</v>
      </c>
      <c r="U69" s="4">
        <v>1133.03</v>
      </c>
      <c r="V69" s="4">
        <f>Table1[[#This Row],[UnitCost]]*(1+WhatIf!$B$3)</f>
        <v>1189.6814999999999</v>
      </c>
      <c r="W69" s="4">
        <f t="shared" si="21"/>
        <v>5665.15</v>
      </c>
      <c r="X69" s="4">
        <f>Table1[[#This Row],[ScenarioRev]]-Table1[[#This Row],[ScenarioUnitCost]]</f>
        <v>8311.2246950000008</v>
      </c>
      <c r="Y69" s="4">
        <v>1921.51</v>
      </c>
      <c r="Z69" s="4">
        <f t="shared" si="22"/>
        <v>8637.1874499999994</v>
      </c>
      <c r="AA69" s="4">
        <f>Table1[[#This Row],[ScenarioQuanity]]*Table1[[#This Row],[UnitPrice]]*(1-Table1[[#This Row],[ScenarioDiscPct]])</f>
        <v>9500.9061950000014</v>
      </c>
      <c r="AB69" s="4">
        <f t="shared" si="23"/>
        <v>2972.0374499999998</v>
      </c>
      <c r="AC69" s="4">
        <f>Table1[[#This Row],[ScenarioRev]] - Table1[[#This Row],[ScenarioCostOfGoods]]</f>
        <v>1189.6815000000006</v>
      </c>
      <c r="AD69" s="6">
        <v>0.10100000000000001</v>
      </c>
      <c r="AE69" s="6">
        <f>MIN(Table1[[#This Row],[DiscountPct]], WhatIf!$B$2)</f>
        <v>0.10100000000000001</v>
      </c>
      <c r="AF69" s="6">
        <f>IF(Table1[[#This Row],[DiscountPct]]&gt;0.2, 1, 0)</f>
        <v>0</v>
      </c>
      <c r="AG69" s="6" t="str">
        <f t="shared" si="24"/>
        <v>High</v>
      </c>
      <c r="AH69" s="6">
        <f t="shared" si="25"/>
        <v>0.3440978289755654</v>
      </c>
      <c r="AI69" s="5">
        <v>5</v>
      </c>
      <c r="AJ69" s="6">
        <f>Table1[[#This Row],[Quantity]]*(1+WhatIf!$B$4)</f>
        <v>5.5</v>
      </c>
    </row>
    <row r="70" spans="1:36" x14ac:dyDescent="0.3">
      <c r="A70" t="s">
        <v>449</v>
      </c>
      <c r="B70" s="3">
        <v>45217</v>
      </c>
      <c r="C70" s="3">
        <v>45219</v>
      </c>
      <c r="D70" s="3">
        <f t="shared" si="14"/>
        <v>45219</v>
      </c>
      <c r="E70" s="4">
        <f t="shared" si="13"/>
        <v>2</v>
      </c>
      <c r="F70" s="4">
        <f t="shared" si="15"/>
        <v>2</v>
      </c>
      <c r="G70" s="4">
        <f>IF(Table1[[#This Row],[CorrectedLeadTimeDays]]&lt;=7, 1, 0)</f>
        <v>1</v>
      </c>
      <c r="H70" s="4" t="str">
        <f t="shared" si="16"/>
        <v>October</v>
      </c>
      <c r="I70" s="4" t="str">
        <f t="shared" si="17"/>
        <v>Q4-2023</v>
      </c>
      <c r="J70" s="4" t="str">
        <f t="shared" si="18"/>
        <v>2023-01</v>
      </c>
      <c r="K70" s="3">
        <f t="shared" si="19"/>
        <v>44946</v>
      </c>
      <c r="L70" t="s">
        <v>646</v>
      </c>
      <c r="M70" t="s">
        <v>650</v>
      </c>
      <c r="N70" t="s">
        <v>662</v>
      </c>
      <c r="O70" t="s">
        <v>704</v>
      </c>
      <c r="P70" t="s">
        <v>707</v>
      </c>
      <c r="Q70" t="s">
        <v>713</v>
      </c>
      <c r="R70">
        <f t="shared" si="20"/>
        <v>8</v>
      </c>
      <c r="S70" t="s">
        <v>730</v>
      </c>
      <c r="T70" t="s">
        <v>1168</v>
      </c>
      <c r="U70" s="4">
        <v>774.12</v>
      </c>
      <c r="V70" s="4">
        <f>Table1[[#This Row],[UnitCost]]*(1+WhatIf!$B$3)</f>
        <v>812.82600000000002</v>
      </c>
      <c r="W70" s="4">
        <f t="shared" si="21"/>
        <v>23223.599999999999</v>
      </c>
      <c r="X70" s="4">
        <f>Table1[[#This Row],[ScenarioRev]]-Table1[[#This Row],[ScenarioUnitCost]]</f>
        <v>29161.073999999997</v>
      </c>
      <c r="Y70" s="4">
        <v>908.3</v>
      </c>
      <c r="Z70" s="4">
        <f t="shared" si="22"/>
        <v>27249</v>
      </c>
      <c r="AA70" s="4">
        <f>Table1[[#This Row],[ScenarioQuanity]]*Table1[[#This Row],[UnitPrice]]*(1-Table1[[#This Row],[ScenarioDiscPct]])</f>
        <v>29973.899999999998</v>
      </c>
      <c r="AB70" s="4">
        <f t="shared" si="23"/>
        <v>4025.4000000000015</v>
      </c>
      <c r="AC70" s="4">
        <f>Table1[[#This Row],[ScenarioRev]] - Table1[[#This Row],[ScenarioCostOfGoods]]</f>
        <v>812.82600000000093</v>
      </c>
      <c r="AD70" s="6">
        <v>0</v>
      </c>
      <c r="AE70" s="6">
        <f>MIN(Table1[[#This Row],[DiscountPct]], WhatIf!$B$2)</f>
        <v>0</v>
      </c>
      <c r="AF70" s="6">
        <f>IF(Table1[[#This Row],[DiscountPct]]&gt;0.2, 1, 0)</f>
        <v>0</v>
      </c>
      <c r="AG70" s="6" t="str">
        <f t="shared" si="24"/>
        <v>High</v>
      </c>
      <c r="AH70" s="6">
        <f t="shared" si="25"/>
        <v>0.14772652207420461</v>
      </c>
      <c r="AI70" s="5">
        <v>30</v>
      </c>
      <c r="AJ70" s="6">
        <f>Table1[[#This Row],[Quantity]]*(1+WhatIf!$B$4)</f>
        <v>33</v>
      </c>
    </row>
    <row r="71" spans="1:36" x14ac:dyDescent="0.3">
      <c r="A71" t="s">
        <v>163</v>
      </c>
      <c r="B71" s="3">
        <v>45183</v>
      </c>
      <c r="C71" s="3">
        <v>45185</v>
      </c>
      <c r="D71" s="3">
        <f t="shared" si="14"/>
        <v>45185</v>
      </c>
      <c r="E71" s="4">
        <f t="shared" si="13"/>
        <v>2</v>
      </c>
      <c r="F71" s="4">
        <f t="shared" si="15"/>
        <v>2</v>
      </c>
      <c r="G71" s="4">
        <f>IF(Table1[[#This Row],[CorrectedLeadTimeDays]]&lt;=7, 1, 0)</f>
        <v>1</v>
      </c>
      <c r="H71" s="4" t="str">
        <f t="shared" si="16"/>
        <v>September</v>
      </c>
      <c r="I71" s="4" t="str">
        <f t="shared" si="17"/>
        <v>Q3-2023</v>
      </c>
      <c r="J71" s="4" t="str">
        <f t="shared" si="18"/>
        <v>2023-01</v>
      </c>
      <c r="K71" s="3">
        <f t="shared" si="19"/>
        <v>44936</v>
      </c>
      <c r="L71" t="s">
        <v>649</v>
      </c>
      <c r="M71" t="s">
        <v>657</v>
      </c>
      <c r="N71" t="s">
        <v>679</v>
      </c>
      <c r="O71" t="s">
        <v>703</v>
      </c>
      <c r="P71" t="s">
        <v>711</v>
      </c>
      <c r="Q71" t="s">
        <v>717</v>
      </c>
      <c r="R71">
        <f t="shared" si="20"/>
        <v>8</v>
      </c>
      <c r="S71" t="s">
        <v>728</v>
      </c>
      <c r="T71" t="s">
        <v>882</v>
      </c>
      <c r="U71" s="4">
        <v>376.83</v>
      </c>
      <c r="V71" s="4">
        <f>Table1[[#This Row],[UnitCost]]*(1+WhatIf!$B$3)</f>
        <v>395.67149999999998</v>
      </c>
      <c r="W71" s="4">
        <f t="shared" si="21"/>
        <v>9420.75</v>
      </c>
      <c r="X71" s="4">
        <f>Table1[[#This Row],[ScenarioRev]]-Table1[[#This Row],[ScenarioUnitCost]]</f>
        <v>15969.538900000001</v>
      </c>
      <c r="Y71" s="4">
        <v>732.88</v>
      </c>
      <c r="Z71" s="4">
        <f t="shared" si="22"/>
        <v>14877.464000000002</v>
      </c>
      <c r="AA71" s="4">
        <f>Table1[[#This Row],[ScenarioQuanity]]*Table1[[#This Row],[UnitPrice]]*(1-Table1[[#This Row],[ScenarioDiscPct]])</f>
        <v>16365.210400000002</v>
      </c>
      <c r="AB71" s="4">
        <f t="shared" si="23"/>
        <v>5456.7140000000018</v>
      </c>
      <c r="AC71" s="4">
        <f>Table1[[#This Row],[ScenarioRev]] - Table1[[#This Row],[ScenarioCostOfGoods]]</f>
        <v>395.67150000000038</v>
      </c>
      <c r="AD71" s="6">
        <v>0.188</v>
      </c>
      <c r="AE71" s="6">
        <f>MIN(Table1[[#This Row],[DiscountPct]], WhatIf!$B$2)</f>
        <v>0.188</v>
      </c>
      <c r="AF71" s="6">
        <f>IF(Table1[[#This Row],[DiscountPct]]&gt;0.2, 1, 0)</f>
        <v>0</v>
      </c>
      <c r="AG71" s="6" t="str">
        <f t="shared" si="24"/>
        <v>Low</v>
      </c>
      <c r="AH71" s="6">
        <f t="shared" si="25"/>
        <v>0.36677716040852132</v>
      </c>
      <c r="AI71" s="5">
        <v>25</v>
      </c>
      <c r="AJ71" s="6">
        <f>Table1[[#This Row],[Quantity]]*(1+WhatIf!$B$4)</f>
        <v>27.500000000000004</v>
      </c>
    </row>
    <row r="72" spans="1:36" x14ac:dyDescent="0.3">
      <c r="A72" t="s">
        <v>374</v>
      </c>
      <c r="B72" s="3">
        <v>45466</v>
      </c>
      <c r="C72" s="3">
        <v>45468</v>
      </c>
      <c r="D72" s="3">
        <f t="shared" si="14"/>
        <v>45468</v>
      </c>
      <c r="E72" s="4">
        <f t="shared" si="13"/>
        <v>2</v>
      </c>
      <c r="F72" s="4">
        <f t="shared" si="15"/>
        <v>2</v>
      </c>
      <c r="G72" s="4">
        <f>IF(Table1[[#This Row],[CorrectedLeadTimeDays]]&lt;=7, 1, 0)</f>
        <v>1</v>
      </c>
      <c r="H72" s="4" t="str">
        <f t="shared" si="16"/>
        <v>June</v>
      </c>
      <c r="I72" s="4" t="str">
        <f t="shared" si="17"/>
        <v>Q2-2024</v>
      </c>
      <c r="J72" s="4" t="str">
        <f t="shared" si="18"/>
        <v>2023-01</v>
      </c>
      <c r="K72" s="3">
        <f t="shared" si="19"/>
        <v>44945</v>
      </c>
      <c r="L72" t="s">
        <v>649</v>
      </c>
      <c r="M72" t="s">
        <v>658</v>
      </c>
      <c r="N72" t="s">
        <v>674</v>
      </c>
      <c r="O72" t="s">
        <v>705</v>
      </c>
      <c r="P72" t="s">
        <v>709</v>
      </c>
      <c r="Q72" t="s">
        <v>716</v>
      </c>
      <c r="R72">
        <f t="shared" si="20"/>
        <v>17</v>
      </c>
      <c r="S72" t="s">
        <v>733</v>
      </c>
      <c r="T72" t="s">
        <v>1094</v>
      </c>
      <c r="U72" s="4">
        <v>951.44</v>
      </c>
      <c r="V72" s="4">
        <f>Table1[[#This Row],[UnitCost]]*(1+WhatIf!$B$3)</f>
        <v>999.01200000000006</v>
      </c>
      <c r="W72" s="4">
        <f t="shared" si="21"/>
        <v>22834.560000000001</v>
      </c>
      <c r="X72" s="4">
        <f>Table1[[#This Row],[ScenarioRev]]-Table1[[#This Row],[ScenarioUnitCost]]</f>
        <v>37685.507280000005</v>
      </c>
      <c r="Y72" s="4">
        <v>1646.43</v>
      </c>
      <c r="Z72" s="4">
        <f t="shared" si="22"/>
        <v>35167.7448</v>
      </c>
      <c r="AA72" s="4">
        <f>Table1[[#This Row],[ScenarioQuanity]]*Table1[[#This Row],[UnitPrice]]*(1-Table1[[#This Row],[ScenarioDiscPct]])</f>
        <v>38684.519280000008</v>
      </c>
      <c r="AB72" s="4">
        <f t="shared" si="23"/>
        <v>12333.184799999999</v>
      </c>
      <c r="AC72" s="4">
        <f>Table1[[#This Row],[ScenarioRev]] - Table1[[#This Row],[ScenarioCostOfGoods]]</f>
        <v>999.01200000000244</v>
      </c>
      <c r="AD72" s="6">
        <v>0.11</v>
      </c>
      <c r="AE72" s="6">
        <f>MIN(Table1[[#This Row],[DiscountPct]], WhatIf!$B$2)</f>
        <v>0.11</v>
      </c>
      <c r="AF72" s="6">
        <f>IF(Table1[[#This Row],[DiscountPct]]&gt;0.2, 1, 0)</f>
        <v>0</v>
      </c>
      <c r="AG72" s="6" t="str">
        <f t="shared" si="24"/>
        <v>High</v>
      </c>
      <c r="AH72" s="6">
        <f t="shared" si="25"/>
        <v>0.35069592520473475</v>
      </c>
      <c r="AI72" s="5">
        <v>24</v>
      </c>
      <c r="AJ72" s="6">
        <f>Table1[[#This Row],[Quantity]]*(1+WhatIf!$B$4)</f>
        <v>26.400000000000002</v>
      </c>
    </row>
    <row r="73" spans="1:36" x14ac:dyDescent="0.3">
      <c r="A73" t="s">
        <v>386</v>
      </c>
      <c r="B73" s="3">
        <v>45022</v>
      </c>
      <c r="C73" s="3">
        <v>45024</v>
      </c>
      <c r="D73" s="3">
        <f t="shared" si="14"/>
        <v>45024</v>
      </c>
      <c r="E73" s="4">
        <f t="shared" si="13"/>
        <v>2</v>
      </c>
      <c r="F73" s="4">
        <f t="shared" si="15"/>
        <v>2</v>
      </c>
      <c r="G73" s="4">
        <f>IF(Table1[[#This Row],[CorrectedLeadTimeDays]]&lt;=7, 1, 0)</f>
        <v>1</v>
      </c>
      <c r="H73" s="4" t="str">
        <f t="shared" si="16"/>
        <v>April</v>
      </c>
      <c r="I73" s="4" t="str">
        <f t="shared" si="17"/>
        <v>Q2-2023</v>
      </c>
      <c r="J73" s="4" t="str">
        <f t="shared" si="18"/>
        <v>2023-01</v>
      </c>
      <c r="K73" s="3">
        <f t="shared" si="19"/>
        <v>44941</v>
      </c>
      <c r="L73" t="s">
        <v>646</v>
      </c>
      <c r="M73" t="s">
        <v>651</v>
      </c>
      <c r="N73" t="s">
        <v>669</v>
      </c>
      <c r="O73" t="s">
        <v>705</v>
      </c>
      <c r="P73" t="s">
        <v>709</v>
      </c>
      <c r="Q73" t="s">
        <v>723</v>
      </c>
      <c r="R73">
        <f t="shared" si="20"/>
        <v>2</v>
      </c>
      <c r="S73" t="s">
        <v>732</v>
      </c>
      <c r="T73" t="s">
        <v>1106</v>
      </c>
      <c r="U73" s="4">
        <v>720.35</v>
      </c>
      <c r="V73" s="4">
        <f>Table1[[#This Row],[UnitCost]]*(1+WhatIf!$B$3)</f>
        <v>756.36750000000006</v>
      </c>
      <c r="W73" s="4">
        <f t="shared" si="21"/>
        <v>16568.05</v>
      </c>
      <c r="X73" s="4">
        <f>Table1[[#This Row],[ScenarioRev]]-Table1[[#This Row],[ScenarioUnitCost]]</f>
        <v>34751.989714000003</v>
      </c>
      <c r="Y73" s="4">
        <v>1571.66</v>
      </c>
      <c r="Z73" s="4">
        <f t="shared" si="22"/>
        <v>32280.32474</v>
      </c>
      <c r="AA73" s="4">
        <f>Table1[[#This Row],[ScenarioQuanity]]*Table1[[#This Row],[UnitPrice]]*(1-Table1[[#This Row],[ScenarioDiscPct]])</f>
        <v>35508.357214000003</v>
      </c>
      <c r="AB73" s="4">
        <f t="shared" si="23"/>
        <v>15712.274740000001</v>
      </c>
      <c r="AC73" s="4">
        <f>Table1[[#This Row],[ScenarioRev]] - Table1[[#This Row],[ScenarioCostOfGoods]]</f>
        <v>756.36750000000029</v>
      </c>
      <c r="AD73" s="6">
        <v>0.107</v>
      </c>
      <c r="AE73" s="6">
        <f>MIN(Table1[[#This Row],[DiscountPct]], WhatIf!$B$2)</f>
        <v>0.107</v>
      </c>
      <c r="AF73" s="6">
        <f>IF(Table1[[#This Row],[DiscountPct]]&gt;0.2, 1, 0)</f>
        <v>0</v>
      </c>
      <c r="AG73" s="6" t="str">
        <f t="shared" si="24"/>
        <v>High</v>
      </c>
      <c r="AH73" s="6">
        <f t="shared" si="25"/>
        <v>0.4867446305622265</v>
      </c>
      <c r="AI73" s="5">
        <v>23</v>
      </c>
      <c r="AJ73" s="6">
        <f>Table1[[#This Row],[Quantity]]*(1+WhatIf!$B$4)</f>
        <v>25.3</v>
      </c>
    </row>
    <row r="74" spans="1:36" x14ac:dyDescent="0.3">
      <c r="A74" t="s">
        <v>489</v>
      </c>
      <c r="B74" s="3">
        <v>45069</v>
      </c>
      <c r="C74" s="3">
        <v>45071</v>
      </c>
      <c r="D74" s="3">
        <f t="shared" si="14"/>
        <v>45071</v>
      </c>
      <c r="E74" s="4">
        <f t="shared" si="13"/>
        <v>2</v>
      </c>
      <c r="F74" s="4">
        <f t="shared" si="15"/>
        <v>2</v>
      </c>
      <c r="G74" s="4">
        <f>IF(Table1[[#This Row],[CorrectedLeadTimeDays]]&lt;=7, 1, 0)</f>
        <v>1</v>
      </c>
      <c r="H74" s="4" t="str">
        <f t="shared" si="16"/>
        <v>May</v>
      </c>
      <c r="I74" s="4" t="str">
        <f t="shared" si="17"/>
        <v>Q2-2023</v>
      </c>
      <c r="J74" s="4" t="str">
        <f t="shared" si="18"/>
        <v>2023-01</v>
      </c>
      <c r="K74" s="3">
        <f t="shared" si="19"/>
        <v>44955</v>
      </c>
      <c r="L74" t="s">
        <v>648</v>
      </c>
      <c r="M74" t="s">
        <v>655</v>
      </c>
      <c r="N74" t="s">
        <v>692</v>
      </c>
      <c r="O74" t="s">
        <v>706</v>
      </c>
      <c r="P74" t="s">
        <v>707</v>
      </c>
      <c r="Q74" t="s">
        <v>724</v>
      </c>
      <c r="R74">
        <f t="shared" si="20"/>
        <v>3</v>
      </c>
      <c r="S74" t="s">
        <v>728</v>
      </c>
      <c r="T74" t="s">
        <v>1208</v>
      </c>
      <c r="U74" s="4">
        <v>690.49</v>
      </c>
      <c r="V74" s="4">
        <f>Table1[[#This Row],[UnitCost]]*(1+WhatIf!$B$3)</f>
        <v>725.0145</v>
      </c>
      <c r="W74" s="4">
        <f t="shared" si="21"/>
        <v>15190.78</v>
      </c>
      <c r="X74" s="4">
        <f>Table1[[#This Row],[ScenarioRev]]-Table1[[#This Row],[ScenarioUnitCost]]</f>
        <v>29188.552744000001</v>
      </c>
      <c r="Y74" s="4">
        <v>1290.29</v>
      </c>
      <c r="Z74" s="4">
        <f t="shared" si="22"/>
        <v>27194.152039999997</v>
      </c>
      <c r="AA74" s="4">
        <f>Table1[[#This Row],[ScenarioQuanity]]*Table1[[#This Row],[UnitPrice]]*(1-Table1[[#This Row],[ScenarioDiscPct]])</f>
        <v>29913.567244000002</v>
      </c>
      <c r="AB74" s="4">
        <f t="shared" si="23"/>
        <v>12003.372039999997</v>
      </c>
      <c r="AC74" s="4">
        <f>Table1[[#This Row],[ScenarioRev]] - Table1[[#This Row],[ScenarioCostOfGoods]]</f>
        <v>725.01450000000114</v>
      </c>
      <c r="AD74" s="6">
        <v>4.2000000000000003E-2</v>
      </c>
      <c r="AE74" s="6">
        <f>MIN(Table1[[#This Row],[DiscountPct]], WhatIf!$B$2)</f>
        <v>4.2000000000000003E-2</v>
      </c>
      <c r="AF74" s="6">
        <f>IF(Table1[[#This Row],[DiscountPct]]&gt;0.2, 1, 0)</f>
        <v>0</v>
      </c>
      <c r="AG74" s="6" t="str">
        <f t="shared" si="24"/>
        <v>High</v>
      </c>
      <c r="AH74" s="6">
        <f t="shared" si="25"/>
        <v>0.44139534199647718</v>
      </c>
      <c r="AI74" s="5">
        <v>22</v>
      </c>
      <c r="AJ74" s="6">
        <f>Table1[[#This Row],[Quantity]]*(1+WhatIf!$B$4)</f>
        <v>24.200000000000003</v>
      </c>
    </row>
    <row r="75" spans="1:36" x14ac:dyDescent="0.3">
      <c r="A75" t="s">
        <v>93</v>
      </c>
      <c r="B75" s="3">
        <v>45091</v>
      </c>
      <c r="C75" s="3">
        <v>45093</v>
      </c>
      <c r="D75" s="3">
        <f t="shared" si="14"/>
        <v>45093</v>
      </c>
      <c r="E75" s="4">
        <f t="shared" si="13"/>
        <v>2</v>
      </c>
      <c r="F75" s="4">
        <f t="shared" si="15"/>
        <v>2</v>
      </c>
      <c r="G75" s="4">
        <f>IF(Table1[[#This Row],[CorrectedLeadTimeDays]]&lt;=7, 1, 0)</f>
        <v>1</v>
      </c>
      <c r="H75" s="4" t="str">
        <f t="shared" si="16"/>
        <v>June</v>
      </c>
      <c r="I75" s="4" t="str">
        <f t="shared" si="17"/>
        <v>Q2-2023</v>
      </c>
      <c r="J75" s="4" t="str">
        <f t="shared" si="18"/>
        <v>2023-01</v>
      </c>
      <c r="K75" s="3">
        <f t="shared" si="19"/>
        <v>44945</v>
      </c>
      <c r="L75" t="s">
        <v>649</v>
      </c>
      <c r="M75" t="s">
        <v>658</v>
      </c>
      <c r="N75" t="s">
        <v>693</v>
      </c>
      <c r="O75" t="s">
        <v>703</v>
      </c>
      <c r="P75" t="s">
        <v>711</v>
      </c>
      <c r="Q75" t="s">
        <v>723</v>
      </c>
      <c r="R75">
        <f t="shared" si="20"/>
        <v>4</v>
      </c>
      <c r="S75" t="s">
        <v>727</v>
      </c>
      <c r="T75" t="s">
        <v>812</v>
      </c>
      <c r="U75" s="4">
        <v>357.36</v>
      </c>
      <c r="V75" s="4">
        <f>Table1[[#This Row],[UnitCost]]*(1+WhatIf!$B$3)</f>
        <v>375.22800000000001</v>
      </c>
      <c r="W75" s="4">
        <f t="shared" si="21"/>
        <v>7147.2000000000007</v>
      </c>
      <c r="X75" s="4">
        <f>Table1[[#This Row],[ScenarioRev]]-Table1[[#This Row],[ScenarioUnitCost]]</f>
        <v>12008.484</v>
      </c>
      <c r="Y75" s="4">
        <v>703.62</v>
      </c>
      <c r="Z75" s="4">
        <f t="shared" si="22"/>
        <v>10455.7932</v>
      </c>
      <c r="AA75" s="4">
        <f>Table1[[#This Row],[ScenarioQuanity]]*Table1[[#This Row],[UnitPrice]]*(1-Table1[[#This Row],[ScenarioDiscPct]])</f>
        <v>12383.712</v>
      </c>
      <c r="AB75" s="4">
        <f t="shared" si="23"/>
        <v>3308.5931999999993</v>
      </c>
      <c r="AC75" s="4">
        <f>Table1[[#This Row],[ScenarioRev]] - Table1[[#This Row],[ScenarioCostOfGoods]]</f>
        <v>375.22799999999916</v>
      </c>
      <c r="AD75" s="6">
        <v>0.25700000000000001</v>
      </c>
      <c r="AE75" s="6">
        <f>MIN(Table1[[#This Row],[DiscountPct]], WhatIf!$B$2)</f>
        <v>0.2</v>
      </c>
      <c r="AF75" s="6">
        <f>IF(Table1[[#This Row],[DiscountPct]]&gt;0.2, 1, 0)</f>
        <v>1</v>
      </c>
      <c r="AG75" s="6" t="str">
        <f t="shared" si="24"/>
        <v>Low</v>
      </c>
      <c r="AH75" s="6">
        <f t="shared" si="25"/>
        <v>0.31643636563125593</v>
      </c>
      <c r="AI75" s="5">
        <v>20</v>
      </c>
      <c r="AJ75" s="6">
        <f>Table1[[#This Row],[Quantity]]*(1+WhatIf!$B$4)</f>
        <v>22</v>
      </c>
    </row>
    <row r="76" spans="1:36" x14ac:dyDescent="0.3">
      <c r="A76" t="s">
        <v>302</v>
      </c>
      <c r="B76" s="3">
        <v>45319</v>
      </c>
      <c r="C76" s="3">
        <v>45321</v>
      </c>
      <c r="D76" s="3">
        <f t="shared" si="14"/>
        <v>45321</v>
      </c>
      <c r="E76" s="4">
        <f t="shared" si="13"/>
        <v>2</v>
      </c>
      <c r="F76" s="4">
        <f t="shared" si="15"/>
        <v>2</v>
      </c>
      <c r="G76" s="4">
        <f>IF(Table1[[#This Row],[CorrectedLeadTimeDays]]&lt;=7, 1, 0)</f>
        <v>1</v>
      </c>
      <c r="H76" s="4" t="str">
        <f t="shared" si="16"/>
        <v>January</v>
      </c>
      <c r="I76" s="4" t="str">
        <f t="shared" si="17"/>
        <v>Q1-2024</v>
      </c>
      <c r="J76" s="4" t="str">
        <f t="shared" si="18"/>
        <v>2023-01</v>
      </c>
      <c r="K76" s="3">
        <f t="shared" si="19"/>
        <v>44933</v>
      </c>
      <c r="L76" t="s">
        <v>646</v>
      </c>
      <c r="M76" t="s">
        <v>661</v>
      </c>
      <c r="N76" t="s">
        <v>695</v>
      </c>
      <c r="O76" t="s">
        <v>704</v>
      </c>
      <c r="P76" t="s">
        <v>711</v>
      </c>
      <c r="Q76" t="s">
        <v>721</v>
      </c>
      <c r="R76">
        <f t="shared" si="20"/>
        <v>12</v>
      </c>
      <c r="S76" t="s">
        <v>733</v>
      </c>
      <c r="T76" t="s">
        <v>1022</v>
      </c>
      <c r="U76" s="4">
        <v>798.45</v>
      </c>
      <c r="V76" s="4">
        <f>Table1[[#This Row],[UnitCost]]*(1+WhatIf!$B$3)</f>
        <v>838.37250000000006</v>
      </c>
      <c r="W76" s="4">
        <f t="shared" si="21"/>
        <v>14372.1</v>
      </c>
      <c r="X76" s="4">
        <f>Table1[[#This Row],[ScenarioRev]]-Table1[[#This Row],[ScenarioUnitCost]]</f>
        <v>28603.171763999995</v>
      </c>
      <c r="Y76" s="4">
        <v>1592.02</v>
      </c>
      <c r="Z76" s="4">
        <f t="shared" si="22"/>
        <v>26765.040239999998</v>
      </c>
      <c r="AA76" s="4">
        <f>Table1[[#This Row],[ScenarioQuanity]]*Table1[[#This Row],[UnitPrice]]*(1-Table1[[#This Row],[ScenarioDiscPct]])</f>
        <v>29441.544263999996</v>
      </c>
      <c r="AB76" s="4">
        <f t="shared" si="23"/>
        <v>12392.940239999998</v>
      </c>
      <c r="AC76" s="4">
        <f>Table1[[#This Row],[ScenarioRev]] - Table1[[#This Row],[ScenarioCostOfGoods]]</f>
        <v>838.37250000000131</v>
      </c>
      <c r="AD76" s="6">
        <v>6.6000000000000003E-2</v>
      </c>
      <c r="AE76" s="6">
        <f>MIN(Table1[[#This Row],[DiscountPct]], WhatIf!$B$2)</f>
        <v>6.6000000000000003E-2</v>
      </c>
      <c r="AF76" s="6">
        <f>IF(Table1[[#This Row],[DiscountPct]]&gt;0.2, 1, 0)</f>
        <v>0</v>
      </c>
      <c r="AG76" s="6" t="str">
        <f t="shared" si="24"/>
        <v>High</v>
      </c>
      <c r="AH76" s="6">
        <f t="shared" si="25"/>
        <v>0.46302714768494585</v>
      </c>
      <c r="AI76" s="5">
        <v>18</v>
      </c>
      <c r="AJ76" s="6">
        <f>Table1[[#This Row],[Quantity]]*(1+WhatIf!$B$4)</f>
        <v>19.8</v>
      </c>
    </row>
    <row r="77" spans="1:36" x14ac:dyDescent="0.3">
      <c r="A77" t="s">
        <v>617</v>
      </c>
      <c r="B77" s="3">
        <v>45793</v>
      </c>
      <c r="C77" s="3">
        <v>45795</v>
      </c>
      <c r="D77" s="3">
        <f t="shared" si="14"/>
        <v>45795</v>
      </c>
      <c r="E77" s="4">
        <f t="shared" si="13"/>
        <v>2</v>
      </c>
      <c r="F77" s="4">
        <f t="shared" si="15"/>
        <v>2</v>
      </c>
      <c r="G77" s="4">
        <f>IF(Table1[[#This Row],[CorrectedLeadTimeDays]]&lt;=7, 1, 0)</f>
        <v>1</v>
      </c>
      <c r="H77" s="4" t="str">
        <f t="shared" si="16"/>
        <v>May</v>
      </c>
      <c r="I77" s="4" t="str">
        <f t="shared" si="17"/>
        <v>Q2-2025</v>
      </c>
      <c r="J77" s="4" t="str">
        <f t="shared" si="18"/>
        <v>2023-03</v>
      </c>
      <c r="K77" s="3">
        <f t="shared" si="19"/>
        <v>44988</v>
      </c>
      <c r="L77" t="s">
        <v>647</v>
      </c>
      <c r="M77" t="s">
        <v>652</v>
      </c>
      <c r="N77" t="s">
        <v>689</v>
      </c>
      <c r="O77" t="s">
        <v>706</v>
      </c>
      <c r="P77" t="s">
        <v>707</v>
      </c>
      <c r="Q77" t="s">
        <v>713</v>
      </c>
      <c r="R77">
        <f t="shared" si="20"/>
        <v>26</v>
      </c>
      <c r="S77" t="s">
        <v>728</v>
      </c>
      <c r="T77" t="s">
        <v>1335</v>
      </c>
      <c r="U77" s="4">
        <v>1144.3800000000001</v>
      </c>
      <c r="V77" s="4">
        <f>Table1[[#This Row],[UnitCost]]*(1+WhatIf!$B$3)</f>
        <v>1201.5990000000002</v>
      </c>
      <c r="W77" s="4">
        <f t="shared" si="21"/>
        <v>19454.460000000003</v>
      </c>
      <c r="X77" s="4">
        <f>Table1[[#This Row],[ScenarioRev]]-Table1[[#This Row],[ScenarioUnitCost]]</f>
        <v>42589.7618</v>
      </c>
      <c r="Y77" s="4">
        <v>2755.04</v>
      </c>
      <c r="Z77" s="4">
        <f t="shared" si="22"/>
        <v>39810.328000000001</v>
      </c>
      <c r="AA77" s="4">
        <f>Table1[[#This Row],[ScenarioQuanity]]*Table1[[#This Row],[UnitPrice]]*(1-Table1[[#This Row],[ScenarioDiscPct]])</f>
        <v>43791.360800000002</v>
      </c>
      <c r="AB77" s="4">
        <f t="shared" si="23"/>
        <v>20355.867999999999</v>
      </c>
      <c r="AC77" s="4">
        <f>Table1[[#This Row],[ScenarioRev]] - Table1[[#This Row],[ScenarioCostOfGoods]]</f>
        <v>1201.599000000002</v>
      </c>
      <c r="AD77" s="6">
        <v>0.15</v>
      </c>
      <c r="AE77" s="6">
        <f>MIN(Table1[[#This Row],[DiscountPct]], WhatIf!$B$2)</f>
        <v>0.15</v>
      </c>
      <c r="AF77" s="6">
        <f>IF(Table1[[#This Row],[DiscountPct]]&gt;0.2, 1, 0)</f>
        <v>0</v>
      </c>
      <c r="AG77" s="6" t="str">
        <f t="shared" si="24"/>
        <v>High</v>
      </c>
      <c r="AH77" s="6">
        <f t="shared" si="25"/>
        <v>0.51132128326096682</v>
      </c>
      <c r="AI77" s="5">
        <v>17</v>
      </c>
      <c r="AJ77" s="6">
        <f>Table1[[#This Row],[Quantity]]*(1+WhatIf!$B$4)</f>
        <v>18.700000000000003</v>
      </c>
    </row>
    <row r="78" spans="1:36" x14ac:dyDescent="0.3">
      <c r="A78" t="s">
        <v>556</v>
      </c>
      <c r="B78" s="3">
        <v>45450</v>
      </c>
      <c r="C78" s="3">
        <v>45452</v>
      </c>
      <c r="D78" s="3">
        <f t="shared" si="14"/>
        <v>45452</v>
      </c>
      <c r="E78" s="4">
        <f t="shared" si="13"/>
        <v>2</v>
      </c>
      <c r="F78" s="4">
        <f t="shared" si="15"/>
        <v>2</v>
      </c>
      <c r="G78" s="4">
        <f>IF(Table1[[#This Row],[CorrectedLeadTimeDays]]&lt;=7, 1, 0)</f>
        <v>1</v>
      </c>
      <c r="H78" s="4" t="str">
        <f t="shared" si="16"/>
        <v>June</v>
      </c>
      <c r="I78" s="4" t="str">
        <f t="shared" si="17"/>
        <v>Q2-2024</v>
      </c>
      <c r="J78" s="4" t="str">
        <f t="shared" si="18"/>
        <v>2023-01</v>
      </c>
      <c r="K78" s="3">
        <f t="shared" si="19"/>
        <v>44938</v>
      </c>
      <c r="L78" t="s">
        <v>647</v>
      </c>
      <c r="M78" t="s">
        <v>659</v>
      </c>
      <c r="N78" t="s">
        <v>685</v>
      </c>
      <c r="O78" t="s">
        <v>701</v>
      </c>
      <c r="P78" t="s">
        <v>707</v>
      </c>
      <c r="Q78" t="s">
        <v>719</v>
      </c>
      <c r="R78">
        <f t="shared" si="20"/>
        <v>16</v>
      </c>
      <c r="S78" t="s">
        <v>732</v>
      </c>
      <c r="T78" t="s">
        <v>1274</v>
      </c>
      <c r="U78" s="4">
        <v>1370.28</v>
      </c>
      <c r="V78" s="4">
        <f>Table1[[#This Row],[UnitCost]]*(1+WhatIf!$B$3)</f>
        <v>1438.7940000000001</v>
      </c>
      <c r="W78" s="4">
        <f t="shared" si="21"/>
        <v>21924.48</v>
      </c>
      <c r="X78" s="4">
        <f>Table1[[#This Row],[ScenarioRev]]-Table1[[#This Row],[ScenarioUnitCost]]</f>
        <v>32278.849871999999</v>
      </c>
      <c r="Y78" s="4">
        <v>2209.66</v>
      </c>
      <c r="Z78" s="4">
        <f t="shared" si="22"/>
        <v>30652.403519999996</v>
      </c>
      <c r="AA78" s="4">
        <f>Table1[[#This Row],[ScenarioQuanity]]*Table1[[#This Row],[UnitPrice]]*(1-Table1[[#This Row],[ScenarioDiscPct]])</f>
        <v>33717.643872000001</v>
      </c>
      <c r="AB78" s="4">
        <f t="shared" si="23"/>
        <v>8727.9235199999966</v>
      </c>
      <c r="AC78" s="4">
        <f>Table1[[#This Row],[ScenarioRev]] - Table1[[#This Row],[ScenarioCostOfGoods]]</f>
        <v>1438.7940000000017</v>
      </c>
      <c r="AD78" s="6">
        <v>0.13300000000000001</v>
      </c>
      <c r="AE78" s="6">
        <f>MIN(Table1[[#This Row],[DiscountPct]], WhatIf!$B$2)</f>
        <v>0.13300000000000001</v>
      </c>
      <c r="AF78" s="6">
        <f>IF(Table1[[#This Row],[DiscountPct]]&gt;0.2, 1, 0)</f>
        <v>0</v>
      </c>
      <c r="AG78" s="6" t="str">
        <f t="shared" si="24"/>
        <v>High</v>
      </c>
      <c r="AH78" s="6">
        <f t="shared" si="25"/>
        <v>0.28473863442079589</v>
      </c>
      <c r="AI78" s="5">
        <v>16</v>
      </c>
      <c r="AJ78" s="6">
        <f>Table1[[#This Row],[Quantity]]*(1+WhatIf!$B$4)</f>
        <v>17.600000000000001</v>
      </c>
    </row>
    <row r="79" spans="1:36" x14ac:dyDescent="0.3">
      <c r="A79" t="s">
        <v>267</v>
      </c>
      <c r="B79" s="3">
        <v>45502</v>
      </c>
      <c r="C79" s="3">
        <v>45504</v>
      </c>
      <c r="D79" s="3">
        <f t="shared" si="14"/>
        <v>45504</v>
      </c>
      <c r="E79" s="4">
        <f t="shared" si="13"/>
        <v>2</v>
      </c>
      <c r="F79" s="4">
        <f t="shared" si="15"/>
        <v>2</v>
      </c>
      <c r="G79" s="4">
        <f>IF(Table1[[#This Row],[CorrectedLeadTimeDays]]&lt;=7, 1, 0)</f>
        <v>1</v>
      </c>
      <c r="H79" s="4" t="str">
        <f t="shared" si="16"/>
        <v>July</v>
      </c>
      <c r="I79" s="4" t="str">
        <f t="shared" si="17"/>
        <v>Q3-2024</v>
      </c>
      <c r="J79" s="4" t="str">
        <f t="shared" si="18"/>
        <v>2023-01</v>
      </c>
      <c r="K79" s="3">
        <f t="shared" si="19"/>
        <v>44939</v>
      </c>
      <c r="L79" t="s">
        <v>648</v>
      </c>
      <c r="M79" t="s">
        <v>660</v>
      </c>
      <c r="N79" t="s">
        <v>700</v>
      </c>
      <c r="O79" t="s">
        <v>702</v>
      </c>
      <c r="P79" t="s">
        <v>709</v>
      </c>
      <c r="Q79" t="s">
        <v>714</v>
      </c>
      <c r="R79">
        <f t="shared" si="20"/>
        <v>18</v>
      </c>
      <c r="S79" t="s">
        <v>728</v>
      </c>
      <c r="T79" t="s">
        <v>987</v>
      </c>
      <c r="U79" s="4">
        <v>798.97</v>
      </c>
      <c r="V79" s="4">
        <f>Table1[[#This Row],[UnitCost]]*(1+WhatIf!$B$3)</f>
        <v>838.91850000000011</v>
      </c>
      <c r="W79" s="4">
        <f t="shared" si="21"/>
        <v>12783.52</v>
      </c>
      <c r="X79" s="4">
        <f>Table1[[#This Row],[ScenarioRev]]-Table1[[#This Row],[ScenarioUnitCost]]</f>
        <v>27193.387868000002</v>
      </c>
      <c r="Y79" s="4">
        <v>1814.06</v>
      </c>
      <c r="Z79" s="4">
        <f t="shared" si="22"/>
        <v>25483.91488</v>
      </c>
      <c r="AA79" s="4">
        <f>Table1[[#This Row],[ScenarioQuanity]]*Table1[[#This Row],[UnitPrice]]*(1-Table1[[#This Row],[ScenarioDiscPct]])</f>
        <v>28032.306368000001</v>
      </c>
      <c r="AB79" s="4">
        <f t="shared" si="23"/>
        <v>12700.39488</v>
      </c>
      <c r="AC79" s="4">
        <f>Table1[[#This Row],[ScenarioRev]] - Table1[[#This Row],[ScenarioCostOfGoods]]</f>
        <v>838.91849999999977</v>
      </c>
      <c r="AD79" s="6">
        <v>0.122</v>
      </c>
      <c r="AE79" s="6">
        <f>MIN(Table1[[#This Row],[DiscountPct]], WhatIf!$B$2)</f>
        <v>0.122</v>
      </c>
      <c r="AF79" s="6">
        <f>IF(Table1[[#This Row],[DiscountPct]]&gt;0.2, 1, 0)</f>
        <v>0</v>
      </c>
      <c r="AG79" s="6" t="str">
        <f t="shared" si="24"/>
        <v>High</v>
      </c>
      <c r="AH79" s="6">
        <f t="shared" si="25"/>
        <v>0.49836906691159061</v>
      </c>
      <c r="AI79" s="5">
        <v>16</v>
      </c>
      <c r="AJ79" s="6">
        <f>Table1[[#This Row],[Quantity]]*(1+WhatIf!$B$4)</f>
        <v>17.600000000000001</v>
      </c>
    </row>
    <row r="80" spans="1:36" x14ac:dyDescent="0.3">
      <c r="A80" t="s">
        <v>273</v>
      </c>
      <c r="B80" s="3">
        <v>45210</v>
      </c>
      <c r="C80" s="3">
        <v>45212</v>
      </c>
      <c r="D80" s="3">
        <f t="shared" si="14"/>
        <v>45212</v>
      </c>
      <c r="E80" s="4">
        <f t="shared" si="13"/>
        <v>2</v>
      </c>
      <c r="F80" s="4">
        <f t="shared" si="15"/>
        <v>2</v>
      </c>
      <c r="G80" s="4">
        <f>IF(Table1[[#This Row],[CorrectedLeadTimeDays]]&lt;=7, 1, 0)</f>
        <v>1</v>
      </c>
      <c r="H80" s="4" t="str">
        <f t="shared" si="16"/>
        <v>October</v>
      </c>
      <c r="I80" s="4" t="str">
        <f t="shared" si="17"/>
        <v>Q4-2023</v>
      </c>
      <c r="J80" s="4" t="str">
        <f t="shared" si="18"/>
        <v>2023-01</v>
      </c>
      <c r="K80" s="3">
        <f t="shared" si="19"/>
        <v>44955</v>
      </c>
      <c r="L80" t="s">
        <v>648</v>
      </c>
      <c r="M80" t="s">
        <v>655</v>
      </c>
      <c r="N80" t="s">
        <v>672</v>
      </c>
      <c r="O80" t="s">
        <v>704</v>
      </c>
      <c r="P80" t="s">
        <v>710</v>
      </c>
      <c r="R80">
        <f t="shared" si="20"/>
        <v>8</v>
      </c>
      <c r="S80" t="s">
        <v>733</v>
      </c>
      <c r="T80" t="s">
        <v>993</v>
      </c>
      <c r="U80" s="4">
        <v>715.94</v>
      </c>
      <c r="V80" s="4">
        <f>Table1[[#This Row],[UnitCost]]*(1+WhatIf!$B$3)</f>
        <v>751.73700000000008</v>
      </c>
      <c r="W80" s="4">
        <f t="shared" si="21"/>
        <v>11455.04</v>
      </c>
      <c r="X80" s="4">
        <f>Table1[[#This Row],[ScenarioRev]]-Table1[[#This Row],[ScenarioUnitCost]]</f>
        <v>7574.1225200000017</v>
      </c>
      <c r="Y80" s="4">
        <v>550.07000000000005</v>
      </c>
      <c r="Z80" s="4">
        <f t="shared" si="22"/>
        <v>7568.9632000000001</v>
      </c>
      <c r="AA80" s="4">
        <f>Table1[[#This Row],[ScenarioQuanity]]*Table1[[#This Row],[UnitPrice]]*(1-Table1[[#This Row],[ScenarioDiscPct]])</f>
        <v>8325.8595200000018</v>
      </c>
      <c r="AB80" s="4">
        <f t="shared" si="23"/>
        <v>-3886.0768000000007</v>
      </c>
      <c r="AC80" s="4">
        <f>Table1[[#This Row],[ScenarioRev]] - Table1[[#This Row],[ScenarioCostOfGoods]]</f>
        <v>751.73700000000008</v>
      </c>
      <c r="AD80" s="6">
        <v>0.14000000000000001</v>
      </c>
      <c r="AE80" s="6">
        <f>MIN(Table1[[#This Row],[DiscountPct]], WhatIf!$B$2)</f>
        <v>0.14000000000000001</v>
      </c>
      <c r="AF80" s="6">
        <f>IF(Table1[[#This Row],[DiscountPct]]&gt;0.2, 1, 0)</f>
        <v>0</v>
      </c>
      <c r="AG80" s="6" t="str">
        <f t="shared" si="24"/>
        <v>Low</v>
      </c>
      <c r="AH80" s="6">
        <f t="shared" si="25"/>
        <v>-0.51342260456491595</v>
      </c>
      <c r="AI80" s="5">
        <v>16</v>
      </c>
      <c r="AJ80" s="6">
        <f>Table1[[#This Row],[Quantity]]*(1+WhatIf!$B$4)</f>
        <v>17.600000000000001</v>
      </c>
    </row>
    <row r="81" spans="1:36" x14ac:dyDescent="0.3">
      <c r="A81" t="s">
        <v>76</v>
      </c>
      <c r="B81" s="3">
        <v>45910</v>
      </c>
      <c r="C81" s="3">
        <v>45912</v>
      </c>
      <c r="D81" s="3">
        <f t="shared" si="14"/>
        <v>45912</v>
      </c>
      <c r="E81" s="4">
        <f t="shared" si="13"/>
        <v>2</v>
      </c>
      <c r="F81" s="4">
        <f t="shared" si="15"/>
        <v>2</v>
      </c>
      <c r="G81" s="4">
        <f>IF(Table1[[#This Row],[CorrectedLeadTimeDays]]&lt;=7, 1, 0)</f>
        <v>1</v>
      </c>
      <c r="H81" s="4" t="str">
        <f t="shared" si="16"/>
        <v>September</v>
      </c>
      <c r="I81" s="4" t="str">
        <f t="shared" si="17"/>
        <v>Q3-2025</v>
      </c>
      <c r="J81" s="4" t="str">
        <f t="shared" si="18"/>
        <v>2023-03</v>
      </c>
      <c r="K81" s="3">
        <f t="shared" si="19"/>
        <v>44988</v>
      </c>
      <c r="L81" t="s">
        <v>647</v>
      </c>
      <c r="M81" t="s">
        <v>652</v>
      </c>
      <c r="N81" t="s">
        <v>689</v>
      </c>
      <c r="O81" t="s">
        <v>704</v>
      </c>
      <c r="P81" t="s">
        <v>708</v>
      </c>
      <c r="Q81" t="s">
        <v>719</v>
      </c>
      <c r="R81">
        <f t="shared" si="20"/>
        <v>30</v>
      </c>
      <c r="S81" t="s">
        <v>727</v>
      </c>
      <c r="T81" t="s">
        <v>795</v>
      </c>
      <c r="U81" s="4">
        <v>1470.15</v>
      </c>
      <c r="V81" s="4">
        <f>Table1[[#This Row],[UnitCost]]*(1+WhatIf!$B$3)</f>
        <v>1543.6575000000003</v>
      </c>
      <c r="W81" s="4">
        <f t="shared" si="21"/>
        <v>17641.800000000003</v>
      </c>
      <c r="X81" s="4">
        <f>Table1[[#This Row],[ScenarioRev]]-Table1[[#This Row],[ScenarioUnitCost]]</f>
        <v>28928.069940000005</v>
      </c>
      <c r="Y81" s="4">
        <v>2593.7800000000002</v>
      </c>
      <c r="Z81" s="4">
        <f t="shared" si="22"/>
        <v>27701.570400000001</v>
      </c>
      <c r="AA81" s="4">
        <f>Table1[[#This Row],[ScenarioQuanity]]*Table1[[#This Row],[UnitPrice]]*(1-Table1[[#This Row],[ScenarioDiscPct]])</f>
        <v>30471.727440000006</v>
      </c>
      <c r="AB81" s="4">
        <f t="shared" si="23"/>
        <v>10059.770399999998</v>
      </c>
      <c r="AC81" s="4">
        <f>Table1[[#This Row],[ScenarioRev]] - Table1[[#This Row],[ScenarioCostOfGoods]]</f>
        <v>1543.6575000000012</v>
      </c>
      <c r="AD81" s="6">
        <v>0.11</v>
      </c>
      <c r="AE81" s="6">
        <f>MIN(Table1[[#This Row],[DiscountPct]], WhatIf!$B$2)</f>
        <v>0.11</v>
      </c>
      <c r="AF81" s="6">
        <f>IF(Table1[[#This Row],[DiscountPct]]&gt;0.2, 1, 0)</f>
        <v>0</v>
      </c>
      <c r="AG81" s="6" t="str">
        <f t="shared" si="24"/>
        <v>High</v>
      </c>
      <c r="AH81" s="6">
        <f t="shared" si="25"/>
        <v>0.36314801849645306</v>
      </c>
      <c r="AI81" s="5">
        <v>12</v>
      </c>
      <c r="AJ81" s="6">
        <f>Table1[[#This Row],[Quantity]]*(1+WhatIf!$B$4)</f>
        <v>13.200000000000001</v>
      </c>
    </row>
    <row r="82" spans="1:36" x14ac:dyDescent="0.3">
      <c r="A82" t="s">
        <v>630</v>
      </c>
      <c r="B82" s="3">
        <v>45208</v>
      </c>
      <c r="C82" s="3">
        <v>45210</v>
      </c>
      <c r="D82" s="3">
        <f t="shared" si="14"/>
        <v>45210</v>
      </c>
      <c r="E82" s="4">
        <f t="shared" si="13"/>
        <v>2</v>
      </c>
      <c r="F82" s="4">
        <f t="shared" si="15"/>
        <v>2</v>
      </c>
      <c r="G82" s="4">
        <f>IF(Table1[[#This Row],[CorrectedLeadTimeDays]]&lt;=7, 1, 0)</f>
        <v>1</v>
      </c>
      <c r="H82" s="4" t="str">
        <f t="shared" si="16"/>
        <v>October</v>
      </c>
      <c r="I82" s="4" t="str">
        <f t="shared" si="17"/>
        <v>Q4-2023</v>
      </c>
      <c r="J82" s="4" t="str">
        <f t="shared" si="18"/>
        <v>2023-01</v>
      </c>
      <c r="K82" s="3">
        <f t="shared" si="19"/>
        <v>44941</v>
      </c>
      <c r="L82" t="s">
        <v>646</v>
      </c>
      <c r="M82" t="s">
        <v>651</v>
      </c>
      <c r="N82" t="s">
        <v>663</v>
      </c>
      <c r="O82" t="s">
        <v>702</v>
      </c>
      <c r="P82" t="s">
        <v>709</v>
      </c>
      <c r="Q82" t="s">
        <v>723</v>
      </c>
      <c r="R82">
        <f t="shared" si="20"/>
        <v>8</v>
      </c>
      <c r="S82" t="s">
        <v>729</v>
      </c>
      <c r="T82" t="s">
        <v>1348</v>
      </c>
      <c r="U82" s="4">
        <v>391.16</v>
      </c>
      <c r="V82" s="4">
        <f>Table1[[#This Row],[UnitCost]]*(1+WhatIf!$B$3)</f>
        <v>410.71800000000002</v>
      </c>
      <c r="W82" s="4">
        <f t="shared" si="21"/>
        <v>4693.92</v>
      </c>
      <c r="X82" s="4">
        <f>Table1[[#This Row],[ScenarioRev]]-Table1[[#This Row],[ScenarioUnitCost]]</f>
        <v>11454.235584</v>
      </c>
      <c r="Y82" s="4">
        <v>902.47</v>
      </c>
      <c r="Z82" s="4">
        <f t="shared" si="22"/>
        <v>10786.32144</v>
      </c>
      <c r="AA82" s="4">
        <f>Table1[[#This Row],[ScenarioQuanity]]*Table1[[#This Row],[UnitPrice]]*(1-Table1[[#This Row],[ScenarioDiscPct]])</f>
        <v>11864.953584000001</v>
      </c>
      <c r="AB82" s="4">
        <f t="shared" si="23"/>
        <v>6092.4014399999996</v>
      </c>
      <c r="AC82" s="4">
        <f>Table1[[#This Row],[ScenarioRev]] - Table1[[#This Row],[ScenarioCostOfGoods]]</f>
        <v>410.71800000000076</v>
      </c>
      <c r="AD82" s="6">
        <v>4.0000000000000001E-3</v>
      </c>
      <c r="AE82" s="6">
        <f>MIN(Table1[[#This Row],[DiscountPct]], WhatIf!$B$2)</f>
        <v>4.0000000000000001E-3</v>
      </c>
      <c r="AF82" s="6">
        <f>IF(Table1[[#This Row],[DiscountPct]]&gt;0.2, 1, 0)</f>
        <v>0</v>
      </c>
      <c r="AG82" s="6" t="str">
        <f t="shared" si="24"/>
        <v>High</v>
      </c>
      <c r="AH82" s="6">
        <f t="shared" si="25"/>
        <v>0.56482661618139207</v>
      </c>
      <c r="AI82" s="5">
        <v>12</v>
      </c>
      <c r="AJ82" s="6">
        <f>Table1[[#This Row],[Quantity]]*(1+WhatIf!$B$4)</f>
        <v>13.200000000000001</v>
      </c>
    </row>
    <row r="83" spans="1:36" x14ac:dyDescent="0.3">
      <c r="A83" t="s">
        <v>169</v>
      </c>
      <c r="B83" s="3">
        <v>45230</v>
      </c>
      <c r="C83" s="3">
        <v>45232</v>
      </c>
      <c r="D83" s="3">
        <f t="shared" si="14"/>
        <v>45232</v>
      </c>
      <c r="E83" s="4">
        <f t="shared" si="13"/>
        <v>2</v>
      </c>
      <c r="F83" s="4">
        <f t="shared" si="15"/>
        <v>2</v>
      </c>
      <c r="G83" s="4">
        <f>IF(Table1[[#This Row],[CorrectedLeadTimeDays]]&lt;=7, 1, 0)</f>
        <v>1</v>
      </c>
      <c r="H83" s="4" t="str">
        <f t="shared" si="16"/>
        <v>October</v>
      </c>
      <c r="I83" s="4" t="str">
        <f t="shared" si="17"/>
        <v>Q4-2023</v>
      </c>
      <c r="J83" s="4" t="str">
        <f t="shared" si="18"/>
        <v>2023-01</v>
      </c>
      <c r="K83" s="3">
        <f t="shared" si="19"/>
        <v>44946</v>
      </c>
      <c r="L83" t="s">
        <v>646</v>
      </c>
      <c r="M83" t="s">
        <v>650</v>
      </c>
      <c r="N83" t="s">
        <v>662</v>
      </c>
      <c r="O83" t="s">
        <v>702</v>
      </c>
      <c r="P83" t="s">
        <v>707</v>
      </c>
      <c r="Q83" t="s">
        <v>719</v>
      </c>
      <c r="R83">
        <f t="shared" si="20"/>
        <v>9</v>
      </c>
      <c r="S83" t="s">
        <v>733</v>
      </c>
      <c r="T83" t="s">
        <v>888</v>
      </c>
      <c r="U83" s="4">
        <v>867.89</v>
      </c>
      <c r="V83" s="4">
        <f>Table1[[#This Row],[UnitCost]]*(1+WhatIf!$B$3)</f>
        <v>911.28449999999998</v>
      </c>
      <c r="W83" s="4">
        <f t="shared" si="21"/>
        <v>8678.9</v>
      </c>
      <c r="X83" s="4">
        <f>Table1[[#This Row],[ScenarioRev]]-Table1[[#This Row],[ScenarioUnitCost]]</f>
        <v>11205.776940000002</v>
      </c>
      <c r="Y83" s="4">
        <v>1349.94</v>
      </c>
      <c r="Z83" s="4">
        <f t="shared" si="22"/>
        <v>11015.510400000003</v>
      </c>
      <c r="AA83" s="4">
        <f>Table1[[#This Row],[ScenarioQuanity]]*Table1[[#This Row],[UnitPrice]]*(1-Table1[[#This Row],[ScenarioDiscPct]])</f>
        <v>12117.061440000001</v>
      </c>
      <c r="AB83" s="4">
        <f t="shared" si="23"/>
        <v>2336.6104000000032</v>
      </c>
      <c r="AC83" s="4">
        <f>Table1[[#This Row],[ScenarioRev]] - Table1[[#This Row],[ScenarioCostOfGoods]]</f>
        <v>911.28449999999975</v>
      </c>
      <c r="AD83" s="6">
        <v>0.184</v>
      </c>
      <c r="AE83" s="6">
        <f>MIN(Table1[[#This Row],[DiscountPct]], WhatIf!$B$2)</f>
        <v>0.184</v>
      </c>
      <c r="AF83" s="6">
        <f>IF(Table1[[#This Row],[DiscountPct]]&gt;0.2, 1, 0)</f>
        <v>0</v>
      </c>
      <c r="AG83" s="6" t="str">
        <f t="shared" si="24"/>
        <v>High</v>
      </c>
      <c r="AH83" s="6">
        <f t="shared" si="25"/>
        <v>0.21212003031652557</v>
      </c>
      <c r="AI83" s="5">
        <v>10</v>
      </c>
      <c r="AJ83" s="6">
        <f>Table1[[#This Row],[Quantity]]*(1+WhatIf!$B$4)</f>
        <v>11</v>
      </c>
    </row>
    <row r="84" spans="1:36" x14ac:dyDescent="0.3">
      <c r="A84" t="s">
        <v>621</v>
      </c>
      <c r="B84" s="3">
        <v>45827</v>
      </c>
      <c r="C84" s="3">
        <v>45829</v>
      </c>
      <c r="D84" s="3">
        <f t="shared" si="14"/>
        <v>45829</v>
      </c>
      <c r="E84" s="4">
        <f t="shared" si="13"/>
        <v>2</v>
      </c>
      <c r="F84" s="4">
        <f t="shared" si="15"/>
        <v>2</v>
      </c>
      <c r="G84" s="4">
        <f>IF(Table1[[#This Row],[CorrectedLeadTimeDays]]&lt;=7, 1, 0)</f>
        <v>1</v>
      </c>
      <c r="H84" s="4" t="str">
        <f t="shared" si="16"/>
        <v>June</v>
      </c>
      <c r="I84" s="4" t="str">
        <f t="shared" si="17"/>
        <v>Q2-2025</v>
      </c>
      <c r="J84" s="4" t="str">
        <f t="shared" si="18"/>
        <v>2023-01</v>
      </c>
      <c r="K84" s="3">
        <f t="shared" si="19"/>
        <v>44933</v>
      </c>
      <c r="L84" t="s">
        <v>646</v>
      </c>
      <c r="M84" t="s">
        <v>661</v>
      </c>
      <c r="N84" t="s">
        <v>682</v>
      </c>
      <c r="O84" t="s">
        <v>705</v>
      </c>
      <c r="Q84" t="s">
        <v>722</v>
      </c>
      <c r="R84">
        <f t="shared" si="20"/>
        <v>29</v>
      </c>
      <c r="S84" t="s">
        <v>730</v>
      </c>
      <c r="T84" t="s">
        <v>1339</v>
      </c>
      <c r="U84" s="4">
        <v>1466.27</v>
      </c>
      <c r="V84" s="4">
        <f>Table1[[#This Row],[UnitCost]]*(1+WhatIf!$B$3)</f>
        <v>1539.5835</v>
      </c>
      <c r="W84" s="4">
        <f t="shared" si="21"/>
        <v>13196.43</v>
      </c>
      <c r="X84" s="4">
        <f>Table1[[#This Row],[ScenarioRev]]-Table1[[#This Row],[ScenarioUnitCost]]</f>
        <v>30552.956133</v>
      </c>
      <c r="Y84" s="4">
        <v>3589.89</v>
      </c>
      <c r="Z84" s="4">
        <f t="shared" si="22"/>
        <v>29175.036029999999</v>
      </c>
      <c r="AA84" s="4">
        <f>Table1[[#This Row],[ScenarioQuanity]]*Table1[[#This Row],[UnitPrice]]*(1-Table1[[#This Row],[ScenarioDiscPct]])</f>
        <v>32092.539633</v>
      </c>
      <c r="AB84" s="4">
        <f t="shared" si="23"/>
        <v>15978.606029999999</v>
      </c>
      <c r="AC84" s="4">
        <f>Table1[[#This Row],[ScenarioRev]] - Table1[[#This Row],[ScenarioCostOfGoods]]</f>
        <v>1539.5835000000006</v>
      </c>
      <c r="AD84" s="6">
        <v>9.7000000000000003E-2</v>
      </c>
      <c r="AE84" s="6">
        <f>MIN(Table1[[#This Row],[DiscountPct]], WhatIf!$B$2)</f>
        <v>9.7000000000000003E-2</v>
      </c>
      <c r="AF84" s="6">
        <f>IF(Table1[[#This Row],[DiscountPct]]&gt;0.2, 1, 0)</f>
        <v>0</v>
      </c>
      <c r="AG84" s="6" t="str">
        <f t="shared" si="24"/>
        <v>High</v>
      </c>
      <c r="AH84" s="6">
        <f t="shared" si="25"/>
        <v>0.54768076425234147</v>
      </c>
      <c r="AI84" s="5">
        <v>9</v>
      </c>
      <c r="AJ84" s="6">
        <f>Table1[[#This Row],[Quantity]]*(1+WhatIf!$B$4)</f>
        <v>9.9</v>
      </c>
    </row>
    <row r="85" spans="1:36" x14ac:dyDescent="0.3">
      <c r="A85" t="s">
        <v>469</v>
      </c>
      <c r="B85" s="3">
        <v>45653</v>
      </c>
      <c r="C85" s="3">
        <v>45655</v>
      </c>
      <c r="D85" s="3">
        <f t="shared" si="14"/>
        <v>45655</v>
      </c>
      <c r="E85" s="4">
        <f t="shared" si="13"/>
        <v>2</v>
      </c>
      <c r="F85" s="4">
        <f t="shared" si="15"/>
        <v>2</v>
      </c>
      <c r="G85" s="4">
        <f>IF(Table1[[#This Row],[CorrectedLeadTimeDays]]&lt;=7, 1, 0)</f>
        <v>1</v>
      </c>
      <c r="H85" s="4" t="str">
        <f t="shared" si="16"/>
        <v>December</v>
      </c>
      <c r="I85" s="4" t="str">
        <f t="shared" si="17"/>
        <v>Q4-2024</v>
      </c>
      <c r="J85" s="4" t="str">
        <f t="shared" si="18"/>
        <v>2023-01</v>
      </c>
      <c r="K85" s="3">
        <f t="shared" si="19"/>
        <v>44928</v>
      </c>
      <c r="L85" t="s">
        <v>648</v>
      </c>
      <c r="M85" t="s">
        <v>653</v>
      </c>
      <c r="N85" t="s">
        <v>688</v>
      </c>
      <c r="O85" t="s">
        <v>706</v>
      </c>
      <c r="P85" t="s">
        <v>709</v>
      </c>
      <c r="Q85" t="s">
        <v>712</v>
      </c>
      <c r="R85">
        <f t="shared" si="20"/>
        <v>23</v>
      </c>
      <c r="S85" t="s">
        <v>733</v>
      </c>
      <c r="T85" t="s">
        <v>1188</v>
      </c>
      <c r="U85" s="4">
        <v>1146.72</v>
      </c>
      <c r="V85" s="4">
        <f>Table1[[#This Row],[UnitCost]]*(1+WhatIf!$B$3)</f>
        <v>1204.056</v>
      </c>
      <c r="W85" s="4">
        <f t="shared" si="21"/>
        <v>9173.76</v>
      </c>
      <c r="X85" s="4">
        <f>Table1[[#This Row],[ScenarioRev]]-Table1[[#This Row],[ScenarioUnitCost]]</f>
        <v>15023.920688000002</v>
      </c>
      <c r="Y85" s="4">
        <v>2074.34</v>
      </c>
      <c r="Z85" s="4">
        <f t="shared" si="22"/>
        <v>14752.706080000002</v>
      </c>
      <c r="AA85" s="4">
        <f>Table1[[#This Row],[ScenarioQuanity]]*Table1[[#This Row],[UnitPrice]]*(1-Table1[[#This Row],[ScenarioDiscPct]])</f>
        <v>16227.976688000002</v>
      </c>
      <c r="AB85" s="4">
        <f t="shared" si="23"/>
        <v>5578.9460800000015</v>
      </c>
      <c r="AC85" s="4">
        <f>Table1[[#This Row],[ScenarioRev]] - Table1[[#This Row],[ScenarioCostOfGoods]]</f>
        <v>1204.0560000000005</v>
      </c>
      <c r="AD85" s="6">
        <v>0.111</v>
      </c>
      <c r="AE85" s="6">
        <f>MIN(Table1[[#This Row],[DiscountPct]], WhatIf!$B$2)</f>
        <v>0.111</v>
      </c>
      <c r="AF85" s="6">
        <f>IF(Table1[[#This Row],[DiscountPct]]&gt;0.2, 1, 0)</f>
        <v>0</v>
      </c>
      <c r="AG85" s="6" t="str">
        <f t="shared" si="24"/>
        <v>High</v>
      </c>
      <c r="AH85" s="6">
        <f t="shared" si="25"/>
        <v>0.37816425337472737</v>
      </c>
      <c r="AI85" s="5">
        <v>8</v>
      </c>
      <c r="AJ85" s="6">
        <f>Table1[[#This Row],[Quantity]]*(1+WhatIf!$B$4)</f>
        <v>8.8000000000000007</v>
      </c>
    </row>
    <row r="86" spans="1:36" x14ac:dyDescent="0.3">
      <c r="A86" t="s">
        <v>289</v>
      </c>
      <c r="B86" s="3">
        <v>45316</v>
      </c>
      <c r="C86" s="3">
        <v>45318</v>
      </c>
      <c r="D86" s="3">
        <f t="shared" si="14"/>
        <v>45318</v>
      </c>
      <c r="E86" s="4">
        <f t="shared" si="13"/>
        <v>2</v>
      </c>
      <c r="F86" s="4">
        <f t="shared" si="15"/>
        <v>2</v>
      </c>
      <c r="G86" s="4">
        <f>IF(Table1[[#This Row],[CorrectedLeadTimeDays]]&lt;=7, 1, 0)</f>
        <v>1</v>
      </c>
      <c r="H86" s="4" t="str">
        <f t="shared" si="16"/>
        <v>January</v>
      </c>
      <c r="I86" s="4" t="str">
        <f t="shared" si="17"/>
        <v>Q1-2024</v>
      </c>
      <c r="J86" s="4" t="str">
        <f t="shared" si="18"/>
        <v>2023-01</v>
      </c>
      <c r="K86" s="3">
        <f t="shared" si="19"/>
        <v>44955</v>
      </c>
      <c r="L86" t="s">
        <v>648</v>
      </c>
      <c r="M86" t="s">
        <v>655</v>
      </c>
      <c r="N86" t="s">
        <v>670</v>
      </c>
      <c r="O86" t="s">
        <v>703</v>
      </c>
      <c r="P86" t="s">
        <v>709</v>
      </c>
      <c r="Q86" t="s">
        <v>725</v>
      </c>
      <c r="R86">
        <f t="shared" si="20"/>
        <v>11</v>
      </c>
      <c r="S86" t="s">
        <v>731</v>
      </c>
      <c r="T86" t="s">
        <v>1009</v>
      </c>
      <c r="U86" s="4">
        <v>1410.97</v>
      </c>
      <c r="V86" s="4">
        <f>Table1[[#This Row],[UnitCost]]*(1+WhatIf!$B$3)</f>
        <v>1481.5185000000001</v>
      </c>
      <c r="W86" s="4">
        <f t="shared" si="21"/>
        <v>8465.82</v>
      </c>
      <c r="X86" s="4">
        <f>Table1[[#This Row],[ScenarioRev]]-Table1[[#This Row],[ScenarioUnitCost]]</f>
        <v>7942.6132500000003</v>
      </c>
      <c r="Y86" s="4">
        <v>1650.75</v>
      </c>
      <c r="Z86" s="4">
        <f t="shared" si="22"/>
        <v>8567.3924999999999</v>
      </c>
      <c r="AA86" s="4">
        <f>Table1[[#This Row],[ScenarioQuanity]]*Table1[[#This Row],[UnitPrice]]*(1-Table1[[#This Row],[ScenarioDiscPct]])</f>
        <v>9424.1317500000005</v>
      </c>
      <c r="AB86" s="4">
        <f t="shared" si="23"/>
        <v>101.57250000000022</v>
      </c>
      <c r="AC86" s="4">
        <f>Table1[[#This Row],[ScenarioRev]] - Table1[[#This Row],[ScenarioCostOfGoods]]</f>
        <v>1481.5185000000001</v>
      </c>
      <c r="AD86" s="6">
        <v>0.13500000000000001</v>
      </c>
      <c r="AE86" s="6">
        <f>MIN(Table1[[#This Row],[DiscountPct]], WhatIf!$B$2)</f>
        <v>0.13500000000000001</v>
      </c>
      <c r="AF86" s="6">
        <f>IF(Table1[[#This Row],[DiscountPct]]&gt;0.2, 1, 0)</f>
        <v>0</v>
      </c>
      <c r="AG86" s="6" t="str">
        <f t="shared" si="24"/>
        <v>High</v>
      </c>
      <c r="AH86" s="6">
        <f t="shared" si="25"/>
        <v>1.1855707556295596E-2</v>
      </c>
      <c r="AI86" s="5">
        <v>6</v>
      </c>
      <c r="AJ86" s="6">
        <f>Table1[[#This Row],[Quantity]]*(1+WhatIf!$B$4)</f>
        <v>6.6000000000000005</v>
      </c>
    </row>
    <row r="87" spans="1:36" x14ac:dyDescent="0.3">
      <c r="A87" t="s">
        <v>69</v>
      </c>
      <c r="B87" s="3">
        <v>45168</v>
      </c>
      <c r="C87" s="3">
        <v>45170</v>
      </c>
      <c r="D87" s="3">
        <f t="shared" si="14"/>
        <v>45170</v>
      </c>
      <c r="E87" s="4">
        <f t="shared" si="13"/>
        <v>2</v>
      </c>
      <c r="F87" s="4">
        <f t="shared" si="15"/>
        <v>2</v>
      </c>
      <c r="G87" s="4">
        <f>IF(Table1[[#This Row],[CorrectedLeadTimeDays]]&lt;=7, 1, 0)</f>
        <v>1</v>
      </c>
      <c r="H87" s="4" t="str">
        <f t="shared" si="16"/>
        <v>August</v>
      </c>
      <c r="I87" s="4" t="str">
        <f t="shared" si="17"/>
        <v>Q3-2023</v>
      </c>
      <c r="J87" s="4" t="str">
        <f t="shared" si="18"/>
        <v>2023-01</v>
      </c>
      <c r="K87" s="3">
        <f t="shared" si="19"/>
        <v>44948</v>
      </c>
      <c r="L87" t="s">
        <v>649</v>
      </c>
      <c r="M87" t="s">
        <v>656</v>
      </c>
      <c r="N87" t="s">
        <v>684</v>
      </c>
      <c r="O87" t="s">
        <v>701</v>
      </c>
      <c r="P87" t="s">
        <v>711</v>
      </c>
      <c r="Q87" t="s">
        <v>725</v>
      </c>
      <c r="R87">
        <f t="shared" si="20"/>
        <v>7</v>
      </c>
      <c r="S87" t="s">
        <v>729</v>
      </c>
      <c r="T87" t="s">
        <v>788</v>
      </c>
      <c r="U87" s="4">
        <v>44.42</v>
      </c>
      <c r="V87" s="4">
        <f>Table1[[#This Row],[UnitCost]]*(1+WhatIf!$B$3)</f>
        <v>46.641000000000005</v>
      </c>
      <c r="W87" s="4">
        <f t="shared" si="21"/>
        <v>266.52</v>
      </c>
      <c r="X87" s="4">
        <f>Table1[[#This Row],[ScenarioRev]]-Table1[[#This Row],[ScenarioUnitCost]]</f>
        <v>190.07724000000002</v>
      </c>
      <c r="Y87" s="4">
        <v>41.9</v>
      </c>
      <c r="Z87" s="4">
        <f t="shared" si="22"/>
        <v>215.19839999999996</v>
      </c>
      <c r="AA87" s="4">
        <f>Table1[[#This Row],[ScenarioQuanity]]*Table1[[#This Row],[UnitPrice]]*(1-Table1[[#This Row],[ScenarioDiscPct]])</f>
        <v>236.71824000000001</v>
      </c>
      <c r="AB87" s="4">
        <f t="shared" si="23"/>
        <v>-51.321600000000018</v>
      </c>
      <c r="AC87" s="4">
        <f>Table1[[#This Row],[ScenarioRev]] - Table1[[#This Row],[ScenarioCostOfGoods]]</f>
        <v>46.640999999999991</v>
      </c>
      <c r="AD87" s="6">
        <v>0.14399999999999999</v>
      </c>
      <c r="AE87" s="6">
        <f>MIN(Table1[[#This Row],[DiscountPct]], WhatIf!$B$2)</f>
        <v>0.14399999999999999</v>
      </c>
      <c r="AF87" s="6">
        <f>IF(Table1[[#This Row],[DiscountPct]]&gt;0.2, 1, 0)</f>
        <v>0</v>
      </c>
      <c r="AG87" s="6" t="str">
        <f t="shared" si="24"/>
        <v>Low</v>
      </c>
      <c r="AH87" s="6">
        <f t="shared" si="25"/>
        <v>-0.23848504449847224</v>
      </c>
      <c r="AI87" s="5">
        <v>6</v>
      </c>
      <c r="AJ87" s="6">
        <f>Table1[[#This Row],[Quantity]]*(1+WhatIf!$B$4)</f>
        <v>6.6000000000000005</v>
      </c>
    </row>
    <row r="88" spans="1:36" x14ac:dyDescent="0.3">
      <c r="A88" t="s">
        <v>538</v>
      </c>
      <c r="B88" s="3">
        <v>45304</v>
      </c>
      <c r="C88" s="3">
        <v>45306</v>
      </c>
      <c r="D88" s="3">
        <f t="shared" si="14"/>
        <v>45306</v>
      </c>
      <c r="E88" s="4">
        <f t="shared" si="13"/>
        <v>2</v>
      </c>
      <c r="F88" s="4">
        <f t="shared" si="15"/>
        <v>2</v>
      </c>
      <c r="G88" s="4">
        <f>IF(Table1[[#This Row],[CorrectedLeadTimeDays]]&lt;=7, 1, 0)</f>
        <v>1</v>
      </c>
      <c r="H88" s="4" t="str">
        <f t="shared" si="16"/>
        <v>January</v>
      </c>
      <c r="I88" s="4" t="str">
        <f t="shared" si="17"/>
        <v>Q1-2024</v>
      </c>
      <c r="J88" s="4" t="str">
        <f t="shared" si="18"/>
        <v>2023-01</v>
      </c>
      <c r="K88" s="3">
        <f t="shared" si="19"/>
        <v>44939</v>
      </c>
      <c r="L88" t="s">
        <v>648</v>
      </c>
      <c r="M88" t="s">
        <v>660</v>
      </c>
      <c r="N88" t="s">
        <v>686</v>
      </c>
      <c r="O88" t="s">
        <v>703</v>
      </c>
      <c r="P88" t="s">
        <v>711</v>
      </c>
      <c r="Q88" t="s">
        <v>718</v>
      </c>
      <c r="R88">
        <f t="shared" si="20"/>
        <v>12</v>
      </c>
      <c r="S88" t="s">
        <v>727</v>
      </c>
      <c r="T88" t="s">
        <v>1257</v>
      </c>
      <c r="U88" s="4">
        <v>1061.3699999999999</v>
      </c>
      <c r="V88" s="4">
        <f>Table1[[#This Row],[UnitCost]]*(1+WhatIf!$B$3)</f>
        <v>1114.4385</v>
      </c>
      <c r="W88" s="4">
        <f t="shared" si="21"/>
        <v>4245.4799999999996</v>
      </c>
      <c r="X88" s="4">
        <f>Table1[[#This Row],[ScenarioRev]]-Table1[[#This Row],[ScenarioUnitCost]]</f>
        <v>5964.3426599999993</v>
      </c>
      <c r="Y88" s="4">
        <v>1938.33</v>
      </c>
      <c r="Z88" s="4">
        <f t="shared" si="22"/>
        <v>6435.2555999999995</v>
      </c>
      <c r="AA88" s="4">
        <f>Table1[[#This Row],[ScenarioQuanity]]*Table1[[#This Row],[UnitPrice]]*(1-Table1[[#This Row],[ScenarioDiscPct]])</f>
        <v>7078.7811599999995</v>
      </c>
      <c r="AB88" s="4">
        <f t="shared" si="23"/>
        <v>2189.7755999999999</v>
      </c>
      <c r="AC88" s="4">
        <f>Table1[[#This Row],[ScenarioRev]] - Table1[[#This Row],[ScenarioCostOfGoods]]</f>
        <v>1114.4385000000002</v>
      </c>
      <c r="AD88" s="6">
        <v>0.17</v>
      </c>
      <c r="AE88" s="6">
        <f>MIN(Table1[[#This Row],[DiscountPct]], WhatIf!$B$2)</f>
        <v>0.17</v>
      </c>
      <c r="AF88" s="6">
        <f>IF(Table1[[#This Row],[DiscountPct]]&gt;0.2, 1, 0)</f>
        <v>0</v>
      </c>
      <c r="AG88" s="6" t="str">
        <f t="shared" si="24"/>
        <v>High</v>
      </c>
      <c r="AH88" s="6">
        <f t="shared" si="25"/>
        <v>0.34027795259600879</v>
      </c>
      <c r="AI88" s="5">
        <v>4</v>
      </c>
      <c r="AJ88" s="6">
        <f>Table1[[#This Row],[Quantity]]*(1+WhatIf!$B$4)</f>
        <v>4.4000000000000004</v>
      </c>
    </row>
    <row r="89" spans="1:36" x14ac:dyDescent="0.3">
      <c r="A89" t="s">
        <v>436</v>
      </c>
      <c r="B89" s="3">
        <v>45841</v>
      </c>
      <c r="C89" s="3">
        <v>45844</v>
      </c>
      <c r="D89" s="3">
        <f t="shared" si="14"/>
        <v>45844</v>
      </c>
      <c r="E89" s="4">
        <f t="shared" si="13"/>
        <v>3</v>
      </c>
      <c r="F89" s="4">
        <f t="shared" si="15"/>
        <v>3</v>
      </c>
      <c r="G89" s="4">
        <f>IF(Table1[[#This Row],[CorrectedLeadTimeDays]]&lt;=7, 1, 0)</f>
        <v>1</v>
      </c>
      <c r="H89" s="4" t="str">
        <f t="shared" si="16"/>
        <v>July</v>
      </c>
      <c r="I89" s="4" t="str">
        <f t="shared" si="17"/>
        <v>Q3-2025</v>
      </c>
      <c r="J89" s="4" t="str">
        <f t="shared" si="18"/>
        <v>2023-01</v>
      </c>
      <c r="K89" s="3">
        <f t="shared" si="19"/>
        <v>44941</v>
      </c>
      <c r="L89" t="s">
        <v>646</v>
      </c>
      <c r="M89" t="s">
        <v>651</v>
      </c>
      <c r="N89" t="s">
        <v>665</v>
      </c>
      <c r="O89" t="s">
        <v>704</v>
      </c>
      <c r="P89" t="s">
        <v>708</v>
      </c>
      <c r="R89">
        <f t="shared" si="20"/>
        <v>29</v>
      </c>
      <c r="S89" t="s">
        <v>731</v>
      </c>
      <c r="T89" t="s">
        <v>1155</v>
      </c>
      <c r="U89" s="4">
        <v>1313.3</v>
      </c>
      <c r="V89" s="4">
        <f>Table1[[#This Row],[UnitCost]]*(1+WhatIf!$B$3)</f>
        <v>1378.9649999999999</v>
      </c>
      <c r="W89" s="4">
        <f t="shared" si="21"/>
        <v>55158.6</v>
      </c>
      <c r="X89" s="4">
        <f>Table1[[#This Row],[ScenarioRev]]-Table1[[#This Row],[ScenarioUnitCost]]</f>
        <v>110956.271244</v>
      </c>
      <c r="Y89" s="4">
        <v>2884.34</v>
      </c>
      <c r="Z89" s="4">
        <f t="shared" si="22"/>
        <v>102122.94203999999</v>
      </c>
      <c r="AA89" s="4">
        <f>Table1[[#This Row],[ScenarioQuanity]]*Table1[[#This Row],[UnitPrice]]*(1-Table1[[#This Row],[ScenarioDiscPct]])</f>
        <v>112335.236244</v>
      </c>
      <c r="AB89" s="4">
        <f t="shared" si="23"/>
        <v>46964.342039999996</v>
      </c>
      <c r="AC89" s="4">
        <f>Table1[[#This Row],[ScenarioRev]] - Table1[[#This Row],[ScenarioCostOfGoods]]</f>
        <v>1378.9649999999965</v>
      </c>
      <c r="AD89" s="6">
        <v>0.157</v>
      </c>
      <c r="AE89" s="6">
        <f>MIN(Table1[[#This Row],[DiscountPct]], WhatIf!$B$2)</f>
        <v>0.157</v>
      </c>
      <c r="AF89" s="6">
        <f>IF(Table1[[#This Row],[DiscountPct]]&gt;0.2, 1, 0)</f>
        <v>0</v>
      </c>
      <c r="AG89" s="6" t="str">
        <f t="shared" si="24"/>
        <v>High</v>
      </c>
      <c r="AH89" s="6">
        <f t="shared" si="25"/>
        <v>0.45988042551305253</v>
      </c>
      <c r="AI89" s="5">
        <v>42</v>
      </c>
      <c r="AJ89" s="6">
        <f>Table1[[#This Row],[Quantity]]*(1+WhatIf!$B$4)</f>
        <v>46.2</v>
      </c>
    </row>
    <row r="90" spans="1:36" x14ac:dyDescent="0.3">
      <c r="A90" t="s">
        <v>493</v>
      </c>
      <c r="B90" s="3">
        <v>45032</v>
      </c>
      <c r="C90" s="3">
        <v>45035</v>
      </c>
      <c r="D90" s="3">
        <f t="shared" si="14"/>
        <v>45035</v>
      </c>
      <c r="E90" s="4">
        <f t="shared" si="13"/>
        <v>3</v>
      </c>
      <c r="F90" s="4">
        <f t="shared" si="15"/>
        <v>3</v>
      </c>
      <c r="G90" s="4">
        <f>IF(Table1[[#This Row],[CorrectedLeadTimeDays]]&lt;=7, 1, 0)</f>
        <v>1</v>
      </c>
      <c r="H90" s="4" t="str">
        <f t="shared" si="16"/>
        <v>April</v>
      </c>
      <c r="I90" s="4" t="str">
        <f t="shared" si="17"/>
        <v>Q2-2023</v>
      </c>
      <c r="J90" s="4" t="str">
        <f t="shared" si="18"/>
        <v>2023-01</v>
      </c>
      <c r="K90" s="3">
        <f t="shared" si="19"/>
        <v>44948</v>
      </c>
      <c r="L90" t="s">
        <v>649</v>
      </c>
      <c r="M90" t="s">
        <v>656</v>
      </c>
      <c r="N90" t="s">
        <v>684</v>
      </c>
      <c r="O90" t="s">
        <v>701</v>
      </c>
      <c r="P90" t="s">
        <v>711</v>
      </c>
      <c r="Q90" t="s">
        <v>717</v>
      </c>
      <c r="R90">
        <f t="shared" si="20"/>
        <v>2</v>
      </c>
      <c r="S90" t="s">
        <v>733</v>
      </c>
      <c r="T90" t="s">
        <v>1212</v>
      </c>
      <c r="U90" s="4">
        <v>553.61</v>
      </c>
      <c r="V90" s="4">
        <f>Table1[[#This Row],[UnitCost]]*(1+WhatIf!$B$3)</f>
        <v>581.29050000000007</v>
      </c>
      <c r="W90" s="4">
        <f t="shared" si="21"/>
        <v>18269.13</v>
      </c>
      <c r="X90" s="4">
        <f>Table1[[#This Row],[ScenarioRev]]-Table1[[#This Row],[ScenarioUnitCost]]</f>
        <v>24301.655280000003</v>
      </c>
      <c r="Y90" s="4">
        <v>699.47</v>
      </c>
      <c r="Z90" s="4">
        <f t="shared" si="22"/>
        <v>22620.859800000002</v>
      </c>
      <c r="AA90" s="4">
        <f>Table1[[#This Row],[ScenarioQuanity]]*Table1[[#This Row],[UnitPrice]]*(1-Table1[[#This Row],[ScenarioDiscPct]])</f>
        <v>24882.945780000002</v>
      </c>
      <c r="AB90" s="4">
        <f t="shared" si="23"/>
        <v>4351.729800000001</v>
      </c>
      <c r="AC90" s="4">
        <f>Table1[[#This Row],[ScenarioRev]] - Table1[[#This Row],[ScenarioCostOfGoods]]</f>
        <v>581.29049999999916</v>
      </c>
      <c r="AD90" s="6">
        <v>0.02</v>
      </c>
      <c r="AE90" s="6">
        <f>MIN(Table1[[#This Row],[DiscountPct]], WhatIf!$B$2)</f>
        <v>0.02</v>
      </c>
      <c r="AF90" s="6">
        <f>IF(Table1[[#This Row],[DiscountPct]]&gt;0.2, 1, 0)</f>
        <v>0</v>
      </c>
      <c r="AG90" s="6" t="str">
        <f t="shared" si="24"/>
        <v>Low</v>
      </c>
      <c r="AH90" s="6">
        <f t="shared" si="25"/>
        <v>0.19237685209472014</v>
      </c>
      <c r="AI90" s="5">
        <v>33</v>
      </c>
      <c r="AJ90" s="6">
        <f>Table1[[#This Row],[Quantity]]*(1+WhatIf!$B$4)</f>
        <v>36.300000000000004</v>
      </c>
    </row>
    <row r="91" spans="1:36" x14ac:dyDescent="0.3">
      <c r="A91" t="s">
        <v>95</v>
      </c>
      <c r="B91" s="3">
        <v>44965</v>
      </c>
      <c r="C91" s="3">
        <v>44968</v>
      </c>
      <c r="D91" s="3">
        <f t="shared" si="14"/>
        <v>44968</v>
      </c>
      <c r="E91" s="4">
        <f t="shared" si="13"/>
        <v>3</v>
      </c>
      <c r="F91" s="4">
        <f t="shared" si="15"/>
        <v>3</v>
      </c>
      <c r="G91" s="4">
        <f>IF(Table1[[#This Row],[CorrectedLeadTimeDays]]&lt;=7, 1, 0)</f>
        <v>1</v>
      </c>
      <c r="H91" s="4" t="str">
        <f t="shared" si="16"/>
        <v>February</v>
      </c>
      <c r="I91" s="4" t="str">
        <f t="shared" si="17"/>
        <v>Q1-2023</v>
      </c>
      <c r="J91" s="4" t="str">
        <f t="shared" si="18"/>
        <v>2023-01</v>
      </c>
      <c r="K91" s="3">
        <f t="shared" si="19"/>
        <v>44933</v>
      </c>
      <c r="L91" t="s">
        <v>646</v>
      </c>
      <c r="M91" t="s">
        <v>661</v>
      </c>
      <c r="N91" t="s">
        <v>695</v>
      </c>
      <c r="O91" t="s">
        <v>701</v>
      </c>
      <c r="P91" t="s">
        <v>711</v>
      </c>
      <c r="Q91" t="s">
        <v>724</v>
      </c>
      <c r="R91">
        <f t="shared" si="20"/>
        <v>1</v>
      </c>
      <c r="S91" t="s">
        <v>729</v>
      </c>
      <c r="T91" t="s">
        <v>814</v>
      </c>
      <c r="U91" s="4">
        <v>1410.05</v>
      </c>
      <c r="V91" s="4">
        <f>Table1[[#This Row],[UnitCost]]*(1+WhatIf!$B$3)</f>
        <v>1480.5525</v>
      </c>
      <c r="W91" s="4">
        <f t="shared" si="21"/>
        <v>36661.299999999996</v>
      </c>
      <c r="X91" s="4">
        <f>Table1[[#This Row],[ScenarioRev]]-Table1[[#This Row],[ScenarioUnitCost]]</f>
        <v>64841.533329999998</v>
      </c>
      <c r="Y91" s="4">
        <v>2763.95</v>
      </c>
      <c r="Z91" s="4">
        <f t="shared" si="22"/>
        <v>60292.805299999993</v>
      </c>
      <c r="AA91" s="4">
        <f>Table1[[#This Row],[ScenarioQuanity]]*Table1[[#This Row],[UnitPrice]]*(1-Table1[[#This Row],[ScenarioDiscPct]])</f>
        <v>66322.085829999996</v>
      </c>
      <c r="AB91" s="4">
        <f t="shared" si="23"/>
        <v>23631.505299999997</v>
      </c>
      <c r="AC91" s="4">
        <f>Table1[[#This Row],[ScenarioRev]] - Table1[[#This Row],[ScenarioCostOfGoods]]</f>
        <v>1480.552499999998</v>
      </c>
      <c r="AD91" s="6">
        <v>0.161</v>
      </c>
      <c r="AE91" s="6">
        <f>MIN(Table1[[#This Row],[DiscountPct]], WhatIf!$B$2)</f>
        <v>0.161</v>
      </c>
      <c r="AF91" s="6">
        <f>IF(Table1[[#This Row],[DiscountPct]]&gt;0.2, 1, 0)</f>
        <v>0</v>
      </c>
      <c r="AG91" s="6" t="str">
        <f t="shared" si="24"/>
        <v>High</v>
      </c>
      <c r="AH91" s="6">
        <f t="shared" si="25"/>
        <v>0.39194569206750779</v>
      </c>
      <c r="AI91" s="5">
        <v>26</v>
      </c>
      <c r="AJ91" s="6">
        <f>Table1[[#This Row],[Quantity]]*(1+WhatIf!$B$4)</f>
        <v>28.6</v>
      </c>
    </row>
    <row r="92" spans="1:36" x14ac:dyDescent="0.3">
      <c r="A92" t="s">
        <v>455</v>
      </c>
      <c r="B92" s="3">
        <v>45374</v>
      </c>
      <c r="C92" s="3">
        <v>45377</v>
      </c>
      <c r="D92" s="3">
        <f t="shared" si="14"/>
        <v>45377</v>
      </c>
      <c r="E92" s="4">
        <f t="shared" si="13"/>
        <v>3</v>
      </c>
      <c r="F92" s="4">
        <f t="shared" si="15"/>
        <v>3</v>
      </c>
      <c r="G92" s="4">
        <f>IF(Table1[[#This Row],[CorrectedLeadTimeDays]]&lt;=7, 1, 0)</f>
        <v>1</v>
      </c>
      <c r="H92" s="4" t="str">
        <f t="shared" si="16"/>
        <v>March</v>
      </c>
      <c r="I92" s="4" t="str">
        <f t="shared" si="17"/>
        <v>Q1-2024</v>
      </c>
      <c r="J92" s="4" t="str">
        <f t="shared" si="18"/>
        <v>2023-01</v>
      </c>
      <c r="K92" s="3">
        <f t="shared" si="19"/>
        <v>44955</v>
      </c>
      <c r="L92" t="s">
        <v>647</v>
      </c>
      <c r="M92" t="s">
        <v>654</v>
      </c>
      <c r="N92" t="s">
        <v>668</v>
      </c>
      <c r="O92" t="s">
        <v>702</v>
      </c>
      <c r="P92" t="s">
        <v>711</v>
      </c>
      <c r="Q92" t="s">
        <v>715</v>
      </c>
      <c r="R92">
        <f t="shared" si="20"/>
        <v>13</v>
      </c>
      <c r="S92" t="s">
        <v>730</v>
      </c>
      <c r="T92" t="s">
        <v>1174</v>
      </c>
      <c r="U92" s="4">
        <v>382.21</v>
      </c>
      <c r="V92" s="4">
        <f>Table1[[#This Row],[UnitCost]]*(1+WhatIf!$B$3)</f>
        <v>401.32049999999998</v>
      </c>
      <c r="W92" s="4">
        <f t="shared" si="21"/>
        <v>9937.4599999999991</v>
      </c>
      <c r="X92" s="4">
        <f>Table1[[#This Row],[ScenarioRev]]-Table1[[#This Row],[ScenarioUnitCost]]</f>
        <v>13534.037507999999</v>
      </c>
      <c r="Y92" s="4">
        <v>571.89</v>
      </c>
      <c r="Z92" s="4">
        <f t="shared" si="22"/>
        <v>12668.50728</v>
      </c>
      <c r="AA92" s="4">
        <f>Table1[[#This Row],[ScenarioQuanity]]*Table1[[#This Row],[UnitPrice]]*(1-Table1[[#This Row],[ScenarioDiscPct]])</f>
        <v>13935.358007999999</v>
      </c>
      <c r="AB92" s="4">
        <f t="shared" si="23"/>
        <v>2731.0472800000007</v>
      </c>
      <c r="AC92" s="4">
        <f>Table1[[#This Row],[ScenarioRev]] - Table1[[#This Row],[ScenarioCostOfGoods]]</f>
        <v>401.32049999999981</v>
      </c>
      <c r="AD92" s="6">
        <v>0.14799999999999999</v>
      </c>
      <c r="AE92" s="6">
        <f>MIN(Table1[[#This Row],[DiscountPct]], WhatIf!$B$2)</f>
        <v>0.14799999999999999</v>
      </c>
      <c r="AF92" s="6">
        <f>IF(Table1[[#This Row],[DiscountPct]]&gt;0.2, 1, 0)</f>
        <v>0</v>
      </c>
      <c r="AG92" s="6" t="str">
        <f t="shared" si="24"/>
        <v>Low</v>
      </c>
      <c r="AH92" s="6">
        <f t="shared" si="25"/>
        <v>0.2155776698578809</v>
      </c>
      <c r="AI92" s="5">
        <v>26</v>
      </c>
      <c r="AJ92" s="6">
        <f>Table1[[#This Row],[Quantity]]*(1+WhatIf!$B$4)</f>
        <v>28.6</v>
      </c>
    </row>
    <row r="93" spans="1:36" x14ac:dyDescent="0.3">
      <c r="A93" t="s">
        <v>536</v>
      </c>
      <c r="B93" s="3">
        <v>45482</v>
      </c>
      <c r="C93" s="3">
        <v>45485</v>
      </c>
      <c r="D93" s="3">
        <f t="shared" si="14"/>
        <v>45485</v>
      </c>
      <c r="E93" s="4">
        <f t="shared" si="13"/>
        <v>3</v>
      </c>
      <c r="F93" s="4">
        <f t="shared" si="15"/>
        <v>3</v>
      </c>
      <c r="G93" s="4">
        <f>IF(Table1[[#This Row],[CorrectedLeadTimeDays]]&lt;=7, 1, 0)</f>
        <v>1</v>
      </c>
      <c r="H93" s="4" t="str">
        <f t="shared" si="16"/>
        <v>July</v>
      </c>
      <c r="I93" s="4" t="str">
        <f t="shared" si="17"/>
        <v>Q3-2024</v>
      </c>
      <c r="J93" s="4" t="str">
        <f t="shared" si="18"/>
        <v>2023-01</v>
      </c>
      <c r="K93" s="3">
        <f t="shared" si="19"/>
        <v>44938</v>
      </c>
      <c r="L93" t="s">
        <v>647</v>
      </c>
      <c r="M93" t="s">
        <v>659</v>
      </c>
      <c r="N93" t="s">
        <v>685</v>
      </c>
      <c r="O93" t="s">
        <v>705</v>
      </c>
      <c r="P93" t="s">
        <v>707</v>
      </c>
      <c r="Q93" t="s">
        <v>726</v>
      </c>
      <c r="R93">
        <f t="shared" si="20"/>
        <v>17</v>
      </c>
      <c r="S93" t="s">
        <v>733</v>
      </c>
      <c r="T93" t="s">
        <v>1255</v>
      </c>
      <c r="U93" s="4">
        <v>748.39</v>
      </c>
      <c r="V93" s="4">
        <f>Table1[[#This Row],[UnitCost]]*(1+WhatIf!$B$3)</f>
        <v>785.80950000000007</v>
      </c>
      <c r="W93" s="4">
        <f t="shared" si="21"/>
        <v>17212.97</v>
      </c>
      <c r="X93" s="4">
        <f>Table1[[#This Row],[ScenarioRev]]-Table1[[#This Row],[ScenarioUnitCost]]</f>
        <v>23993.516500000002</v>
      </c>
      <c r="Y93" s="4">
        <v>979.42</v>
      </c>
      <c r="Z93" s="4">
        <f t="shared" si="22"/>
        <v>22526.66</v>
      </c>
      <c r="AA93" s="4">
        <f>Table1[[#This Row],[ScenarioQuanity]]*Table1[[#This Row],[UnitPrice]]*(1-Table1[[#This Row],[ScenarioDiscPct]])</f>
        <v>24779.326000000001</v>
      </c>
      <c r="AB93" s="4">
        <f t="shared" si="23"/>
        <v>5313.6899999999987</v>
      </c>
      <c r="AC93" s="4">
        <f>Table1[[#This Row],[ScenarioRev]] - Table1[[#This Row],[ScenarioCostOfGoods]]</f>
        <v>785.80949999999939</v>
      </c>
      <c r="AD93" s="6">
        <v>0</v>
      </c>
      <c r="AE93" s="6">
        <f>MIN(Table1[[#This Row],[DiscountPct]], WhatIf!$B$2)</f>
        <v>0</v>
      </c>
      <c r="AF93" s="6">
        <f>IF(Table1[[#This Row],[DiscountPct]]&gt;0.2, 1, 0)</f>
        <v>0</v>
      </c>
      <c r="AG93" s="6" t="str">
        <f t="shared" si="24"/>
        <v>High</v>
      </c>
      <c r="AH93" s="6">
        <f t="shared" si="25"/>
        <v>0.23588450307324738</v>
      </c>
      <c r="AI93" s="5">
        <v>23</v>
      </c>
      <c r="AJ93" s="6">
        <f>Table1[[#This Row],[Quantity]]*(1+WhatIf!$B$4)</f>
        <v>25.3</v>
      </c>
    </row>
    <row r="94" spans="1:36" x14ac:dyDescent="0.3">
      <c r="A94" t="s">
        <v>415</v>
      </c>
      <c r="B94" s="3">
        <v>45516</v>
      </c>
      <c r="C94" s="3">
        <v>45519</v>
      </c>
      <c r="D94" s="3">
        <f t="shared" si="14"/>
        <v>45519</v>
      </c>
      <c r="E94" s="4">
        <f t="shared" si="13"/>
        <v>3</v>
      </c>
      <c r="F94" s="4">
        <f t="shared" si="15"/>
        <v>3</v>
      </c>
      <c r="G94" s="4">
        <f>IF(Table1[[#This Row],[CorrectedLeadTimeDays]]&lt;=7, 1, 0)</f>
        <v>1</v>
      </c>
      <c r="H94" s="4" t="str">
        <f t="shared" si="16"/>
        <v>August</v>
      </c>
      <c r="I94" s="4" t="str">
        <f t="shared" si="17"/>
        <v>Q3-2024</v>
      </c>
      <c r="J94" s="4" t="str">
        <f t="shared" si="18"/>
        <v>2023-01</v>
      </c>
      <c r="K94" s="3">
        <f t="shared" si="19"/>
        <v>44939</v>
      </c>
      <c r="L94" t="s">
        <v>648</v>
      </c>
      <c r="M94" t="s">
        <v>660</v>
      </c>
      <c r="N94" t="s">
        <v>677</v>
      </c>
      <c r="O94" t="s">
        <v>701</v>
      </c>
      <c r="P94" t="s">
        <v>709</v>
      </c>
      <c r="Q94" t="s">
        <v>726</v>
      </c>
      <c r="R94">
        <f t="shared" si="20"/>
        <v>18</v>
      </c>
      <c r="S94" t="s">
        <v>728</v>
      </c>
      <c r="T94" t="s">
        <v>1134</v>
      </c>
      <c r="U94" s="4">
        <v>850.7</v>
      </c>
      <c r="V94" s="4">
        <f>Table1[[#This Row],[UnitCost]]*(1+WhatIf!$B$3)</f>
        <v>893.23500000000013</v>
      </c>
      <c r="W94" s="4">
        <f t="shared" si="21"/>
        <v>16163.300000000001</v>
      </c>
      <c r="X94" s="4">
        <f>Table1[[#This Row],[ScenarioRev]]-Table1[[#This Row],[ScenarioUnitCost]]</f>
        <v>18276.646280000004</v>
      </c>
      <c r="Y94" s="4">
        <v>1118.56</v>
      </c>
      <c r="Z94" s="4">
        <f t="shared" si="22"/>
        <v>17427.164800000002</v>
      </c>
      <c r="AA94" s="4">
        <f>Table1[[#This Row],[ScenarioQuanity]]*Table1[[#This Row],[UnitPrice]]*(1-Table1[[#This Row],[ScenarioDiscPct]])</f>
        <v>19169.881280000005</v>
      </c>
      <c r="AB94" s="4">
        <f t="shared" si="23"/>
        <v>1263.8648000000012</v>
      </c>
      <c r="AC94" s="4">
        <f>Table1[[#This Row],[ScenarioRev]] - Table1[[#This Row],[ScenarioCostOfGoods]]</f>
        <v>893.23500000000058</v>
      </c>
      <c r="AD94" s="6">
        <v>0.18</v>
      </c>
      <c r="AE94" s="6">
        <f>MIN(Table1[[#This Row],[DiscountPct]], WhatIf!$B$2)</f>
        <v>0.18</v>
      </c>
      <c r="AF94" s="6">
        <f>IF(Table1[[#This Row],[DiscountPct]]&gt;0.2, 1, 0)</f>
        <v>0</v>
      </c>
      <c r="AG94" s="6" t="str">
        <f t="shared" si="24"/>
        <v>High</v>
      </c>
      <c r="AH94" s="6">
        <f t="shared" si="25"/>
        <v>7.2522685962090688E-2</v>
      </c>
      <c r="AI94" s="5">
        <v>19</v>
      </c>
      <c r="AJ94" s="6">
        <f>Table1[[#This Row],[Quantity]]*(1+WhatIf!$B$4)</f>
        <v>20.900000000000002</v>
      </c>
    </row>
    <row r="95" spans="1:36" x14ac:dyDescent="0.3">
      <c r="A95" t="s">
        <v>402</v>
      </c>
      <c r="B95" s="3">
        <v>45199</v>
      </c>
      <c r="C95" s="3">
        <v>45202</v>
      </c>
      <c r="D95" s="3">
        <f t="shared" si="14"/>
        <v>45202</v>
      </c>
      <c r="E95" s="4">
        <f t="shared" si="13"/>
        <v>3</v>
      </c>
      <c r="F95" s="4">
        <f t="shared" si="15"/>
        <v>3</v>
      </c>
      <c r="G95" s="4">
        <f>IF(Table1[[#This Row],[CorrectedLeadTimeDays]]&lt;=7, 1, 0)</f>
        <v>1</v>
      </c>
      <c r="H95" s="4" t="str">
        <f t="shared" si="16"/>
        <v>September</v>
      </c>
      <c r="I95" s="4" t="str">
        <f t="shared" si="17"/>
        <v>Q3-2023</v>
      </c>
      <c r="J95" s="4" t="str">
        <f t="shared" si="18"/>
        <v>2023-01</v>
      </c>
      <c r="K95" s="3">
        <f t="shared" si="19"/>
        <v>44938</v>
      </c>
      <c r="L95" t="s">
        <v>647</v>
      </c>
      <c r="M95" t="s">
        <v>659</v>
      </c>
      <c r="N95" t="s">
        <v>699</v>
      </c>
      <c r="O95" t="s">
        <v>703</v>
      </c>
      <c r="P95" t="s">
        <v>707</v>
      </c>
      <c r="Q95" t="s">
        <v>713</v>
      </c>
      <c r="R95">
        <f t="shared" si="20"/>
        <v>8</v>
      </c>
      <c r="S95" t="s">
        <v>731</v>
      </c>
      <c r="T95" t="s">
        <v>1121</v>
      </c>
      <c r="U95" s="4">
        <v>1019.36</v>
      </c>
      <c r="V95" s="4">
        <f>Table1[[#This Row],[UnitCost]]*(1+WhatIf!$B$3)</f>
        <v>1070.328</v>
      </c>
      <c r="W95" s="4">
        <f t="shared" si="21"/>
        <v>17329.12</v>
      </c>
      <c r="X95" s="4">
        <f>Table1[[#This Row],[ScenarioRev]]-Table1[[#This Row],[ScenarioUnitCost]]</f>
        <v>14448.656701000002</v>
      </c>
      <c r="Y95" s="4">
        <v>972.91</v>
      </c>
      <c r="Z95" s="4">
        <f t="shared" si="22"/>
        <v>14108.16791</v>
      </c>
      <c r="AA95" s="4">
        <f>Table1[[#This Row],[ScenarioQuanity]]*Table1[[#This Row],[UnitPrice]]*(1-Table1[[#This Row],[ScenarioDiscPct]])</f>
        <v>15518.984701000001</v>
      </c>
      <c r="AB95" s="4">
        <f t="shared" si="23"/>
        <v>-3220.9520899999989</v>
      </c>
      <c r="AC95" s="4">
        <f>Table1[[#This Row],[ScenarioRev]] - Table1[[#This Row],[ScenarioCostOfGoods]]</f>
        <v>1070.3279999999995</v>
      </c>
      <c r="AD95" s="6">
        <v>0.14699999999999999</v>
      </c>
      <c r="AE95" s="6">
        <f>MIN(Table1[[#This Row],[DiscountPct]], WhatIf!$B$2)</f>
        <v>0.14699999999999999</v>
      </c>
      <c r="AF95" s="6">
        <f>IF(Table1[[#This Row],[DiscountPct]]&gt;0.2, 1, 0)</f>
        <v>0</v>
      </c>
      <c r="AG95" s="6" t="str">
        <f t="shared" si="24"/>
        <v>High</v>
      </c>
      <c r="AH95" s="6">
        <f t="shared" si="25"/>
        <v>-0.22830406545678819</v>
      </c>
      <c r="AI95" s="5">
        <v>17</v>
      </c>
      <c r="AJ95" s="6">
        <f>Table1[[#This Row],[Quantity]]*(1+WhatIf!$B$4)</f>
        <v>18.700000000000003</v>
      </c>
    </row>
    <row r="96" spans="1:36" x14ac:dyDescent="0.3">
      <c r="A96" t="s">
        <v>582</v>
      </c>
      <c r="B96" s="3">
        <v>45600</v>
      </c>
      <c r="C96" s="3">
        <v>45603</v>
      </c>
      <c r="D96" s="3">
        <f t="shared" si="14"/>
        <v>45603</v>
      </c>
      <c r="E96" s="4">
        <f t="shared" si="13"/>
        <v>3</v>
      </c>
      <c r="F96" s="4">
        <f t="shared" si="15"/>
        <v>3</v>
      </c>
      <c r="G96" s="4">
        <f>IF(Table1[[#This Row],[CorrectedLeadTimeDays]]&lt;=7, 1, 0)</f>
        <v>1</v>
      </c>
      <c r="H96" s="4" t="str">
        <f t="shared" si="16"/>
        <v>November</v>
      </c>
      <c r="I96" s="4" t="str">
        <f t="shared" si="17"/>
        <v>Q4-2024</v>
      </c>
      <c r="J96" s="4" t="str">
        <f t="shared" si="18"/>
        <v>2023-01</v>
      </c>
      <c r="K96" s="3">
        <f t="shared" si="19"/>
        <v>44936</v>
      </c>
      <c r="L96" t="s">
        <v>649</v>
      </c>
      <c r="M96" t="s">
        <v>657</v>
      </c>
      <c r="N96" t="s">
        <v>679</v>
      </c>
      <c r="O96" t="s">
        <v>701</v>
      </c>
      <c r="P96" t="s">
        <v>708</v>
      </c>
      <c r="Q96" t="s">
        <v>719</v>
      </c>
      <c r="R96">
        <f t="shared" si="20"/>
        <v>21</v>
      </c>
      <c r="S96" t="s">
        <v>732</v>
      </c>
      <c r="T96" t="s">
        <v>1300</v>
      </c>
      <c r="U96" s="4">
        <v>740.68</v>
      </c>
      <c r="V96" s="4">
        <f>Table1[[#This Row],[UnitCost]]*(1+WhatIf!$B$3)</f>
        <v>777.71399999999994</v>
      </c>
      <c r="W96" s="4">
        <f t="shared" si="21"/>
        <v>12591.56</v>
      </c>
      <c r="X96" s="4">
        <f>Table1[[#This Row],[ScenarioRev]]-Table1[[#This Row],[ScenarioUnitCost]]</f>
        <v>26809.714759000006</v>
      </c>
      <c r="Y96" s="4">
        <v>1837.19</v>
      </c>
      <c r="Z96" s="4">
        <f t="shared" si="22"/>
        <v>25079.480689999997</v>
      </c>
      <c r="AA96" s="4">
        <f>Table1[[#This Row],[ScenarioQuanity]]*Table1[[#This Row],[UnitPrice]]*(1-Table1[[#This Row],[ScenarioDiscPct]])</f>
        <v>27587.428759000006</v>
      </c>
      <c r="AB96" s="4">
        <f t="shared" si="23"/>
        <v>12487.920689999997</v>
      </c>
      <c r="AC96" s="4">
        <f>Table1[[#This Row],[ScenarioRev]] - Table1[[#This Row],[ScenarioCostOfGoods]]</f>
        <v>777.71399999999994</v>
      </c>
      <c r="AD96" s="6">
        <v>0.19700000000000001</v>
      </c>
      <c r="AE96" s="6">
        <f>MIN(Table1[[#This Row],[DiscountPct]], WhatIf!$B$2)</f>
        <v>0.19700000000000001</v>
      </c>
      <c r="AF96" s="6">
        <f>IF(Table1[[#This Row],[DiscountPct]]&gt;0.2, 1, 0)</f>
        <v>0</v>
      </c>
      <c r="AG96" s="6" t="str">
        <f t="shared" si="24"/>
        <v>High</v>
      </c>
      <c r="AH96" s="6">
        <f t="shared" si="25"/>
        <v>0.4979337827748298</v>
      </c>
      <c r="AI96" s="5">
        <v>17</v>
      </c>
      <c r="AJ96" s="6">
        <f>Table1[[#This Row],[Quantity]]*(1+WhatIf!$B$4)</f>
        <v>18.700000000000003</v>
      </c>
    </row>
    <row r="97" spans="1:36" x14ac:dyDescent="0.3">
      <c r="A97" t="s">
        <v>416</v>
      </c>
      <c r="B97" s="3">
        <v>45601</v>
      </c>
      <c r="C97" s="3">
        <v>45604</v>
      </c>
      <c r="D97" s="3">
        <f t="shared" si="14"/>
        <v>45604</v>
      </c>
      <c r="E97" s="4">
        <f t="shared" si="13"/>
        <v>3</v>
      </c>
      <c r="F97" s="4">
        <f t="shared" si="15"/>
        <v>3</v>
      </c>
      <c r="G97" s="4">
        <f>IF(Table1[[#This Row],[CorrectedLeadTimeDays]]&lt;=7, 1, 0)</f>
        <v>1</v>
      </c>
      <c r="H97" s="4" t="str">
        <f t="shared" si="16"/>
        <v>November</v>
      </c>
      <c r="I97" s="4" t="str">
        <f t="shared" si="17"/>
        <v>Q4-2024</v>
      </c>
      <c r="J97" s="4" t="str">
        <f t="shared" si="18"/>
        <v>2023-01</v>
      </c>
      <c r="K97" s="3">
        <f t="shared" si="19"/>
        <v>44928</v>
      </c>
      <c r="L97" t="s">
        <v>648</v>
      </c>
      <c r="M97" t="s">
        <v>653</v>
      </c>
      <c r="N97" t="s">
        <v>667</v>
      </c>
      <c r="O97" t="s">
        <v>702</v>
      </c>
      <c r="P97" t="s">
        <v>709</v>
      </c>
      <c r="Q97" t="s">
        <v>719</v>
      </c>
      <c r="R97">
        <f t="shared" si="20"/>
        <v>22</v>
      </c>
      <c r="S97" t="s">
        <v>727</v>
      </c>
      <c r="T97" t="s">
        <v>1135</v>
      </c>
      <c r="U97" s="4">
        <v>1020.4</v>
      </c>
      <c r="V97" s="4">
        <f>Table1[[#This Row],[UnitCost]]*(1+WhatIf!$B$3)</f>
        <v>1071.42</v>
      </c>
      <c r="W97" s="4">
        <f t="shared" si="21"/>
        <v>16326.4</v>
      </c>
      <c r="X97" s="4">
        <f>Table1[[#This Row],[ScenarioRev]]-Table1[[#This Row],[ScenarioUnitCost]]</f>
        <v>17569.281024000004</v>
      </c>
      <c r="Y97" s="4">
        <v>1184.71</v>
      </c>
      <c r="Z97" s="4">
        <f t="shared" si="22"/>
        <v>16946.091840000001</v>
      </c>
      <c r="AA97" s="4">
        <f>Table1[[#This Row],[ScenarioQuanity]]*Table1[[#This Row],[UnitPrice]]*(1-Table1[[#This Row],[ScenarioDiscPct]])</f>
        <v>18640.701024000002</v>
      </c>
      <c r="AB97" s="4">
        <f t="shared" si="23"/>
        <v>619.69184000000132</v>
      </c>
      <c r="AC97" s="4">
        <f>Table1[[#This Row],[ScenarioRev]] - Table1[[#This Row],[ScenarioCostOfGoods]]</f>
        <v>1071.4199999999983</v>
      </c>
      <c r="AD97" s="6">
        <v>0.106</v>
      </c>
      <c r="AE97" s="6">
        <f>MIN(Table1[[#This Row],[DiscountPct]], WhatIf!$B$2)</f>
        <v>0.106</v>
      </c>
      <c r="AF97" s="6">
        <f>IF(Table1[[#This Row],[DiscountPct]]&gt;0.2, 1, 0)</f>
        <v>0</v>
      </c>
      <c r="AG97" s="6" t="str">
        <f t="shared" si="24"/>
        <v>High</v>
      </c>
      <c r="AH97" s="6">
        <f t="shared" si="25"/>
        <v>3.6568422138328345E-2</v>
      </c>
      <c r="AI97" s="5">
        <v>16</v>
      </c>
      <c r="AJ97" s="6">
        <f>Table1[[#This Row],[Quantity]]*(1+WhatIf!$B$4)</f>
        <v>17.600000000000001</v>
      </c>
    </row>
    <row r="98" spans="1:36" x14ac:dyDescent="0.3">
      <c r="A98" t="s">
        <v>423</v>
      </c>
      <c r="B98" s="3">
        <v>45276</v>
      </c>
      <c r="C98" s="3">
        <v>45279</v>
      </c>
      <c r="D98" s="3">
        <f t="shared" si="14"/>
        <v>45279</v>
      </c>
      <c r="E98" s="4">
        <f t="shared" si="13"/>
        <v>3</v>
      </c>
      <c r="F98" s="4">
        <f t="shared" si="15"/>
        <v>3</v>
      </c>
      <c r="G98" s="4">
        <f>IF(Table1[[#This Row],[CorrectedLeadTimeDays]]&lt;=7, 1, 0)</f>
        <v>1</v>
      </c>
      <c r="H98" s="4" t="str">
        <f t="shared" si="16"/>
        <v>December</v>
      </c>
      <c r="I98" s="4" t="str">
        <f t="shared" si="17"/>
        <v>Q4-2023</v>
      </c>
      <c r="J98" s="4" t="str">
        <f t="shared" si="18"/>
        <v>2023-01</v>
      </c>
      <c r="K98" s="3">
        <f t="shared" si="19"/>
        <v>44938</v>
      </c>
      <c r="L98" t="s">
        <v>647</v>
      </c>
      <c r="M98" t="s">
        <v>659</v>
      </c>
      <c r="N98" t="s">
        <v>699</v>
      </c>
      <c r="O98" t="s">
        <v>702</v>
      </c>
      <c r="P98" t="s">
        <v>707</v>
      </c>
      <c r="Q98" t="s">
        <v>720</v>
      </c>
      <c r="R98">
        <f t="shared" si="20"/>
        <v>11</v>
      </c>
      <c r="S98" t="s">
        <v>733</v>
      </c>
      <c r="T98" t="s">
        <v>1142</v>
      </c>
      <c r="U98" s="4">
        <v>1415.05</v>
      </c>
      <c r="V98" s="4">
        <f>Table1[[#This Row],[UnitCost]]*(1+WhatIf!$B$3)</f>
        <v>1485.8025</v>
      </c>
      <c r="W98" s="4">
        <f t="shared" si="21"/>
        <v>16980.599999999999</v>
      </c>
      <c r="X98" s="4">
        <f>Table1[[#This Row],[ScenarioRev]]-Table1[[#This Row],[ScenarioUnitCost]]</f>
        <v>24549.613500000003</v>
      </c>
      <c r="Y98" s="4">
        <v>1972.38</v>
      </c>
      <c r="Z98" s="4">
        <f t="shared" si="22"/>
        <v>23668.560000000001</v>
      </c>
      <c r="AA98" s="4">
        <f>Table1[[#This Row],[ScenarioQuanity]]*Table1[[#This Row],[UnitPrice]]*(1-Table1[[#This Row],[ScenarioDiscPct]])</f>
        <v>26035.416000000005</v>
      </c>
      <c r="AB98" s="4">
        <f t="shared" si="23"/>
        <v>6687.9600000000028</v>
      </c>
      <c r="AC98" s="4">
        <f>Table1[[#This Row],[ScenarioRev]] - Table1[[#This Row],[ScenarioCostOfGoods]]</f>
        <v>1485.8025000000016</v>
      </c>
      <c r="AD98" s="6">
        <v>0</v>
      </c>
      <c r="AE98" s="6">
        <f>MIN(Table1[[#This Row],[DiscountPct]], WhatIf!$B$2)</f>
        <v>0</v>
      </c>
      <c r="AF98" s="6">
        <f>IF(Table1[[#This Row],[DiscountPct]]&gt;0.2, 1, 0)</f>
        <v>0</v>
      </c>
      <c r="AG98" s="6" t="str">
        <f t="shared" si="24"/>
        <v>High</v>
      </c>
      <c r="AH98" s="6">
        <f t="shared" si="25"/>
        <v>0.28256725377462771</v>
      </c>
      <c r="AI98" s="5">
        <v>12</v>
      </c>
      <c r="AJ98" s="6">
        <f>Table1[[#This Row],[Quantity]]*(1+WhatIf!$B$4)</f>
        <v>13.200000000000001</v>
      </c>
    </row>
    <row r="99" spans="1:36" x14ac:dyDescent="0.3">
      <c r="A99" t="s">
        <v>425</v>
      </c>
      <c r="B99" s="3">
        <v>45430</v>
      </c>
      <c r="C99" s="3">
        <v>45433</v>
      </c>
      <c r="D99" s="3">
        <f t="shared" si="14"/>
        <v>45433</v>
      </c>
      <c r="E99" s="4">
        <f t="shared" si="13"/>
        <v>3</v>
      </c>
      <c r="F99" s="4">
        <f t="shared" si="15"/>
        <v>3</v>
      </c>
      <c r="G99" s="4">
        <f>IF(Table1[[#This Row],[CorrectedLeadTimeDays]]&lt;=7, 1, 0)</f>
        <v>1</v>
      </c>
      <c r="H99" s="4" t="str">
        <f t="shared" si="16"/>
        <v>May</v>
      </c>
      <c r="I99" s="4" t="str">
        <f t="shared" si="17"/>
        <v>Q2-2024</v>
      </c>
      <c r="J99" s="4" t="str">
        <f t="shared" si="18"/>
        <v>2023-01</v>
      </c>
      <c r="K99" s="3">
        <f t="shared" si="19"/>
        <v>44936</v>
      </c>
      <c r="L99" t="s">
        <v>649</v>
      </c>
      <c r="M99" t="s">
        <v>657</v>
      </c>
      <c r="N99" t="s">
        <v>673</v>
      </c>
      <c r="O99" t="s">
        <v>703</v>
      </c>
      <c r="P99" t="s">
        <v>709</v>
      </c>
      <c r="Q99" t="s">
        <v>726</v>
      </c>
      <c r="R99">
        <f t="shared" si="20"/>
        <v>16</v>
      </c>
      <c r="S99" t="s">
        <v>728</v>
      </c>
      <c r="T99" t="s">
        <v>1144</v>
      </c>
      <c r="U99" s="4">
        <v>663.66</v>
      </c>
      <c r="V99" s="4">
        <f>Table1[[#This Row],[UnitCost]]*(1+WhatIf!$B$3)</f>
        <v>696.84299999999996</v>
      </c>
      <c r="W99" s="4">
        <f t="shared" si="21"/>
        <v>7300.2599999999993</v>
      </c>
      <c r="X99" s="4">
        <f>Table1[[#This Row],[ScenarioRev]]-Table1[[#This Row],[ScenarioUnitCost]]</f>
        <v>7281.9938000000011</v>
      </c>
      <c r="Y99" s="4">
        <v>824.26</v>
      </c>
      <c r="Z99" s="4">
        <f t="shared" si="22"/>
        <v>6899.8804600000003</v>
      </c>
      <c r="AA99" s="4">
        <f>Table1[[#This Row],[ScenarioQuanity]]*Table1[[#This Row],[UnitPrice]]*(1-Table1[[#This Row],[ScenarioDiscPct]])</f>
        <v>7978.8368000000009</v>
      </c>
      <c r="AB99" s="4">
        <f t="shared" si="23"/>
        <v>-400.379539999999</v>
      </c>
      <c r="AC99" s="4">
        <f>Table1[[#This Row],[ScenarioRev]] - Table1[[#This Row],[ScenarioCostOfGoods]]</f>
        <v>696.84299999999985</v>
      </c>
      <c r="AD99" s="6">
        <v>0.23899999999999999</v>
      </c>
      <c r="AE99" s="6">
        <f>MIN(Table1[[#This Row],[DiscountPct]], WhatIf!$B$2)</f>
        <v>0.2</v>
      </c>
      <c r="AF99" s="6">
        <f>IF(Table1[[#This Row],[DiscountPct]]&gt;0.2, 1, 0)</f>
        <v>1</v>
      </c>
      <c r="AG99" s="6" t="str">
        <f t="shared" si="24"/>
        <v>High</v>
      </c>
      <c r="AH99" s="6">
        <f t="shared" si="25"/>
        <v>-5.8027025587048933E-2</v>
      </c>
      <c r="AI99" s="5">
        <v>11</v>
      </c>
      <c r="AJ99" s="6">
        <f>Table1[[#This Row],[Quantity]]*(1+WhatIf!$B$4)</f>
        <v>12.100000000000001</v>
      </c>
    </row>
    <row r="100" spans="1:36" x14ac:dyDescent="0.3">
      <c r="A100" t="s">
        <v>85</v>
      </c>
      <c r="B100" s="3">
        <v>45369</v>
      </c>
      <c r="C100" s="3">
        <v>45372</v>
      </c>
      <c r="D100" s="3">
        <f t="shared" si="14"/>
        <v>45372</v>
      </c>
      <c r="E100" s="4">
        <f t="shared" si="13"/>
        <v>3</v>
      </c>
      <c r="F100" s="4">
        <f t="shared" si="15"/>
        <v>3</v>
      </c>
      <c r="G100" s="4">
        <f>IF(Table1[[#This Row],[CorrectedLeadTimeDays]]&lt;=7, 1, 0)</f>
        <v>1</v>
      </c>
      <c r="H100" s="4" t="str">
        <f t="shared" si="16"/>
        <v>March</v>
      </c>
      <c r="I100" s="4" t="str">
        <f t="shared" si="17"/>
        <v>Q1-2024</v>
      </c>
      <c r="J100" s="4" t="str">
        <f t="shared" si="18"/>
        <v>2023-01</v>
      </c>
      <c r="K100" s="3">
        <f t="shared" si="19"/>
        <v>44948</v>
      </c>
      <c r="L100" t="s">
        <v>649</v>
      </c>
      <c r="M100" t="s">
        <v>656</v>
      </c>
      <c r="N100" t="s">
        <v>684</v>
      </c>
      <c r="O100" t="s">
        <v>705</v>
      </c>
      <c r="P100" t="s">
        <v>708</v>
      </c>
      <c r="Q100" t="s">
        <v>724</v>
      </c>
      <c r="R100">
        <f t="shared" si="20"/>
        <v>13</v>
      </c>
      <c r="S100" t="s">
        <v>733</v>
      </c>
      <c r="T100" t="s">
        <v>804</v>
      </c>
      <c r="U100" s="4">
        <v>910.63</v>
      </c>
      <c r="V100" s="4">
        <f>Table1[[#This Row],[UnitCost]]*(1+WhatIf!$B$3)</f>
        <v>956.16150000000005</v>
      </c>
      <c r="W100" s="4">
        <f t="shared" si="21"/>
        <v>8195.67</v>
      </c>
      <c r="X100" s="4">
        <f>Table1[[#This Row],[ScenarioRev]]-Table1[[#This Row],[ScenarioUnitCost]]</f>
        <v>10756.33842</v>
      </c>
      <c r="Y100" s="4">
        <v>1269.4000000000001</v>
      </c>
      <c r="Z100" s="4">
        <f t="shared" si="22"/>
        <v>10647.727199999999</v>
      </c>
      <c r="AA100" s="4">
        <f>Table1[[#This Row],[ScenarioQuanity]]*Table1[[#This Row],[UnitPrice]]*(1-Table1[[#This Row],[ScenarioDiscPct]])</f>
        <v>11712.49992</v>
      </c>
      <c r="AB100" s="4">
        <f t="shared" si="23"/>
        <v>2452.0571999999993</v>
      </c>
      <c r="AC100" s="4">
        <f>Table1[[#This Row],[ScenarioRev]] - Table1[[#This Row],[ScenarioCostOfGoods]]</f>
        <v>956.16150000000016</v>
      </c>
      <c r="AD100" s="6">
        <v>6.8000000000000005E-2</v>
      </c>
      <c r="AE100" s="6">
        <f>MIN(Table1[[#This Row],[DiscountPct]], WhatIf!$B$2)</f>
        <v>6.8000000000000005E-2</v>
      </c>
      <c r="AF100" s="6">
        <f>IF(Table1[[#This Row],[DiscountPct]]&gt;0.2, 1, 0)</f>
        <v>0</v>
      </c>
      <c r="AG100" s="6" t="str">
        <f t="shared" si="24"/>
        <v>High</v>
      </c>
      <c r="AH100" s="6">
        <f t="shared" si="25"/>
        <v>0.23028925834989455</v>
      </c>
      <c r="AI100" s="5">
        <v>9</v>
      </c>
      <c r="AJ100" s="6">
        <f>Table1[[#This Row],[Quantity]]*(1+WhatIf!$B$4)</f>
        <v>9.9</v>
      </c>
    </row>
    <row r="101" spans="1:36" x14ac:dyDescent="0.3">
      <c r="A101" t="s">
        <v>130</v>
      </c>
      <c r="B101" s="3">
        <v>44987</v>
      </c>
      <c r="C101" s="3">
        <v>44990</v>
      </c>
      <c r="D101" s="3">
        <f t="shared" si="14"/>
        <v>44990</v>
      </c>
      <c r="E101" s="4">
        <f t="shared" si="13"/>
        <v>3</v>
      </c>
      <c r="F101" s="4">
        <f t="shared" si="15"/>
        <v>3</v>
      </c>
      <c r="G101" s="4">
        <f>IF(Table1[[#This Row],[CorrectedLeadTimeDays]]&lt;=7, 1, 0)</f>
        <v>1</v>
      </c>
      <c r="H101" s="4" t="str">
        <f t="shared" si="16"/>
        <v>March</v>
      </c>
      <c r="I101" s="4" t="str">
        <f t="shared" si="17"/>
        <v>Q1-2023</v>
      </c>
      <c r="J101" s="4" t="str">
        <f t="shared" si="18"/>
        <v>2023-01</v>
      </c>
      <c r="K101" s="3">
        <f t="shared" si="19"/>
        <v>44955</v>
      </c>
      <c r="L101" t="s">
        <v>648</v>
      </c>
      <c r="M101" t="s">
        <v>655</v>
      </c>
      <c r="N101" t="s">
        <v>672</v>
      </c>
      <c r="O101" t="s">
        <v>706</v>
      </c>
      <c r="P101" t="s">
        <v>711</v>
      </c>
      <c r="Q101" t="s">
        <v>715</v>
      </c>
      <c r="R101">
        <f t="shared" si="20"/>
        <v>1</v>
      </c>
      <c r="S101" t="s">
        <v>732</v>
      </c>
      <c r="T101" t="s">
        <v>849</v>
      </c>
      <c r="U101" s="4">
        <v>1473.58</v>
      </c>
      <c r="V101" s="4">
        <f>Table1[[#This Row],[UnitCost]]*(1+WhatIf!$B$3)</f>
        <v>1547.259</v>
      </c>
      <c r="W101" s="4">
        <f t="shared" si="21"/>
        <v>11788.64</v>
      </c>
      <c r="X101" s="4">
        <f>Table1[[#This Row],[ScenarioRev]]-Table1[[#This Row],[ScenarioUnitCost]]</f>
        <v>25428.048392000004</v>
      </c>
      <c r="Y101" s="4">
        <v>3436.52</v>
      </c>
      <c r="Z101" s="4">
        <f t="shared" si="22"/>
        <v>24523.006720000001</v>
      </c>
      <c r="AA101" s="4">
        <f>Table1[[#This Row],[ScenarioQuanity]]*Table1[[#This Row],[UnitPrice]]*(1-Table1[[#This Row],[ScenarioDiscPct]])</f>
        <v>26975.307392000002</v>
      </c>
      <c r="AB101" s="4">
        <f t="shared" si="23"/>
        <v>12734.366720000002</v>
      </c>
      <c r="AC101" s="4">
        <f>Table1[[#This Row],[ScenarioRev]] - Table1[[#This Row],[ScenarioCostOfGoods]]</f>
        <v>1547.2589999999982</v>
      </c>
      <c r="AD101" s="6">
        <v>0.108</v>
      </c>
      <c r="AE101" s="6">
        <f>MIN(Table1[[#This Row],[DiscountPct]], WhatIf!$B$2)</f>
        <v>0.108</v>
      </c>
      <c r="AF101" s="6">
        <f>IF(Table1[[#This Row],[DiscountPct]]&gt;0.2, 1, 0)</f>
        <v>0</v>
      </c>
      <c r="AG101" s="6" t="str">
        <f t="shared" si="24"/>
        <v>High</v>
      </c>
      <c r="AH101" s="6">
        <f t="shared" si="25"/>
        <v>0.51928243813652564</v>
      </c>
      <c r="AI101" s="5">
        <v>8</v>
      </c>
      <c r="AJ101" s="6">
        <f>Table1[[#This Row],[Quantity]]*(1+WhatIf!$B$4)</f>
        <v>8.8000000000000007</v>
      </c>
    </row>
    <row r="102" spans="1:36" x14ac:dyDescent="0.3">
      <c r="A102" t="s">
        <v>512</v>
      </c>
      <c r="B102" s="3">
        <v>45224</v>
      </c>
      <c r="C102" s="3">
        <v>45227</v>
      </c>
      <c r="D102" s="3">
        <f t="shared" si="14"/>
        <v>45227</v>
      </c>
      <c r="E102" s="4">
        <f t="shared" si="13"/>
        <v>3</v>
      </c>
      <c r="F102" s="4">
        <f t="shared" si="15"/>
        <v>3</v>
      </c>
      <c r="G102" s="4">
        <f>IF(Table1[[#This Row],[CorrectedLeadTimeDays]]&lt;=7, 1, 0)</f>
        <v>1</v>
      </c>
      <c r="H102" s="4" t="str">
        <f t="shared" si="16"/>
        <v>October</v>
      </c>
      <c r="I102" s="4" t="str">
        <f t="shared" si="17"/>
        <v>Q4-2023</v>
      </c>
      <c r="J102" s="4" t="str">
        <f t="shared" si="18"/>
        <v>2023-01</v>
      </c>
      <c r="K102" s="3">
        <f t="shared" si="19"/>
        <v>44955</v>
      </c>
      <c r="L102" t="s">
        <v>648</v>
      </c>
      <c r="M102" t="s">
        <v>655</v>
      </c>
      <c r="N102" t="s">
        <v>672</v>
      </c>
      <c r="O102" t="s">
        <v>701</v>
      </c>
      <c r="P102" t="s">
        <v>710</v>
      </c>
      <c r="Q102" t="s">
        <v>716</v>
      </c>
      <c r="R102">
        <f t="shared" si="20"/>
        <v>8</v>
      </c>
      <c r="S102" t="s">
        <v>733</v>
      </c>
      <c r="T102" t="s">
        <v>1231</v>
      </c>
      <c r="U102" s="4">
        <v>509.31</v>
      </c>
      <c r="V102" s="4">
        <f>Table1[[#This Row],[UnitCost]]*(1+WhatIf!$B$3)</f>
        <v>534.77550000000008</v>
      </c>
      <c r="W102" s="4">
        <f t="shared" si="21"/>
        <v>4074.48</v>
      </c>
      <c r="X102" s="4">
        <f>Table1[[#This Row],[ScenarioRev]]-Table1[[#This Row],[ScenarioUnitCost]]</f>
        <v>8974.3610600000011</v>
      </c>
      <c r="Y102" s="4">
        <v>1145.9000000000001</v>
      </c>
      <c r="Z102" s="4">
        <f t="shared" si="22"/>
        <v>8644.6696000000011</v>
      </c>
      <c r="AA102" s="4">
        <f>Table1[[#This Row],[ScenarioQuanity]]*Table1[[#This Row],[UnitPrice]]*(1-Table1[[#This Row],[ScenarioDiscPct]])</f>
        <v>9509.1365600000008</v>
      </c>
      <c r="AB102" s="4">
        <f t="shared" si="23"/>
        <v>4570.1896000000015</v>
      </c>
      <c r="AC102" s="4">
        <f>Table1[[#This Row],[ScenarioRev]] - Table1[[#This Row],[ScenarioCostOfGoods]]</f>
        <v>534.77549999999974</v>
      </c>
      <c r="AD102" s="6">
        <v>5.7000000000000002E-2</v>
      </c>
      <c r="AE102" s="6">
        <f>MIN(Table1[[#This Row],[DiscountPct]], WhatIf!$B$2)</f>
        <v>5.7000000000000002E-2</v>
      </c>
      <c r="AF102" s="6">
        <f>IF(Table1[[#This Row],[DiscountPct]]&gt;0.2, 1, 0)</f>
        <v>0</v>
      </c>
      <c r="AG102" s="6" t="str">
        <f t="shared" si="24"/>
        <v>High</v>
      </c>
      <c r="AH102" s="6">
        <f t="shared" si="25"/>
        <v>0.52867140231709964</v>
      </c>
      <c r="AI102" s="5">
        <v>8</v>
      </c>
      <c r="AJ102" s="6">
        <f>Table1[[#This Row],[Quantity]]*(1+WhatIf!$B$4)</f>
        <v>8.8000000000000007</v>
      </c>
    </row>
    <row r="103" spans="1:36" x14ac:dyDescent="0.3">
      <c r="A103" t="s">
        <v>319</v>
      </c>
      <c r="B103" s="3">
        <v>45756</v>
      </c>
      <c r="C103" s="3">
        <v>45759</v>
      </c>
      <c r="D103" s="3">
        <f t="shared" si="14"/>
        <v>45759</v>
      </c>
      <c r="E103" s="4">
        <f t="shared" si="13"/>
        <v>3</v>
      </c>
      <c r="F103" s="4">
        <f t="shared" si="15"/>
        <v>3</v>
      </c>
      <c r="G103" s="4">
        <f>IF(Table1[[#This Row],[CorrectedLeadTimeDays]]&lt;=7, 1, 0)</f>
        <v>1</v>
      </c>
      <c r="H103" s="4" t="str">
        <f t="shared" si="16"/>
        <v>April</v>
      </c>
      <c r="I103" s="4" t="str">
        <f t="shared" si="17"/>
        <v>Q2-2025</v>
      </c>
      <c r="J103" s="4" t="str">
        <f t="shared" si="18"/>
        <v>2023-01</v>
      </c>
      <c r="K103" s="3">
        <f t="shared" si="19"/>
        <v>44936</v>
      </c>
      <c r="L103" t="s">
        <v>649</v>
      </c>
      <c r="M103" t="s">
        <v>657</v>
      </c>
      <c r="N103" t="s">
        <v>679</v>
      </c>
      <c r="O103" t="s">
        <v>705</v>
      </c>
      <c r="P103" t="s">
        <v>710</v>
      </c>
      <c r="Q103" t="s">
        <v>722</v>
      </c>
      <c r="R103">
        <f t="shared" si="20"/>
        <v>26</v>
      </c>
      <c r="S103" t="s">
        <v>732</v>
      </c>
      <c r="T103" t="s">
        <v>1039</v>
      </c>
      <c r="U103" s="4">
        <v>86.68</v>
      </c>
      <c r="V103" s="4">
        <f>Table1[[#This Row],[UnitCost]]*(1+WhatIf!$B$3)</f>
        <v>91.01400000000001</v>
      </c>
      <c r="W103" s="4">
        <f t="shared" si="21"/>
        <v>693.44</v>
      </c>
      <c r="X103" s="4">
        <f>Table1[[#This Row],[ScenarioRev]]-Table1[[#This Row],[ScenarioUnitCost]]</f>
        <v>1714.867792</v>
      </c>
      <c r="Y103" s="4">
        <v>213.32</v>
      </c>
      <c r="Z103" s="4">
        <f t="shared" si="22"/>
        <v>1641.7107199999998</v>
      </c>
      <c r="AA103" s="4">
        <f>Table1[[#This Row],[ScenarioQuanity]]*Table1[[#This Row],[UnitPrice]]*(1-Table1[[#This Row],[ScenarioDiscPct]])</f>
        <v>1805.8817920000001</v>
      </c>
      <c r="AB103" s="4">
        <f t="shared" si="23"/>
        <v>948.27071999999976</v>
      </c>
      <c r="AC103" s="4">
        <f>Table1[[#This Row],[ScenarioRev]] - Table1[[#This Row],[ScenarioCostOfGoods]]</f>
        <v>91.014000000000124</v>
      </c>
      <c r="AD103" s="6">
        <v>3.7999999999999999E-2</v>
      </c>
      <c r="AE103" s="6">
        <f>MIN(Table1[[#This Row],[DiscountPct]], WhatIf!$B$2)</f>
        <v>3.7999999999999999E-2</v>
      </c>
      <c r="AF103" s="6">
        <f>IF(Table1[[#This Row],[DiscountPct]]&gt;0.2, 1, 0)</f>
        <v>0</v>
      </c>
      <c r="AG103" s="6" t="str">
        <f t="shared" si="24"/>
        <v>Low</v>
      </c>
      <c r="AH103" s="6">
        <f t="shared" si="25"/>
        <v>0.57761133459614611</v>
      </c>
      <c r="AI103" s="5">
        <v>8</v>
      </c>
      <c r="AJ103" s="6">
        <f>Table1[[#This Row],[Quantity]]*(1+WhatIf!$B$4)</f>
        <v>8.8000000000000007</v>
      </c>
    </row>
    <row r="104" spans="1:36" x14ac:dyDescent="0.3">
      <c r="A104" t="s">
        <v>104</v>
      </c>
      <c r="B104" s="3">
        <v>45106</v>
      </c>
      <c r="C104" s="3">
        <v>45109</v>
      </c>
      <c r="D104" s="3">
        <f t="shared" si="14"/>
        <v>45109</v>
      </c>
      <c r="E104" s="4">
        <f t="shared" si="13"/>
        <v>3</v>
      </c>
      <c r="F104" s="4">
        <f t="shared" si="15"/>
        <v>3</v>
      </c>
      <c r="G104" s="4">
        <f>IF(Table1[[#This Row],[CorrectedLeadTimeDays]]&lt;=7, 1, 0)</f>
        <v>1</v>
      </c>
      <c r="H104" s="4" t="str">
        <f t="shared" si="16"/>
        <v>June</v>
      </c>
      <c r="I104" s="4" t="str">
        <f t="shared" si="17"/>
        <v>Q2-2023</v>
      </c>
      <c r="J104" s="4" t="str">
        <f t="shared" si="18"/>
        <v>2023-03</v>
      </c>
      <c r="K104" s="3">
        <f t="shared" si="19"/>
        <v>44988</v>
      </c>
      <c r="L104" t="s">
        <v>647</v>
      </c>
      <c r="M104" t="s">
        <v>652</v>
      </c>
      <c r="N104" t="s">
        <v>694</v>
      </c>
      <c r="O104" t="s">
        <v>702</v>
      </c>
      <c r="P104" t="s">
        <v>709</v>
      </c>
      <c r="Q104" t="s">
        <v>721</v>
      </c>
      <c r="R104">
        <f t="shared" si="20"/>
        <v>3</v>
      </c>
      <c r="S104" t="s">
        <v>732</v>
      </c>
      <c r="T104" t="s">
        <v>823</v>
      </c>
      <c r="U104" s="4">
        <v>55.65</v>
      </c>
      <c r="V104" s="4">
        <f>Table1[[#This Row],[UnitCost]]*(1+WhatIf!$B$3)</f>
        <v>58.432499999999997</v>
      </c>
      <c r="W104" s="4">
        <f t="shared" si="21"/>
        <v>445.2</v>
      </c>
      <c r="X104" s="4">
        <f>Table1[[#This Row],[ScenarioRev]]-Table1[[#This Row],[ScenarioUnitCost]]</f>
        <v>628.44604400000003</v>
      </c>
      <c r="Y104" s="4">
        <v>83.57</v>
      </c>
      <c r="Z104" s="4">
        <f t="shared" si="22"/>
        <v>624.43503999999996</v>
      </c>
      <c r="AA104" s="4">
        <f>Table1[[#This Row],[ScenarioQuanity]]*Table1[[#This Row],[UnitPrice]]*(1-Table1[[#This Row],[ScenarioDiscPct]])</f>
        <v>686.87854400000003</v>
      </c>
      <c r="AB104" s="4">
        <f t="shared" si="23"/>
        <v>179.23503999999997</v>
      </c>
      <c r="AC104" s="4">
        <f>Table1[[#This Row],[ScenarioRev]] - Table1[[#This Row],[ScenarioCostOfGoods]]</f>
        <v>58.432500000000005</v>
      </c>
      <c r="AD104" s="6">
        <v>6.6000000000000003E-2</v>
      </c>
      <c r="AE104" s="6">
        <f>MIN(Table1[[#This Row],[DiscountPct]], WhatIf!$B$2)</f>
        <v>6.6000000000000003E-2</v>
      </c>
      <c r="AF104" s="6">
        <f>IF(Table1[[#This Row],[DiscountPct]]&gt;0.2, 1, 0)</f>
        <v>0</v>
      </c>
      <c r="AG104" s="6" t="str">
        <f t="shared" si="24"/>
        <v>Low</v>
      </c>
      <c r="AH104" s="6">
        <f t="shared" si="25"/>
        <v>0.2870355257449998</v>
      </c>
      <c r="AI104" s="5">
        <v>8</v>
      </c>
      <c r="AJ104" s="6">
        <f>Table1[[#This Row],[Quantity]]*(1+WhatIf!$B$4)</f>
        <v>8.8000000000000007</v>
      </c>
    </row>
    <row r="105" spans="1:36" x14ac:dyDescent="0.3">
      <c r="A105" t="s">
        <v>20</v>
      </c>
      <c r="B105" s="3">
        <v>44928</v>
      </c>
      <c r="C105" s="3">
        <v>44931</v>
      </c>
      <c r="D105" s="3">
        <f t="shared" si="14"/>
        <v>44931</v>
      </c>
      <c r="E105" s="4">
        <f t="shared" si="13"/>
        <v>3</v>
      </c>
      <c r="F105" s="4">
        <f t="shared" si="15"/>
        <v>3</v>
      </c>
      <c r="G105" s="4">
        <f>IF(Table1[[#This Row],[CorrectedLeadTimeDays]]&lt;=7, 1, 0)</f>
        <v>1</v>
      </c>
      <c r="H105" s="4" t="str">
        <f t="shared" si="16"/>
        <v>January</v>
      </c>
      <c r="I105" s="4" t="str">
        <f t="shared" si="17"/>
        <v>Q1-2023</v>
      </c>
      <c r="J105" s="4" t="str">
        <f t="shared" si="18"/>
        <v>2023-01</v>
      </c>
      <c r="K105" s="3">
        <f t="shared" si="19"/>
        <v>44928</v>
      </c>
      <c r="L105" t="s">
        <v>648</v>
      </c>
      <c r="M105" t="s">
        <v>653</v>
      </c>
      <c r="N105" t="s">
        <v>667</v>
      </c>
      <c r="O105" t="s">
        <v>701</v>
      </c>
      <c r="P105" t="s">
        <v>710</v>
      </c>
      <c r="Q105" t="s">
        <v>717</v>
      </c>
      <c r="R105">
        <f t="shared" si="20"/>
        <v>0</v>
      </c>
      <c r="S105" t="s">
        <v>731</v>
      </c>
      <c r="T105" t="s">
        <v>739</v>
      </c>
      <c r="U105" s="4">
        <v>315.87</v>
      </c>
      <c r="V105" s="4">
        <f>Table1[[#This Row],[UnitCost]]*(1+WhatIf!$B$3)</f>
        <v>331.6635</v>
      </c>
      <c r="W105" s="4">
        <f t="shared" si="21"/>
        <v>2211.09</v>
      </c>
      <c r="X105" s="4">
        <f>Table1[[#This Row],[ScenarioRev]]-Table1[[#This Row],[ScenarioUnitCost]]</f>
        <v>4224.2725000000009</v>
      </c>
      <c r="Y105" s="4">
        <v>591.67999999999995</v>
      </c>
      <c r="Z105" s="4">
        <f t="shared" si="22"/>
        <v>4141.7599999999993</v>
      </c>
      <c r="AA105" s="4">
        <f>Table1[[#This Row],[ScenarioQuanity]]*Table1[[#This Row],[UnitPrice]]*(1-Table1[[#This Row],[ScenarioDiscPct]])</f>
        <v>4555.9360000000006</v>
      </c>
      <c r="AB105" s="4">
        <f t="shared" si="23"/>
        <v>1930.6699999999992</v>
      </c>
      <c r="AC105" s="4">
        <f>Table1[[#This Row],[ScenarioRev]] - Table1[[#This Row],[ScenarioCostOfGoods]]</f>
        <v>331.66349999999966</v>
      </c>
      <c r="AD105" s="6">
        <v>0</v>
      </c>
      <c r="AE105" s="6">
        <f>MIN(Table1[[#This Row],[DiscountPct]], WhatIf!$B$2)</f>
        <v>0</v>
      </c>
      <c r="AF105" s="6">
        <f>IF(Table1[[#This Row],[DiscountPct]]&gt;0.2, 1, 0)</f>
        <v>0</v>
      </c>
      <c r="AG105" s="6" t="str">
        <f t="shared" si="24"/>
        <v>Low</v>
      </c>
      <c r="AH105" s="6">
        <f t="shared" si="25"/>
        <v>0.46614724175229844</v>
      </c>
      <c r="AI105" s="5">
        <v>7</v>
      </c>
      <c r="AJ105" s="6">
        <f>Table1[[#This Row],[Quantity]]*(1+WhatIf!$B$4)</f>
        <v>7.7000000000000011</v>
      </c>
    </row>
    <row r="106" spans="1:36" x14ac:dyDescent="0.3">
      <c r="A106" t="s">
        <v>195</v>
      </c>
      <c r="B106" s="3">
        <v>45915</v>
      </c>
      <c r="C106" s="3">
        <v>45918</v>
      </c>
      <c r="D106" s="3">
        <f t="shared" si="14"/>
        <v>45918</v>
      </c>
      <c r="E106" s="4">
        <f t="shared" si="13"/>
        <v>3</v>
      </c>
      <c r="F106" s="4">
        <f t="shared" si="15"/>
        <v>3</v>
      </c>
      <c r="G106" s="4">
        <f>IF(Table1[[#This Row],[CorrectedLeadTimeDays]]&lt;=7, 1, 0)</f>
        <v>1</v>
      </c>
      <c r="H106" s="4" t="str">
        <f t="shared" si="16"/>
        <v>September</v>
      </c>
      <c r="I106" s="4" t="str">
        <f t="shared" si="17"/>
        <v>Q3-2025</v>
      </c>
      <c r="J106" s="4" t="str">
        <f t="shared" si="18"/>
        <v>2023-01</v>
      </c>
      <c r="K106" s="3">
        <f t="shared" si="19"/>
        <v>44955</v>
      </c>
      <c r="L106" t="s">
        <v>648</v>
      </c>
      <c r="M106" t="s">
        <v>655</v>
      </c>
      <c r="N106" t="s">
        <v>692</v>
      </c>
      <c r="O106" t="s">
        <v>703</v>
      </c>
      <c r="P106" t="s">
        <v>711</v>
      </c>
      <c r="Q106" t="s">
        <v>716</v>
      </c>
      <c r="R106">
        <f t="shared" si="20"/>
        <v>31</v>
      </c>
      <c r="S106" t="s">
        <v>733</v>
      </c>
      <c r="T106" t="s">
        <v>914</v>
      </c>
      <c r="U106" s="4">
        <v>5.5</v>
      </c>
      <c r="V106" s="4">
        <f>Table1[[#This Row],[UnitCost]]*(1+WhatIf!$B$3)</f>
        <v>5.7750000000000004</v>
      </c>
      <c r="W106" s="4">
        <f t="shared" si="21"/>
        <v>22</v>
      </c>
      <c r="X106" s="4">
        <f>Table1[[#This Row],[ScenarioRev]]-Table1[[#This Row],[ScenarioUnitCost]]</f>
        <v>15.063400000000003</v>
      </c>
      <c r="Y106" s="4">
        <v>5.92</v>
      </c>
      <c r="Z106" s="4">
        <f t="shared" si="22"/>
        <v>18.659839999999999</v>
      </c>
      <c r="AA106" s="4">
        <f>Table1[[#This Row],[ScenarioQuanity]]*Table1[[#This Row],[UnitPrice]]*(1-Table1[[#This Row],[ScenarioDiscPct]])</f>
        <v>20.838400000000004</v>
      </c>
      <c r="AB106" s="4">
        <f t="shared" si="23"/>
        <v>-3.3401600000000009</v>
      </c>
      <c r="AC106" s="4">
        <f>Table1[[#This Row],[ScenarioRev]] - Table1[[#This Row],[ScenarioCostOfGoods]]</f>
        <v>5.7750000000000004</v>
      </c>
      <c r="AD106" s="6">
        <v>0.21199999999999999</v>
      </c>
      <c r="AE106" s="6">
        <f>MIN(Table1[[#This Row],[DiscountPct]], WhatIf!$B$2)</f>
        <v>0.2</v>
      </c>
      <c r="AF106" s="6">
        <f>IF(Table1[[#This Row],[DiscountPct]]&gt;0.2, 1, 0)</f>
        <v>1</v>
      </c>
      <c r="AG106" s="6" t="str">
        <f t="shared" si="24"/>
        <v>Low</v>
      </c>
      <c r="AH106" s="6">
        <f t="shared" si="25"/>
        <v>-0.17900260666758133</v>
      </c>
      <c r="AI106" s="5">
        <v>4</v>
      </c>
      <c r="AJ106" s="6">
        <f>Table1[[#This Row],[Quantity]]*(1+WhatIf!$B$4)</f>
        <v>4.4000000000000004</v>
      </c>
    </row>
    <row r="107" spans="1:36" x14ac:dyDescent="0.3">
      <c r="A107" t="s">
        <v>495</v>
      </c>
      <c r="B107" s="3">
        <v>45538</v>
      </c>
      <c r="C107" s="3">
        <v>45542</v>
      </c>
      <c r="D107" s="3">
        <f t="shared" si="14"/>
        <v>45542</v>
      </c>
      <c r="E107" s="4">
        <f t="shared" si="13"/>
        <v>4</v>
      </c>
      <c r="F107" s="4">
        <f t="shared" si="15"/>
        <v>4</v>
      </c>
      <c r="G107" s="4">
        <f>IF(Table1[[#This Row],[CorrectedLeadTimeDays]]&lt;=7, 1, 0)</f>
        <v>1</v>
      </c>
      <c r="H107" s="4" t="str">
        <f t="shared" si="16"/>
        <v>September</v>
      </c>
      <c r="I107" s="4" t="str">
        <f t="shared" si="17"/>
        <v>Q3-2024</v>
      </c>
      <c r="J107" s="4" t="str">
        <f t="shared" si="18"/>
        <v>2023-03</v>
      </c>
      <c r="K107" s="3">
        <f t="shared" si="19"/>
        <v>44988</v>
      </c>
      <c r="L107" t="s">
        <v>647</v>
      </c>
      <c r="M107" t="s">
        <v>652</v>
      </c>
      <c r="N107" t="s">
        <v>689</v>
      </c>
      <c r="O107" t="s">
        <v>705</v>
      </c>
      <c r="P107" t="s">
        <v>710</v>
      </c>
      <c r="Q107" t="s">
        <v>725</v>
      </c>
      <c r="R107">
        <f t="shared" si="20"/>
        <v>18</v>
      </c>
      <c r="S107" t="s">
        <v>728</v>
      </c>
      <c r="T107" t="s">
        <v>1214</v>
      </c>
      <c r="U107" s="4">
        <v>43.23</v>
      </c>
      <c r="V107" s="4">
        <f>Table1[[#This Row],[UnitCost]]*(1+WhatIf!$B$3)</f>
        <v>45.391500000000001</v>
      </c>
      <c r="W107" s="4">
        <f t="shared" si="21"/>
        <v>2377.6499999999996</v>
      </c>
      <c r="X107" s="4">
        <f>Table1[[#This Row],[ScenarioRev]]-Table1[[#This Row],[ScenarioUnitCost]]</f>
        <v>5166.9872100000011</v>
      </c>
      <c r="Y107" s="4">
        <v>94.78</v>
      </c>
      <c r="Z107" s="4">
        <f t="shared" si="22"/>
        <v>4738.5261</v>
      </c>
      <c r="AA107" s="4">
        <f>Table1[[#This Row],[ScenarioQuanity]]*Table1[[#This Row],[UnitPrice]]*(1-Table1[[#This Row],[ScenarioDiscPct]])</f>
        <v>5212.3787100000009</v>
      </c>
      <c r="AB107" s="4">
        <f t="shared" si="23"/>
        <v>2360.8761000000004</v>
      </c>
      <c r="AC107" s="4">
        <f>Table1[[#This Row],[ScenarioRev]] - Table1[[#This Row],[ScenarioCostOfGoods]]</f>
        <v>45.391499999999724</v>
      </c>
      <c r="AD107" s="6">
        <v>9.0999999999999998E-2</v>
      </c>
      <c r="AE107" s="6">
        <f>MIN(Table1[[#This Row],[DiscountPct]], WhatIf!$B$2)</f>
        <v>9.0999999999999998E-2</v>
      </c>
      <c r="AF107" s="6">
        <f>IF(Table1[[#This Row],[DiscountPct]]&gt;0.2, 1, 0)</f>
        <v>0</v>
      </c>
      <c r="AG107" s="6" t="str">
        <f t="shared" si="24"/>
        <v>Low</v>
      </c>
      <c r="AH107" s="6">
        <f t="shared" si="25"/>
        <v>0.49823005090127082</v>
      </c>
      <c r="AI107" s="5">
        <v>55</v>
      </c>
      <c r="AJ107" s="6">
        <f>Table1[[#This Row],[Quantity]]*(1+WhatIf!$B$4)</f>
        <v>60.500000000000007</v>
      </c>
    </row>
    <row r="108" spans="1:36" x14ac:dyDescent="0.3">
      <c r="A108" t="s">
        <v>519</v>
      </c>
      <c r="B108" s="3">
        <v>45387</v>
      </c>
      <c r="C108" s="3">
        <v>45391</v>
      </c>
      <c r="D108" s="3">
        <f t="shared" si="14"/>
        <v>45391</v>
      </c>
      <c r="E108" s="4">
        <f t="shared" si="13"/>
        <v>4</v>
      </c>
      <c r="F108" s="4">
        <f t="shared" si="15"/>
        <v>4</v>
      </c>
      <c r="G108" s="4">
        <f>IF(Table1[[#This Row],[CorrectedLeadTimeDays]]&lt;=7, 1, 0)</f>
        <v>1</v>
      </c>
      <c r="H108" s="4" t="str">
        <f t="shared" si="16"/>
        <v>April</v>
      </c>
      <c r="I108" s="4" t="str">
        <f t="shared" si="17"/>
        <v>Q2-2024</v>
      </c>
      <c r="J108" s="4" t="str">
        <f t="shared" si="18"/>
        <v>2023-01</v>
      </c>
      <c r="K108" s="3">
        <f t="shared" si="19"/>
        <v>44941</v>
      </c>
      <c r="L108" t="s">
        <v>646</v>
      </c>
      <c r="M108" t="s">
        <v>651</v>
      </c>
      <c r="N108" t="s">
        <v>665</v>
      </c>
      <c r="O108" t="s">
        <v>703</v>
      </c>
      <c r="P108" t="s">
        <v>711</v>
      </c>
      <c r="Q108" t="s">
        <v>723</v>
      </c>
      <c r="R108">
        <f t="shared" si="20"/>
        <v>14</v>
      </c>
      <c r="S108" t="s">
        <v>727</v>
      </c>
      <c r="T108" t="s">
        <v>1238</v>
      </c>
      <c r="U108" s="4">
        <v>395.07</v>
      </c>
      <c r="V108" s="4">
        <f>Table1[[#This Row],[UnitCost]]*(1+WhatIf!$B$3)</f>
        <v>414.82350000000002</v>
      </c>
      <c r="W108" s="4">
        <f t="shared" si="21"/>
        <v>15012.66</v>
      </c>
      <c r="X108" s="4">
        <f>Table1[[#This Row],[ScenarioRev]]-Table1[[#This Row],[ScenarioUnitCost]]</f>
        <v>35153.916322000005</v>
      </c>
      <c r="Y108" s="4">
        <v>970.27</v>
      </c>
      <c r="Z108" s="4">
        <f t="shared" si="22"/>
        <v>32335.21802</v>
      </c>
      <c r="AA108" s="4">
        <f>Table1[[#This Row],[ScenarioQuanity]]*Table1[[#This Row],[UnitPrice]]*(1-Table1[[#This Row],[ScenarioDiscPct]])</f>
        <v>35568.739822000003</v>
      </c>
      <c r="AB108" s="4">
        <f t="shared" si="23"/>
        <v>17322.55802</v>
      </c>
      <c r="AC108" s="4">
        <f>Table1[[#This Row],[ScenarioRev]] - Table1[[#This Row],[ScenarioCostOfGoods]]</f>
        <v>414.8234999999986</v>
      </c>
      <c r="AD108" s="6">
        <v>0.123</v>
      </c>
      <c r="AE108" s="6">
        <f>MIN(Table1[[#This Row],[DiscountPct]], WhatIf!$B$2)</f>
        <v>0.123</v>
      </c>
      <c r="AF108" s="6">
        <f>IF(Table1[[#This Row],[DiscountPct]]&gt;0.2, 1, 0)</f>
        <v>0</v>
      </c>
      <c r="AG108" s="6" t="str">
        <f t="shared" si="24"/>
        <v>High</v>
      </c>
      <c r="AH108" s="6">
        <f t="shared" si="25"/>
        <v>0.53571799049833657</v>
      </c>
      <c r="AI108" s="5">
        <v>38</v>
      </c>
      <c r="AJ108" s="6">
        <f>Table1[[#This Row],[Quantity]]*(1+WhatIf!$B$4)</f>
        <v>41.800000000000004</v>
      </c>
    </row>
    <row r="109" spans="1:36" x14ac:dyDescent="0.3">
      <c r="A109" t="s">
        <v>553</v>
      </c>
      <c r="B109" s="3">
        <v>45288</v>
      </c>
      <c r="C109" s="3">
        <v>45292</v>
      </c>
      <c r="D109" s="3">
        <f t="shared" si="14"/>
        <v>45292</v>
      </c>
      <c r="E109" s="4">
        <f t="shared" si="13"/>
        <v>4</v>
      </c>
      <c r="F109" s="4">
        <f t="shared" si="15"/>
        <v>4</v>
      </c>
      <c r="G109" s="4">
        <f>IF(Table1[[#This Row],[CorrectedLeadTimeDays]]&lt;=7, 1, 0)</f>
        <v>1</v>
      </c>
      <c r="H109" s="4" t="str">
        <f t="shared" si="16"/>
        <v>December</v>
      </c>
      <c r="I109" s="4" t="str">
        <f t="shared" si="17"/>
        <v>Q4-2023</v>
      </c>
      <c r="J109" s="4" t="str">
        <f t="shared" si="18"/>
        <v>2023-01</v>
      </c>
      <c r="K109" s="3">
        <f t="shared" si="19"/>
        <v>44933</v>
      </c>
      <c r="L109" t="s">
        <v>646</v>
      </c>
      <c r="M109" t="s">
        <v>661</v>
      </c>
      <c r="N109" t="s">
        <v>695</v>
      </c>
      <c r="O109" t="s">
        <v>702</v>
      </c>
      <c r="P109" t="s">
        <v>710</v>
      </c>
      <c r="Q109" t="s">
        <v>720</v>
      </c>
      <c r="R109">
        <f t="shared" si="20"/>
        <v>11</v>
      </c>
      <c r="S109" t="s">
        <v>728</v>
      </c>
      <c r="T109" t="s">
        <v>1271</v>
      </c>
      <c r="U109" s="4">
        <v>1141.8</v>
      </c>
      <c r="V109" s="4">
        <f>Table1[[#This Row],[UnitCost]]*(1+WhatIf!$B$3)</f>
        <v>1198.8900000000001</v>
      </c>
      <c r="W109" s="4">
        <f t="shared" si="21"/>
        <v>36537.599999999999</v>
      </c>
      <c r="X109" s="4">
        <f>Table1[[#This Row],[ScenarioRev]]-Table1[[#This Row],[ScenarioUnitCost]]</f>
        <v>71687.455664000008</v>
      </c>
      <c r="Y109" s="4">
        <v>2318.7399999999998</v>
      </c>
      <c r="Z109" s="4">
        <f t="shared" si="22"/>
        <v>66260.314239999992</v>
      </c>
      <c r="AA109" s="4">
        <f>Table1[[#This Row],[ScenarioQuanity]]*Table1[[#This Row],[UnitPrice]]*(1-Table1[[#This Row],[ScenarioDiscPct]])</f>
        <v>72886.345664000008</v>
      </c>
      <c r="AB109" s="4">
        <f t="shared" si="23"/>
        <v>29722.714239999994</v>
      </c>
      <c r="AC109" s="4">
        <f>Table1[[#This Row],[ScenarioRev]] - Table1[[#This Row],[ScenarioCostOfGoods]]</f>
        <v>1198.8899999999994</v>
      </c>
      <c r="AD109" s="6">
        <v>0.107</v>
      </c>
      <c r="AE109" s="6">
        <f>MIN(Table1[[#This Row],[DiscountPct]], WhatIf!$B$2)</f>
        <v>0.107</v>
      </c>
      <c r="AF109" s="6">
        <f>IF(Table1[[#This Row],[DiscountPct]]&gt;0.2, 1, 0)</f>
        <v>0</v>
      </c>
      <c r="AG109" s="6" t="str">
        <f t="shared" si="24"/>
        <v>High</v>
      </c>
      <c r="AH109" s="6">
        <f t="shared" si="25"/>
        <v>0.44857490612468304</v>
      </c>
      <c r="AI109" s="5">
        <v>32</v>
      </c>
      <c r="AJ109" s="6">
        <f>Table1[[#This Row],[Quantity]]*(1+WhatIf!$B$4)</f>
        <v>35.200000000000003</v>
      </c>
    </row>
    <row r="110" spans="1:36" x14ac:dyDescent="0.3">
      <c r="A110" t="s">
        <v>511</v>
      </c>
      <c r="B110" s="3">
        <v>45544</v>
      </c>
      <c r="C110" s="3">
        <v>45548</v>
      </c>
      <c r="D110" s="3">
        <f t="shared" si="14"/>
        <v>45548</v>
      </c>
      <c r="E110" s="4">
        <f t="shared" si="13"/>
        <v>4</v>
      </c>
      <c r="F110" s="4">
        <f t="shared" si="15"/>
        <v>4</v>
      </c>
      <c r="G110" s="4">
        <f>IF(Table1[[#This Row],[CorrectedLeadTimeDays]]&lt;=7, 1, 0)</f>
        <v>1</v>
      </c>
      <c r="H110" s="4" t="str">
        <f t="shared" si="16"/>
        <v>September</v>
      </c>
      <c r="I110" s="4" t="str">
        <f t="shared" si="17"/>
        <v>Q3-2024</v>
      </c>
      <c r="J110" s="4" t="str">
        <f t="shared" si="18"/>
        <v>2023-01</v>
      </c>
      <c r="K110" s="3">
        <f t="shared" si="19"/>
        <v>44945</v>
      </c>
      <c r="L110" t="s">
        <v>649</v>
      </c>
      <c r="M110" t="s">
        <v>658</v>
      </c>
      <c r="N110" t="s">
        <v>683</v>
      </c>
      <c r="O110" t="s">
        <v>704</v>
      </c>
      <c r="P110" t="s">
        <v>709</v>
      </c>
      <c r="Q110" t="s">
        <v>721</v>
      </c>
      <c r="R110">
        <f t="shared" si="20"/>
        <v>19</v>
      </c>
      <c r="S110" t="s">
        <v>729</v>
      </c>
      <c r="T110" t="s">
        <v>1230</v>
      </c>
      <c r="U110" s="4">
        <v>1133.08</v>
      </c>
      <c r="V110" s="4">
        <f>Table1[[#This Row],[UnitCost]]*(1+WhatIf!$B$3)</f>
        <v>1189.7339999999999</v>
      </c>
      <c r="W110" s="4">
        <f t="shared" si="21"/>
        <v>30593.159999999996</v>
      </c>
      <c r="X110" s="4">
        <f>Table1[[#This Row],[ScenarioRev]]-Table1[[#This Row],[ScenarioUnitCost]]</f>
        <v>26584.840541999998</v>
      </c>
      <c r="Y110" s="4">
        <v>976.17</v>
      </c>
      <c r="Z110" s="4">
        <f t="shared" si="22"/>
        <v>25249.613219999999</v>
      </c>
      <c r="AA110" s="4">
        <f>Table1[[#This Row],[ScenarioQuanity]]*Table1[[#This Row],[UnitPrice]]*(1-Table1[[#This Row],[ScenarioDiscPct]])</f>
        <v>27774.574541999998</v>
      </c>
      <c r="AB110" s="4">
        <f t="shared" si="23"/>
        <v>-5343.5467799999969</v>
      </c>
      <c r="AC110" s="4">
        <f>Table1[[#This Row],[ScenarioRev]] - Table1[[#This Row],[ScenarioCostOfGoods]]</f>
        <v>1189.7340000000004</v>
      </c>
      <c r="AD110" s="6">
        <v>4.2000000000000003E-2</v>
      </c>
      <c r="AE110" s="6">
        <f>MIN(Table1[[#This Row],[DiscountPct]], WhatIf!$B$2)</f>
        <v>4.2000000000000003E-2</v>
      </c>
      <c r="AF110" s="6">
        <f>IF(Table1[[#This Row],[DiscountPct]]&gt;0.2, 1, 0)</f>
        <v>0</v>
      </c>
      <c r="AG110" s="6" t="str">
        <f t="shared" si="24"/>
        <v>High</v>
      </c>
      <c r="AH110" s="6">
        <f t="shared" si="25"/>
        <v>-0.21162885678452373</v>
      </c>
      <c r="AI110" s="5">
        <v>27</v>
      </c>
      <c r="AJ110" s="6">
        <f>Table1[[#This Row],[Quantity]]*(1+WhatIf!$B$4)</f>
        <v>29.700000000000003</v>
      </c>
    </row>
    <row r="111" spans="1:36" x14ac:dyDescent="0.3">
      <c r="A111" t="s">
        <v>574</v>
      </c>
      <c r="B111" s="3">
        <v>45299</v>
      </c>
      <c r="C111" s="3">
        <v>45303</v>
      </c>
      <c r="D111" s="3">
        <f t="shared" si="14"/>
        <v>45303</v>
      </c>
      <c r="E111" s="4">
        <f t="shared" si="13"/>
        <v>4</v>
      </c>
      <c r="F111" s="4">
        <f t="shared" si="15"/>
        <v>4</v>
      </c>
      <c r="G111" s="4">
        <f>IF(Table1[[#This Row],[CorrectedLeadTimeDays]]&lt;=7, 1, 0)</f>
        <v>1</v>
      </c>
      <c r="H111" s="4" t="str">
        <f t="shared" si="16"/>
        <v>January</v>
      </c>
      <c r="I111" s="4" t="str">
        <f t="shared" si="17"/>
        <v>Q1-2024</v>
      </c>
      <c r="J111" s="4" t="str">
        <f t="shared" si="18"/>
        <v>2023-01</v>
      </c>
      <c r="K111" s="3">
        <f t="shared" si="19"/>
        <v>44955</v>
      </c>
      <c r="L111" t="s">
        <v>647</v>
      </c>
      <c r="M111" t="s">
        <v>654</v>
      </c>
      <c r="N111" t="s">
        <v>668</v>
      </c>
      <c r="O111" t="s">
        <v>701</v>
      </c>
      <c r="P111" t="s">
        <v>711</v>
      </c>
      <c r="Q111" t="s">
        <v>718</v>
      </c>
      <c r="R111">
        <f t="shared" si="20"/>
        <v>11</v>
      </c>
      <c r="S111" t="s">
        <v>728</v>
      </c>
      <c r="T111" t="s">
        <v>1292</v>
      </c>
      <c r="U111" s="4">
        <v>802.32</v>
      </c>
      <c r="V111" s="4">
        <f>Table1[[#This Row],[UnitCost]]*(1+WhatIf!$B$3)</f>
        <v>842.43600000000004</v>
      </c>
      <c r="W111" s="4">
        <f t="shared" si="21"/>
        <v>20058</v>
      </c>
      <c r="X111" s="4">
        <f>Table1[[#This Row],[ScenarioRev]]-Table1[[#This Row],[ScenarioUnitCost]]</f>
        <v>13734.192000000003</v>
      </c>
      <c r="Y111" s="4">
        <v>602.34</v>
      </c>
      <c r="Z111" s="4">
        <f t="shared" si="22"/>
        <v>13251.48</v>
      </c>
      <c r="AA111" s="4">
        <f>Table1[[#This Row],[ScenarioQuanity]]*Table1[[#This Row],[UnitPrice]]*(1-Table1[[#This Row],[ScenarioDiscPct]])</f>
        <v>14576.628000000002</v>
      </c>
      <c r="AB111" s="4">
        <f t="shared" si="23"/>
        <v>-6806.52</v>
      </c>
      <c r="AC111" s="4">
        <f>Table1[[#This Row],[ScenarioRev]] - Table1[[#This Row],[ScenarioCostOfGoods]]</f>
        <v>842.43599999999969</v>
      </c>
      <c r="AD111" s="6">
        <v>0.12</v>
      </c>
      <c r="AE111" s="6">
        <f>MIN(Table1[[#This Row],[DiscountPct]], WhatIf!$B$2)</f>
        <v>0.12</v>
      </c>
      <c r="AF111" s="6">
        <f>IF(Table1[[#This Row],[DiscountPct]]&gt;0.2, 1, 0)</f>
        <v>0</v>
      </c>
      <c r="AG111" s="6" t="str">
        <f t="shared" si="24"/>
        <v>Low</v>
      </c>
      <c r="AH111" s="6">
        <f t="shared" si="25"/>
        <v>-0.51364224977134632</v>
      </c>
      <c r="AI111" s="5">
        <v>25</v>
      </c>
      <c r="AJ111" s="6">
        <f>Table1[[#This Row],[Quantity]]*(1+WhatIf!$B$4)</f>
        <v>27.500000000000004</v>
      </c>
    </row>
    <row r="112" spans="1:36" x14ac:dyDescent="0.3">
      <c r="A112" t="s">
        <v>316</v>
      </c>
      <c r="B112" s="3">
        <v>45125</v>
      </c>
      <c r="C112" s="3">
        <v>45129</v>
      </c>
      <c r="D112" s="3">
        <f t="shared" si="14"/>
        <v>45129</v>
      </c>
      <c r="E112" s="4">
        <f t="shared" si="13"/>
        <v>4</v>
      </c>
      <c r="F112" s="4">
        <f t="shared" si="15"/>
        <v>4</v>
      </c>
      <c r="G112" s="4">
        <f>IF(Table1[[#This Row],[CorrectedLeadTimeDays]]&lt;=7, 1, 0)</f>
        <v>1</v>
      </c>
      <c r="H112" s="4" t="str">
        <f t="shared" si="16"/>
        <v>July</v>
      </c>
      <c r="I112" s="4" t="str">
        <f t="shared" si="17"/>
        <v>Q3-2023</v>
      </c>
      <c r="J112" s="4" t="str">
        <f t="shared" si="18"/>
        <v>2023-01</v>
      </c>
      <c r="K112" s="3">
        <f t="shared" si="19"/>
        <v>44955</v>
      </c>
      <c r="L112" t="s">
        <v>648</v>
      </c>
      <c r="M112" t="s">
        <v>655</v>
      </c>
      <c r="N112" t="s">
        <v>670</v>
      </c>
      <c r="O112" t="s">
        <v>704</v>
      </c>
      <c r="P112" t="s">
        <v>711</v>
      </c>
      <c r="Q112" t="s">
        <v>721</v>
      </c>
      <c r="R112">
        <f t="shared" si="20"/>
        <v>5</v>
      </c>
      <c r="S112" t="s">
        <v>729</v>
      </c>
      <c r="T112" t="s">
        <v>1036</v>
      </c>
      <c r="U112" s="4">
        <v>1269.55</v>
      </c>
      <c r="V112" s="4">
        <f>Table1[[#This Row],[UnitCost]]*(1+WhatIf!$B$3)</f>
        <v>1333.0274999999999</v>
      </c>
      <c r="W112" s="4">
        <f t="shared" si="21"/>
        <v>27930.1</v>
      </c>
      <c r="X112" s="4">
        <f>Table1[[#This Row],[ScenarioRev]]-Table1[[#This Row],[ScenarioUnitCost]]</f>
        <v>42322.032520000008</v>
      </c>
      <c r="Y112" s="4">
        <v>2071.1</v>
      </c>
      <c r="Z112" s="4">
        <f t="shared" si="22"/>
        <v>39686.4182</v>
      </c>
      <c r="AA112" s="4">
        <f>Table1[[#This Row],[ScenarioQuanity]]*Table1[[#This Row],[UnitPrice]]*(1-Table1[[#This Row],[ScenarioDiscPct]])</f>
        <v>43655.060020000004</v>
      </c>
      <c r="AB112" s="4">
        <f t="shared" si="23"/>
        <v>11756.318200000002</v>
      </c>
      <c r="AC112" s="4">
        <f>Table1[[#This Row],[ScenarioRev]] - Table1[[#This Row],[ScenarioCostOfGoods]]</f>
        <v>1333.0274999999965</v>
      </c>
      <c r="AD112" s="6">
        <v>0.129</v>
      </c>
      <c r="AE112" s="6">
        <f>MIN(Table1[[#This Row],[DiscountPct]], WhatIf!$B$2)</f>
        <v>0.129</v>
      </c>
      <c r="AF112" s="6">
        <f>IF(Table1[[#This Row],[DiscountPct]]&gt;0.2, 1, 0)</f>
        <v>0</v>
      </c>
      <c r="AG112" s="6" t="str">
        <f t="shared" si="24"/>
        <v>High</v>
      </c>
      <c r="AH112" s="6">
        <f t="shared" si="25"/>
        <v>0.29623026549672354</v>
      </c>
      <c r="AI112" s="5">
        <v>22</v>
      </c>
      <c r="AJ112" s="6">
        <f>Table1[[#This Row],[Quantity]]*(1+WhatIf!$B$4)</f>
        <v>24.200000000000003</v>
      </c>
    </row>
    <row r="113" spans="1:36" x14ac:dyDescent="0.3">
      <c r="A113" t="s">
        <v>18</v>
      </c>
      <c r="B113" s="3">
        <v>45745</v>
      </c>
      <c r="C113" s="3">
        <v>45749</v>
      </c>
      <c r="D113" s="3">
        <f t="shared" si="14"/>
        <v>45749</v>
      </c>
      <c r="E113" s="4">
        <f t="shared" si="13"/>
        <v>4</v>
      </c>
      <c r="F113" s="4">
        <f t="shared" si="15"/>
        <v>4</v>
      </c>
      <c r="G113" s="4">
        <f>IF(Table1[[#This Row],[CorrectedLeadTimeDays]]&lt;=7, 1, 0)</f>
        <v>1</v>
      </c>
      <c r="H113" s="4" t="str">
        <f t="shared" si="16"/>
        <v>March</v>
      </c>
      <c r="I113" s="4" t="str">
        <f t="shared" si="17"/>
        <v>Q1-2025</v>
      </c>
      <c r="J113" s="4" t="str">
        <f t="shared" si="18"/>
        <v>2023-01</v>
      </c>
      <c r="K113" s="3">
        <f t="shared" si="19"/>
        <v>44941</v>
      </c>
      <c r="L113" t="s">
        <v>646</v>
      </c>
      <c r="M113" t="s">
        <v>651</v>
      </c>
      <c r="N113" t="s">
        <v>665</v>
      </c>
      <c r="O113" t="s">
        <v>703</v>
      </c>
      <c r="P113" t="s">
        <v>709</v>
      </c>
      <c r="Q113" t="s">
        <v>715</v>
      </c>
      <c r="R113">
        <f t="shared" si="20"/>
        <v>26</v>
      </c>
      <c r="S113" t="s">
        <v>730</v>
      </c>
      <c r="T113" t="s">
        <v>737</v>
      </c>
      <c r="U113" s="4">
        <v>259.93</v>
      </c>
      <c r="V113" s="4">
        <f>Table1[[#This Row],[UnitCost]]*(1+WhatIf!$B$3)</f>
        <v>272.92650000000003</v>
      </c>
      <c r="W113" s="4">
        <f t="shared" si="21"/>
        <v>5718.46</v>
      </c>
      <c r="X113" s="4">
        <f>Table1[[#This Row],[ScenarioRev]]-Table1[[#This Row],[ScenarioUnitCost]]</f>
        <v>5474.8716440000007</v>
      </c>
      <c r="Y113" s="4">
        <v>255.94</v>
      </c>
      <c r="Z113" s="4">
        <f t="shared" si="22"/>
        <v>5225.2710400000005</v>
      </c>
      <c r="AA113" s="4">
        <f>Table1[[#This Row],[ScenarioQuanity]]*Table1[[#This Row],[UnitPrice]]*(1-Table1[[#This Row],[ScenarioDiscPct]])</f>
        <v>5747.7981440000003</v>
      </c>
      <c r="AB113" s="4">
        <f t="shared" si="23"/>
        <v>-493.1889599999995</v>
      </c>
      <c r="AC113" s="4">
        <f>Table1[[#This Row],[ScenarioRev]] - Table1[[#This Row],[ScenarioCostOfGoods]]</f>
        <v>272.92649999999958</v>
      </c>
      <c r="AD113" s="6">
        <v>7.1999999999999995E-2</v>
      </c>
      <c r="AE113" s="6">
        <f>MIN(Table1[[#This Row],[DiscountPct]], WhatIf!$B$2)</f>
        <v>7.1999999999999995E-2</v>
      </c>
      <c r="AF113" s="6">
        <f>IF(Table1[[#This Row],[DiscountPct]]&gt;0.2, 1, 0)</f>
        <v>0</v>
      </c>
      <c r="AG113" s="6" t="str">
        <f t="shared" si="24"/>
        <v>Low</v>
      </c>
      <c r="AH113" s="6">
        <f t="shared" si="25"/>
        <v>-9.4385335463861311E-2</v>
      </c>
      <c r="AI113" s="5">
        <v>22</v>
      </c>
      <c r="AJ113" s="6">
        <f>Table1[[#This Row],[Quantity]]*(1+WhatIf!$B$4)</f>
        <v>24.200000000000003</v>
      </c>
    </row>
    <row r="114" spans="1:36" x14ac:dyDescent="0.3">
      <c r="A114" t="s">
        <v>147</v>
      </c>
      <c r="B114" s="3">
        <v>44953</v>
      </c>
      <c r="C114" s="3">
        <v>44957</v>
      </c>
      <c r="D114" s="3">
        <f t="shared" si="14"/>
        <v>44957</v>
      </c>
      <c r="E114" s="4">
        <f t="shared" si="13"/>
        <v>4</v>
      </c>
      <c r="F114" s="4">
        <f t="shared" si="15"/>
        <v>4</v>
      </c>
      <c r="G114" s="4">
        <f>IF(Table1[[#This Row],[CorrectedLeadTimeDays]]&lt;=7, 1, 0)</f>
        <v>1</v>
      </c>
      <c r="H114" s="4" t="str">
        <f t="shared" si="16"/>
        <v>January</v>
      </c>
      <c r="I114" s="4" t="str">
        <f t="shared" si="17"/>
        <v>Q1-2023</v>
      </c>
      <c r="J114" s="4" t="str">
        <f t="shared" si="18"/>
        <v>2023-01</v>
      </c>
      <c r="K114" s="3">
        <f t="shared" si="19"/>
        <v>44945</v>
      </c>
      <c r="L114" t="s">
        <v>649</v>
      </c>
      <c r="M114" t="s">
        <v>658</v>
      </c>
      <c r="N114" t="s">
        <v>693</v>
      </c>
      <c r="O114" t="s">
        <v>706</v>
      </c>
      <c r="P114" t="s">
        <v>708</v>
      </c>
      <c r="Q114" t="s">
        <v>725</v>
      </c>
      <c r="R114">
        <f t="shared" si="20"/>
        <v>0</v>
      </c>
      <c r="S114" t="s">
        <v>731</v>
      </c>
      <c r="T114" t="s">
        <v>866</v>
      </c>
      <c r="U114" s="4">
        <v>941.2</v>
      </c>
      <c r="V114" s="4">
        <f>Table1[[#This Row],[UnitCost]]*(1+WhatIf!$B$3)</f>
        <v>988.2600000000001</v>
      </c>
      <c r="W114" s="4">
        <f t="shared" si="21"/>
        <v>15059.2</v>
      </c>
      <c r="X114" s="4">
        <f>Table1[[#This Row],[ScenarioRev]]-Table1[[#This Row],[ScenarioUnitCost]]</f>
        <v>8417.4616000000005</v>
      </c>
      <c r="Y114" s="4">
        <v>668.02</v>
      </c>
      <c r="Z114" s="4">
        <f t="shared" si="22"/>
        <v>8336.8896000000004</v>
      </c>
      <c r="AA114" s="4">
        <f>Table1[[#This Row],[ScenarioQuanity]]*Table1[[#This Row],[UnitPrice]]*(1-Table1[[#This Row],[ScenarioDiscPct]])</f>
        <v>9405.7216000000008</v>
      </c>
      <c r="AB114" s="4">
        <f t="shared" si="23"/>
        <v>-6722.3104000000003</v>
      </c>
      <c r="AC114" s="4">
        <f>Table1[[#This Row],[ScenarioRev]] - Table1[[#This Row],[ScenarioCostOfGoods]]</f>
        <v>988.26000000000022</v>
      </c>
      <c r="AD114" s="6">
        <v>0.22</v>
      </c>
      <c r="AE114" s="6">
        <f>MIN(Table1[[#This Row],[DiscountPct]], WhatIf!$B$2)</f>
        <v>0.2</v>
      </c>
      <c r="AF114" s="6">
        <f>IF(Table1[[#This Row],[DiscountPct]]&gt;0.2, 1, 0)</f>
        <v>1</v>
      </c>
      <c r="AG114" s="6" t="str">
        <f t="shared" si="24"/>
        <v>Low</v>
      </c>
      <c r="AH114" s="6">
        <f t="shared" si="25"/>
        <v>-0.80633314371825193</v>
      </c>
      <c r="AI114" s="5">
        <v>16</v>
      </c>
      <c r="AJ114" s="6">
        <f>Table1[[#This Row],[Quantity]]*(1+WhatIf!$B$4)</f>
        <v>17.600000000000001</v>
      </c>
    </row>
    <row r="115" spans="1:36" x14ac:dyDescent="0.3">
      <c r="A115" t="s">
        <v>496</v>
      </c>
      <c r="B115" s="3">
        <v>45899</v>
      </c>
      <c r="C115" s="3">
        <v>45903</v>
      </c>
      <c r="D115" s="3">
        <f t="shared" si="14"/>
        <v>45903</v>
      </c>
      <c r="E115" s="4">
        <f t="shared" si="13"/>
        <v>4</v>
      </c>
      <c r="F115" s="4">
        <f t="shared" si="15"/>
        <v>4</v>
      </c>
      <c r="G115" s="4">
        <f>IF(Table1[[#This Row],[CorrectedLeadTimeDays]]&lt;=7, 1, 0)</f>
        <v>1</v>
      </c>
      <c r="H115" s="4" t="str">
        <f t="shared" si="16"/>
        <v>August</v>
      </c>
      <c r="I115" s="4" t="str">
        <f t="shared" si="17"/>
        <v>Q3-2025</v>
      </c>
      <c r="J115" s="4" t="str">
        <f t="shared" si="18"/>
        <v>2023-01</v>
      </c>
      <c r="K115" s="3">
        <f t="shared" si="19"/>
        <v>44936</v>
      </c>
      <c r="L115" t="s">
        <v>649</v>
      </c>
      <c r="M115" t="s">
        <v>657</v>
      </c>
      <c r="N115" t="s">
        <v>673</v>
      </c>
      <c r="O115" t="s">
        <v>705</v>
      </c>
      <c r="P115" t="s">
        <v>709</v>
      </c>
      <c r="Q115" t="s">
        <v>713</v>
      </c>
      <c r="R115">
        <f t="shared" si="20"/>
        <v>31</v>
      </c>
      <c r="S115" t="s">
        <v>731</v>
      </c>
      <c r="T115" t="s">
        <v>1215</v>
      </c>
      <c r="U115" s="4">
        <v>1286.56</v>
      </c>
      <c r="V115" s="4">
        <f>Table1[[#This Row],[UnitCost]]*(1+WhatIf!$B$3)</f>
        <v>1350.8879999999999</v>
      </c>
      <c r="W115" s="4">
        <f t="shared" si="21"/>
        <v>19298.399999999998</v>
      </c>
      <c r="X115" s="4">
        <f>Table1[[#This Row],[ScenarioRev]]-Table1[[#This Row],[ScenarioUnitCost]]</f>
        <v>38426.318700000003</v>
      </c>
      <c r="Y115" s="4">
        <v>2777.35</v>
      </c>
      <c r="Z115" s="4">
        <f t="shared" si="22"/>
        <v>36161.097000000002</v>
      </c>
      <c r="AA115" s="4">
        <f>Table1[[#This Row],[ScenarioQuanity]]*Table1[[#This Row],[UnitPrice]]*(1-Table1[[#This Row],[ScenarioDiscPct]])</f>
        <v>39777.206700000002</v>
      </c>
      <c r="AB115" s="4">
        <f t="shared" si="23"/>
        <v>16862.697000000004</v>
      </c>
      <c r="AC115" s="4">
        <f>Table1[[#This Row],[ScenarioRev]] - Table1[[#This Row],[ScenarioCostOfGoods]]</f>
        <v>1350.887999999999</v>
      </c>
      <c r="AD115" s="6">
        <v>0.13200000000000001</v>
      </c>
      <c r="AE115" s="6">
        <f>MIN(Table1[[#This Row],[DiscountPct]], WhatIf!$B$2)</f>
        <v>0.13200000000000001</v>
      </c>
      <c r="AF115" s="6">
        <f>IF(Table1[[#This Row],[DiscountPct]]&gt;0.2, 1, 0)</f>
        <v>0</v>
      </c>
      <c r="AG115" s="6" t="str">
        <f t="shared" si="24"/>
        <v>High</v>
      </c>
      <c r="AH115" s="6">
        <f t="shared" si="25"/>
        <v>0.46632150014696744</v>
      </c>
      <c r="AI115" s="5">
        <v>15</v>
      </c>
      <c r="AJ115" s="6">
        <f>Table1[[#This Row],[Quantity]]*(1+WhatIf!$B$4)</f>
        <v>16.5</v>
      </c>
    </row>
    <row r="116" spans="1:36" x14ac:dyDescent="0.3">
      <c r="A116" t="s">
        <v>482</v>
      </c>
      <c r="B116" s="3">
        <v>45809</v>
      </c>
      <c r="C116" s="3">
        <v>45813</v>
      </c>
      <c r="D116" s="3">
        <f t="shared" si="14"/>
        <v>45813</v>
      </c>
      <c r="E116" s="4">
        <f t="shared" si="13"/>
        <v>4</v>
      </c>
      <c r="F116" s="4">
        <f t="shared" si="15"/>
        <v>4</v>
      </c>
      <c r="G116" s="4">
        <f>IF(Table1[[#This Row],[CorrectedLeadTimeDays]]&lt;=7, 1, 0)</f>
        <v>1</v>
      </c>
      <c r="H116" s="4" t="str">
        <f t="shared" si="16"/>
        <v>June</v>
      </c>
      <c r="I116" s="4" t="str">
        <f t="shared" si="17"/>
        <v>Q2-2025</v>
      </c>
      <c r="J116" s="4" t="str">
        <f t="shared" si="18"/>
        <v>2023-01</v>
      </c>
      <c r="K116" s="3">
        <f t="shared" si="19"/>
        <v>44948</v>
      </c>
      <c r="L116" t="s">
        <v>649</v>
      </c>
      <c r="M116" t="s">
        <v>656</v>
      </c>
      <c r="N116" t="s">
        <v>684</v>
      </c>
      <c r="O116" t="s">
        <v>706</v>
      </c>
      <c r="P116" t="s">
        <v>711</v>
      </c>
      <c r="Q116" t="s">
        <v>724</v>
      </c>
      <c r="R116">
        <f t="shared" si="20"/>
        <v>28</v>
      </c>
      <c r="S116" t="s">
        <v>727</v>
      </c>
      <c r="T116" t="s">
        <v>1201</v>
      </c>
      <c r="U116" s="4">
        <v>1171.42</v>
      </c>
      <c r="V116" s="4">
        <f>Table1[[#This Row],[UnitCost]]*(1+WhatIf!$B$3)</f>
        <v>1229.9910000000002</v>
      </c>
      <c r="W116" s="4">
        <f t="shared" si="21"/>
        <v>17571.300000000003</v>
      </c>
      <c r="X116" s="4">
        <f>Table1[[#This Row],[ScenarioRev]]-Table1[[#This Row],[ScenarioUnitCost]]</f>
        <v>27648.969000000005</v>
      </c>
      <c r="Y116" s="4">
        <v>2187.8000000000002</v>
      </c>
      <c r="Z116" s="4">
        <f t="shared" si="22"/>
        <v>25269.09</v>
      </c>
      <c r="AA116" s="4">
        <f>Table1[[#This Row],[ScenarioQuanity]]*Table1[[#This Row],[UnitPrice]]*(1-Table1[[#This Row],[ScenarioDiscPct]])</f>
        <v>28878.960000000006</v>
      </c>
      <c r="AB116" s="4">
        <f t="shared" si="23"/>
        <v>7697.7899999999972</v>
      </c>
      <c r="AC116" s="4">
        <f>Table1[[#This Row],[ScenarioRev]] - Table1[[#This Row],[ScenarioCostOfGoods]]</f>
        <v>1229.9910000000018</v>
      </c>
      <c r="AD116" s="6">
        <v>0.23</v>
      </c>
      <c r="AE116" s="6">
        <f>MIN(Table1[[#This Row],[DiscountPct]], WhatIf!$B$2)</f>
        <v>0.2</v>
      </c>
      <c r="AF116" s="6">
        <f>IF(Table1[[#This Row],[DiscountPct]]&gt;0.2, 1, 0)</f>
        <v>1</v>
      </c>
      <c r="AG116" s="6" t="str">
        <f t="shared" si="24"/>
        <v>High</v>
      </c>
      <c r="AH116" s="6">
        <f t="shared" si="25"/>
        <v>0.30463265594447592</v>
      </c>
      <c r="AI116" s="5">
        <v>15</v>
      </c>
      <c r="AJ116" s="6">
        <f>Table1[[#This Row],[Quantity]]*(1+WhatIf!$B$4)</f>
        <v>16.5</v>
      </c>
    </row>
    <row r="117" spans="1:36" x14ac:dyDescent="0.3">
      <c r="A117" t="s">
        <v>578</v>
      </c>
      <c r="B117" s="3">
        <v>45692</v>
      </c>
      <c r="C117" s="3">
        <v>45696</v>
      </c>
      <c r="D117" s="3">
        <f t="shared" si="14"/>
        <v>45696</v>
      </c>
      <c r="E117" s="4">
        <f t="shared" si="13"/>
        <v>4</v>
      </c>
      <c r="F117" s="4">
        <f t="shared" si="15"/>
        <v>4</v>
      </c>
      <c r="G117" s="4">
        <f>IF(Table1[[#This Row],[CorrectedLeadTimeDays]]&lt;=7, 1, 0)</f>
        <v>1</v>
      </c>
      <c r="H117" s="4" t="str">
        <f t="shared" si="16"/>
        <v>February</v>
      </c>
      <c r="I117" s="4" t="str">
        <f t="shared" si="17"/>
        <v>Q1-2025</v>
      </c>
      <c r="J117" s="4" t="str">
        <f t="shared" si="18"/>
        <v>2023-01</v>
      </c>
      <c r="K117" s="3">
        <f t="shared" si="19"/>
        <v>44945</v>
      </c>
      <c r="L117" t="s">
        <v>649</v>
      </c>
      <c r="M117" t="s">
        <v>658</v>
      </c>
      <c r="N117" t="s">
        <v>693</v>
      </c>
      <c r="O117" t="s">
        <v>706</v>
      </c>
      <c r="P117" t="s">
        <v>709</v>
      </c>
      <c r="Q117" t="s">
        <v>716</v>
      </c>
      <c r="R117">
        <f t="shared" si="20"/>
        <v>24</v>
      </c>
      <c r="S117" t="s">
        <v>729</v>
      </c>
      <c r="T117" t="s">
        <v>1296</v>
      </c>
      <c r="U117" s="4">
        <v>586.21</v>
      </c>
      <c r="V117" s="4">
        <f>Table1[[#This Row],[UnitCost]]*(1+WhatIf!$B$3)</f>
        <v>615.52050000000008</v>
      </c>
      <c r="W117" s="4">
        <f t="shared" si="21"/>
        <v>8793.1500000000015</v>
      </c>
      <c r="X117" s="4">
        <f>Table1[[#This Row],[ScenarioRev]]-Table1[[#This Row],[ScenarioUnitCost]]</f>
        <v>10567.668659999999</v>
      </c>
      <c r="Y117" s="4">
        <v>727.22</v>
      </c>
      <c r="Z117" s="4">
        <f t="shared" si="22"/>
        <v>10166.535600000001</v>
      </c>
      <c r="AA117" s="4">
        <f>Table1[[#This Row],[ScenarioQuanity]]*Table1[[#This Row],[UnitPrice]]*(1-Table1[[#This Row],[ScenarioDiscPct]])</f>
        <v>11183.18916</v>
      </c>
      <c r="AB117" s="4">
        <f t="shared" si="23"/>
        <v>1373.3855999999996</v>
      </c>
      <c r="AC117" s="4">
        <f>Table1[[#This Row],[ScenarioRev]] - Table1[[#This Row],[ScenarioCostOfGoods]]</f>
        <v>615.52050000000054</v>
      </c>
      <c r="AD117" s="6">
        <v>6.8000000000000005E-2</v>
      </c>
      <c r="AE117" s="6">
        <f>MIN(Table1[[#This Row],[DiscountPct]], WhatIf!$B$2)</f>
        <v>6.8000000000000005E-2</v>
      </c>
      <c r="AF117" s="6">
        <f>IF(Table1[[#This Row],[DiscountPct]]&gt;0.2, 1, 0)</f>
        <v>0</v>
      </c>
      <c r="AG117" s="6" t="str">
        <f t="shared" si="24"/>
        <v>Low</v>
      </c>
      <c r="AH117" s="6">
        <f t="shared" si="25"/>
        <v>0.13508884973559721</v>
      </c>
      <c r="AI117" s="5">
        <v>15</v>
      </c>
      <c r="AJ117" s="6">
        <f>Table1[[#This Row],[Quantity]]*(1+WhatIf!$B$4)</f>
        <v>16.5</v>
      </c>
    </row>
    <row r="118" spans="1:36" x14ac:dyDescent="0.3">
      <c r="A118" t="s">
        <v>44</v>
      </c>
      <c r="B118" s="3">
        <v>45754</v>
      </c>
      <c r="C118" s="3">
        <v>45758</v>
      </c>
      <c r="D118" s="3">
        <f t="shared" si="14"/>
        <v>45758</v>
      </c>
      <c r="E118" s="4">
        <f t="shared" si="13"/>
        <v>4</v>
      </c>
      <c r="F118" s="4">
        <f t="shared" si="15"/>
        <v>4</v>
      </c>
      <c r="G118" s="4">
        <f>IF(Table1[[#This Row],[CorrectedLeadTimeDays]]&lt;=7, 1, 0)</f>
        <v>1</v>
      </c>
      <c r="H118" s="4" t="str">
        <f t="shared" si="16"/>
        <v>April</v>
      </c>
      <c r="I118" s="4" t="str">
        <f t="shared" si="17"/>
        <v>Q2-2025</v>
      </c>
      <c r="J118" s="4" t="str">
        <f t="shared" si="18"/>
        <v>2023-01</v>
      </c>
      <c r="K118" s="3">
        <f t="shared" si="19"/>
        <v>44936</v>
      </c>
      <c r="L118" t="s">
        <v>649</v>
      </c>
      <c r="M118" t="s">
        <v>657</v>
      </c>
      <c r="N118" t="s">
        <v>679</v>
      </c>
      <c r="O118" t="s">
        <v>702</v>
      </c>
      <c r="P118" t="s">
        <v>707</v>
      </c>
      <c r="Q118" t="s">
        <v>718</v>
      </c>
      <c r="R118">
        <f t="shared" si="20"/>
        <v>26</v>
      </c>
      <c r="S118" t="s">
        <v>729</v>
      </c>
      <c r="T118" t="s">
        <v>763</v>
      </c>
      <c r="U118" s="4">
        <v>754.77</v>
      </c>
      <c r="V118" s="4">
        <f>Table1[[#This Row],[UnitCost]]*(1+WhatIf!$B$3)</f>
        <v>792.50850000000003</v>
      </c>
      <c r="W118" s="4">
        <f t="shared" si="21"/>
        <v>10566.779999999999</v>
      </c>
      <c r="X118" s="4">
        <f>Table1[[#This Row],[ScenarioRev]]-Table1[[#This Row],[ScenarioUnitCost]]</f>
        <v>21300.038592000004</v>
      </c>
      <c r="Y118" s="4">
        <v>1666.18</v>
      </c>
      <c r="Z118" s="4">
        <f t="shared" si="22"/>
        <v>20084.133720000002</v>
      </c>
      <c r="AA118" s="4">
        <f>Table1[[#This Row],[ScenarioQuanity]]*Table1[[#This Row],[UnitPrice]]*(1-Table1[[#This Row],[ScenarioDiscPct]])</f>
        <v>22092.547092000004</v>
      </c>
      <c r="AB118" s="4">
        <f t="shared" si="23"/>
        <v>9517.3537200000028</v>
      </c>
      <c r="AC118" s="4">
        <f>Table1[[#This Row],[ScenarioRev]] - Table1[[#This Row],[ScenarioCostOfGoods]]</f>
        <v>792.50849999999991</v>
      </c>
      <c r="AD118" s="6">
        <v>0.13900000000000001</v>
      </c>
      <c r="AE118" s="6">
        <f>MIN(Table1[[#This Row],[DiscountPct]], WhatIf!$B$2)</f>
        <v>0.13900000000000001</v>
      </c>
      <c r="AF118" s="6">
        <f>IF(Table1[[#This Row],[DiscountPct]]&gt;0.2, 1, 0)</f>
        <v>0</v>
      </c>
      <c r="AG118" s="6" t="str">
        <f t="shared" si="24"/>
        <v>High</v>
      </c>
      <c r="AH118" s="6">
        <f t="shared" si="25"/>
        <v>0.47387424584424653</v>
      </c>
      <c r="AI118" s="5">
        <v>14</v>
      </c>
      <c r="AJ118" s="6">
        <f>Table1[[#This Row],[Quantity]]*(1+WhatIf!$B$4)</f>
        <v>15.400000000000002</v>
      </c>
    </row>
    <row r="119" spans="1:36" x14ac:dyDescent="0.3">
      <c r="A119" t="s">
        <v>524</v>
      </c>
      <c r="B119" s="3">
        <v>45056</v>
      </c>
      <c r="C119" s="3">
        <v>45060</v>
      </c>
      <c r="D119" s="3">
        <f t="shared" si="14"/>
        <v>45060</v>
      </c>
      <c r="E119" s="4">
        <f t="shared" si="13"/>
        <v>4</v>
      </c>
      <c r="F119" s="4">
        <f t="shared" si="15"/>
        <v>4</v>
      </c>
      <c r="G119" s="4">
        <f>IF(Table1[[#This Row],[CorrectedLeadTimeDays]]&lt;=7, 1, 0)</f>
        <v>1</v>
      </c>
      <c r="H119" s="4" t="str">
        <f t="shared" si="16"/>
        <v>May</v>
      </c>
      <c r="I119" s="4" t="str">
        <f t="shared" si="17"/>
        <v>Q2-2023</v>
      </c>
      <c r="J119" s="4" t="str">
        <f t="shared" si="18"/>
        <v>2023-01</v>
      </c>
      <c r="K119" s="3">
        <f t="shared" si="19"/>
        <v>44955</v>
      </c>
      <c r="L119" t="s">
        <v>647</v>
      </c>
      <c r="M119" t="s">
        <v>654</v>
      </c>
      <c r="N119" t="s">
        <v>680</v>
      </c>
      <c r="O119" t="s">
        <v>703</v>
      </c>
      <c r="P119" t="s">
        <v>710</v>
      </c>
      <c r="Q119" t="s">
        <v>712</v>
      </c>
      <c r="R119">
        <f t="shared" si="20"/>
        <v>3</v>
      </c>
      <c r="S119" t="s">
        <v>732</v>
      </c>
      <c r="T119" t="s">
        <v>1243</v>
      </c>
      <c r="U119" s="4">
        <v>622.6</v>
      </c>
      <c r="V119" s="4">
        <f>Table1[[#This Row],[UnitCost]]*(1+WhatIf!$B$3)</f>
        <v>653.73</v>
      </c>
      <c r="W119" s="4">
        <f t="shared" si="21"/>
        <v>8716.4</v>
      </c>
      <c r="X119" s="4">
        <f>Table1[[#This Row],[ScenarioRev]]-Table1[[#This Row],[ScenarioUnitCost]]</f>
        <v>9617.3308000000034</v>
      </c>
      <c r="Y119" s="4">
        <v>833.69</v>
      </c>
      <c r="Z119" s="4">
        <f t="shared" si="22"/>
        <v>9232.2830599999998</v>
      </c>
      <c r="AA119" s="4">
        <f>Table1[[#This Row],[ScenarioQuanity]]*Table1[[#This Row],[UnitPrice]]*(1-Table1[[#This Row],[ScenarioDiscPct]])</f>
        <v>10271.060800000003</v>
      </c>
      <c r="AB119" s="4">
        <f t="shared" si="23"/>
        <v>515.88306000000011</v>
      </c>
      <c r="AC119" s="4">
        <f>Table1[[#This Row],[ScenarioRev]] - Table1[[#This Row],[ScenarioCostOfGoods]]</f>
        <v>653.72999999999956</v>
      </c>
      <c r="AD119" s="6">
        <v>0.20899999999999999</v>
      </c>
      <c r="AE119" s="6">
        <f>MIN(Table1[[#This Row],[DiscountPct]], WhatIf!$B$2)</f>
        <v>0.2</v>
      </c>
      <c r="AF119" s="6">
        <f>IF(Table1[[#This Row],[DiscountPct]]&gt;0.2, 1, 0)</f>
        <v>1</v>
      </c>
      <c r="AG119" s="6" t="str">
        <f t="shared" si="24"/>
        <v>High</v>
      </c>
      <c r="AH119" s="6">
        <f t="shared" si="25"/>
        <v>5.5878167582959715E-2</v>
      </c>
      <c r="AI119" s="5">
        <v>14</v>
      </c>
      <c r="AJ119" s="6">
        <f>Table1[[#This Row],[Quantity]]*(1+WhatIf!$B$4)</f>
        <v>15.400000000000002</v>
      </c>
    </row>
    <row r="120" spans="1:36" x14ac:dyDescent="0.3">
      <c r="A120" t="s">
        <v>491</v>
      </c>
      <c r="B120" s="3">
        <v>44999</v>
      </c>
      <c r="C120" s="3">
        <v>45003</v>
      </c>
      <c r="D120" s="3">
        <f t="shared" si="14"/>
        <v>45003</v>
      </c>
      <c r="E120" s="4">
        <f t="shared" si="13"/>
        <v>4</v>
      </c>
      <c r="F120" s="4">
        <f t="shared" si="15"/>
        <v>4</v>
      </c>
      <c r="G120" s="4">
        <f>IF(Table1[[#This Row],[CorrectedLeadTimeDays]]&lt;=7, 1, 0)</f>
        <v>1</v>
      </c>
      <c r="H120" s="4" t="str">
        <f t="shared" si="16"/>
        <v>March</v>
      </c>
      <c r="I120" s="4" t="str">
        <f t="shared" si="17"/>
        <v>Q1-2023</v>
      </c>
      <c r="J120" s="4" t="str">
        <f t="shared" si="18"/>
        <v>2023-01</v>
      </c>
      <c r="K120" s="3">
        <f t="shared" si="19"/>
        <v>44948</v>
      </c>
      <c r="L120" t="s">
        <v>649</v>
      </c>
      <c r="M120" t="s">
        <v>656</v>
      </c>
      <c r="N120" t="s">
        <v>698</v>
      </c>
      <c r="O120" t="s">
        <v>706</v>
      </c>
      <c r="P120" t="s">
        <v>711</v>
      </c>
      <c r="Q120" t="s">
        <v>720</v>
      </c>
      <c r="R120">
        <f t="shared" si="20"/>
        <v>1</v>
      </c>
      <c r="S120" t="s">
        <v>727</v>
      </c>
      <c r="T120" t="s">
        <v>1210</v>
      </c>
      <c r="U120" s="4">
        <v>472.33</v>
      </c>
      <c r="V120" s="4">
        <f>Table1[[#This Row],[UnitCost]]*(1+WhatIf!$B$3)</f>
        <v>495.94650000000001</v>
      </c>
      <c r="W120" s="4">
        <f t="shared" si="21"/>
        <v>6612.62</v>
      </c>
      <c r="X120" s="4">
        <f>Table1[[#This Row],[ScenarioRev]]-Table1[[#This Row],[ScenarioUnitCost]]</f>
        <v>4137.6655600000004</v>
      </c>
      <c r="Y120" s="4">
        <v>360.34</v>
      </c>
      <c r="Z120" s="4">
        <f t="shared" si="22"/>
        <v>4212.3745999999992</v>
      </c>
      <c r="AA120" s="4">
        <f>Table1[[#This Row],[ScenarioQuanity]]*Table1[[#This Row],[UnitPrice]]*(1-Table1[[#This Row],[ScenarioDiscPct]])</f>
        <v>4633.6120600000004</v>
      </c>
      <c r="AB120" s="4">
        <f t="shared" si="23"/>
        <v>-2400.2454000000007</v>
      </c>
      <c r="AC120" s="4">
        <f>Table1[[#This Row],[ScenarioRev]] - Table1[[#This Row],[ScenarioCostOfGoods]]</f>
        <v>495.94650000000001</v>
      </c>
      <c r="AD120" s="6">
        <v>0.16500000000000001</v>
      </c>
      <c r="AE120" s="6">
        <f>MIN(Table1[[#This Row],[DiscountPct]], WhatIf!$B$2)</f>
        <v>0.16500000000000001</v>
      </c>
      <c r="AF120" s="6">
        <f>IF(Table1[[#This Row],[DiscountPct]]&gt;0.2, 1, 0)</f>
        <v>0</v>
      </c>
      <c r="AG120" s="6" t="str">
        <f t="shared" si="24"/>
        <v>Low</v>
      </c>
      <c r="AH120" s="6">
        <f t="shared" si="25"/>
        <v>-0.56980815523861561</v>
      </c>
      <c r="AI120" s="5">
        <v>14</v>
      </c>
      <c r="AJ120" s="6">
        <f>Table1[[#This Row],[Quantity]]*(1+WhatIf!$B$4)</f>
        <v>15.400000000000002</v>
      </c>
    </row>
    <row r="121" spans="1:36" x14ac:dyDescent="0.3">
      <c r="A121" t="s">
        <v>103</v>
      </c>
      <c r="B121" s="3">
        <v>45312</v>
      </c>
      <c r="C121" s="3">
        <v>45316</v>
      </c>
      <c r="D121" s="3">
        <f t="shared" si="14"/>
        <v>45316</v>
      </c>
      <c r="E121" s="4">
        <f t="shared" si="13"/>
        <v>4</v>
      </c>
      <c r="F121" s="4">
        <f t="shared" si="15"/>
        <v>4</v>
      </c>
      <c r="G121" s="4">
        <f>IF(Table1[[#This Row],[CorrectedLeadTimeDays]]&lt;=7, 1, 0)</f>
        <v>1</v>
      </c>
      <c r="H121" s="4" t="str">
        <f t="shared" si="16"/>
        <v>January</v>
      </c>
      <c r="I121" s="4" t="str">
        <f t="shared" si="17"/>
        <v>Q1-2024</v>
      </c>
      <c r="J121" s="4" t="str">
        <f t="shared" si="18"/>
        <v>2023-01</v>
      </c>
      <c r="K121" s="3">
        <f t="shared" si="19"/>
        <v>44955</v>
      </c>
      <c r="L121" t="s">
        <v>647</v>
      </c>
      <c r="M121" t="s">
        <v>654</v>
      </c>
      <c r="N121" t="s">
        <v>680</v>
      </c>
      <c r="O121" t="s">
        <v>704</v>
      </c>
      <c r="P121" t="s">
        <v>711</v>
      </c>
      <c r="Q121" t="s">
        <v>712</v>
      </c>
      <c r="R121">
        <f t="shared" si="20"/>
        <v>11</v>
      </c>
      <c r="S121" t="s">
        <v>732</v>
      </c>
      <c r="T121" t="s">
        <v>822</v>
      </c>
      <c r="U121" s="4">
        <v>523.70000000000005</v>
      </c>
      <c r="V121" s="4">
        <f>Table1[[#This Row],[UnitCost]]*(1+WhatIf!$B$3)</f>
        <v>549.8850000000001</v>
      </c>
      <c r="W121" s="4">
        <f t="shared" si="21"/>
        <v>5760.7000000000007</v>
      </c>
      <c r="X121" s="4">
        <f>Table1[[#This Row],[ScenarioRev]]-Table1[[#This Row],[ScenarioUnitCost]]</f>
        <v>12477.246040000002</v>
      </c>
      <c r="Y121" s="4">
        <v>1109.92</v>
      </c>
      <c r="Z121" s="4">
        <f t="shared" si="22"/>
        <v>11842.8464</v>
      </c>
      <c r="AA121" s="4">
        <f>Table1[[#This Row],[ScenarioQuanity]]*Table1[[#This Row],[UnitPrice]]*(1-Table1[[#This Row],[ScenarioDiscPct]])</f>
        <v>13027.131040000002</v>
      </c>
      <c r="AB121" s="4">
        <f t="shared" si="23"/>
        <v>6082.1463999999996</v>
      </c>
      <c r="AC121" s="4">
        <f>Table1[[#This Row],[ScenarioRev]] - Table1[[#This Row],[ScenarioCostOfGoods]]</f>
        <v>549.88500000000022</v>
      </c>
      <c r="AD121" s="6">
        <v>0.03</v>
      </c>
      <c r="AE121" s="6">
        <f>MIN(Table1[[#This Row],[DiscountPct]], WhatIf!$B$2)</f>
        <v>0.03</v>
      </c>
      <c r="AF121" s="6">
        <f>IF(Table1[[#This Row],[DiscountPct]]&gt;0.2, 1, 0)</f>
        <v>0</v>
      </c>
      <c r="AG121" s="6" t="str">
        <f t="shared" si="24"/>
        <v>High</v>
      </c>
      <c r="AH121" s="6">
        <f t="shared" si="25"/>
        <v>0.51357133197302973</v>
      </c>
      <c r="AI121" s="5">
        <v>11</v>
      </c>
      <c r="AJ121" s="6">
        <f>Table1[[#This Row],[Quantity]]*(1+WhatIf!$B$4)</f>
        <v>12.100000000000001</v>
      </c>
    </row>
    <row r="122" spans="1:36" x14ac:dyDescent="0.3">
      <c r="A122" t="s">
        <v>573</v>
      </c>
      <c r="B122" s="3">
        <v>45430</v>
      </c>
      <c r="C122" s="3">
        <v>45434</v>
      </c>
      <c r="D122" s="3">
        <f t="shared" si="14"/>
        <v>45434</v>
      </c>
      <c r="E122" s="4">
        <f t="shared" si="13"/>
        <v>4</v>
      </c>
      <c r="F122" s="4">
        <f t="shared" si="15"/>
        <v>4</v>
      </c>
      <c r="G122" s="4">
        <f>IF(Table1[[#This Row],[CorrectedLeadTimeDays]]&lt;=7, 1, 0)</f>
        <v>1</v>
      </c>
      <c r="H122" s="4" t="str">
        <f t="shared" si="16"/>
        <v>May</v>
      </c>
      <c r="I122" s="4" t="str">
        <f t="shared" si="17"/>
        <v>Q2-2024</v>
      </c>
      <c r="J122" s="4" t="str">
        <f t="shared" si="18"/>
        <v>2023-01</v>
      </c>
      <c r="K122" s="3">
        <f t="shared" si="19"/>
        <v>44946</v>
      </c>
      <c r="L122" t="s">
        <v>646</v>
      </c>
      <c r="M122" t="s">
        <v>650</v>
      </c>
      <c r="N122" t="s">
        <v>664</v>
      </c>
      <c r="O122" t="s">
        <v>701</v>
      </c>
      <c r="P122" t="s">
        <v>711</v>
      </c>
      <c r="Q122" t="s">
        <v>722</v>
      </c>
      <c r="R122">
        <f t="shared" si="20"/>
        <v>15</v>
      </c>
      <c r="S122" t="s">
        <v>733</v>
      </c>
      <c r="T122" t="s">
        <v>1291</v>
      </c>
      <c r="U122" s="4">
        <v>857.42</v>
      </c>
      <c r="V122" s="4">
        <f>Table1[[#This Row],[UnitCost]]*(1+WhatIf!$B$3)</f>
        <v>900.29099999999994</v>
      </c>
      <c r="W122" s="4">
        <f t="shared" si="21"/>
        <v>7716.78</v>
      </c>
      <c r="X122" s="4">
        <f>Table1[[#This Row],[ScenarioRev]]-Table1[[#This Row],[ScenarioUnitCost]]</f>
        <v>13519.373424000001</v>
      </c>
      <c r="Y122" s="4">
        <v>1658.92</v>
      </c>
      <c r="Z122" s="4">
        <f t="shared" si="22"/>
        <v>13108.78584</v>
      </c>
      <c r="AA122" s="4">
        <f>Table1[[#This Row],[ScenarioQuanity]]*Table1[[#This Row],[UnitPrice]]*(1-Table1[[#This Row],[ScenarioDiscPct]])</f>
        <v>14419.664424000001</v>
      </c>
      <c r="AB122" s="4">
        <f t="shared" si="23"/>
        <v>5392.0058400000007</v>
      </c>
      <c r="AC122" s="4">
        <f>Table1[[#This Row],[ScenarioRev]] - Table1[[#This Row],[ScenarioCostOfGoods]]</f>
        <v>900.29099999999926</v>
      </c>
      <c r="AD122" s="6">
        <v>0.122</v>
      </c>
      <c r="AE122" s="6">
        <f>MIN(Table1[[#This Row],[DiscountPct]], WhatIf!$B$2)</f>
        <v>0.122</v>
      </c>
      <c r="AF122" s="6">
        <f>IF(Table1[[#This Row],[DiscountPct]]&gt;0.2, 1, 0)</f>
        <v>0</v>
      </c>
      <c r="AG122" s="6" t="str">
        <f t="shared" si="24"/>
        <v>High</v>
      </c>
      <c r="AH122" s="6">
        <f t="shared" si="25"/>
        <v>0.41132763215544305</v>
      </c>
      <c r="AI122" s="5">
        <v>9</v>
      </c>
      <c r="AJ122" s="6">
        <f>Table1[[#This Row],[Quantity]]*(1+WhatIf!$B$4)</f>
        <v>9.9</v>
      </c>
    </row>
    <row r="123" spans="1:36" x14ac:dyDescent="0.3">
      <c r="A123" t="s">
        <v>177</v>
      </c>
      <c r="B123" s="3">
        <v>45385</v>
      </c>
      <c r="C123" s="3">
        <v>45389</v>
      </c>
      <c r="D123" s="3">
        <f t="shared" si="14"/>
        <v>45389</v>
      </c>
      <c r="E123" s="4">
        <f t="shared" si="13"/>
        <v>4</v>
      </c>
      <c r="F123" s="4">
        <f t="shared" si="15"/>
        <v>4</v>
      </c>
      <c r="G123" s="4">
        <f>IF(Table1[[#This Row],[CorrectedLeadTimeDays]]&lt;=7, 1, 0)</f>
        <v>1</v>
      </c>
      <c r="H123" s="4" t="str">
        <f t="shared" si="16"/>
        <v>April</v>
      </c>
      <c r="I123" s="4" t="str">
        <f t="shared" si="17"/>
        <v>Q2-2024</v>
      </c>
      <c r="J123" s="4" t="str">
        <f t="shared" si="18"/>
        <v>2023-01</v>
      </c>
      <c r="K123" s="3">
        <f t="shared" si="19"/>
        <v>44955</v>
      </c>
      <c r="L123" t="s">
        <v>648</v>
      </c>
      <c r="M123" t="s">
        <v>655</v>
      </c>
      <c r="N123" t="s">
        <v>672</v>
      </c>
      <c r="O123" t="s">
        <v>703</v>
      </c>
      <c r="P123" t="s">
        <v>711</v>
      </c>
      <c r="Q123" t="s">
        <v>725</v>
      </c>
      <c r="R123">
        <f t="shared" si="20"/>
        <v>14</v>
      </c>
      <c r="S123" t="s">
        <v>730</v>
      </c>
      <c r="T123" t="s">
        <v>896</v>
      </c>
      <c r="U123" s="4">
        <v>1023.27</v>
      </c>
      <c r="V123" s="4">
        <f>Table1[[#This Row],[UnitCost]]*(1+WhatIf!$B$3)</f>
        <v>1074.4335000000001</v>
      </c>
      <c r="W123" s="4">
        <f t="shared" si="21"/>
        <v>7162.8899999999994</v>
      </c>
      <c r="X123" s="4">
        <f>Table1[[#This Row],[ScenarioRev]]-Table1[[#This Row],[ScenarioUnitCost]]</f>
        <v>7895.5727760000018</v>
      </c>
      <c r="Y123" s="4">
        <v>1343.64</v>
      </c>
      <c r="Z123" s="4">
        <f t="shared" si="22"/>
        <v>8154.5511600000009</v>
      </c>
      <c r="AA123" s="4">
        <f>Table1[[#This Row],[ScenarioQuanity]]*Table1[[#This Row],[UnitPrice]]*(1-Table1[[#This Row],[ScenarioDiscPct]])</f>
        <v>8970.0062760000019</v>
      </c>
      <c r="AB123" s="4">
        <f t="shared" si="23"/>
        <v>991.66116000000147</v>
      </c>
      <c r="AC123" s="4">
        <f>Table1[[#This Row],[ScenarioRev]] - Table1[[#This Row],[ScenarioCostOfGoods]]</f>
        <v>1074.4335000000001</v>
      </c>
      <c r="AD123" s="6">
        <v>0.13300000000000001</v>
      </c>
      <c r="AE123" s="6">
        <f>MIN(Table1[[#This Row],[DiscountPct]], WhatIf!$B$2)</f>
        <v>0.13300000000000001</v>
      </c>
      <c r="AF123" s="6">
        <f>IF(Table1[[#This Row],[DiscountPct]]&gt;0.2, 1, 0)</f>
        <v>0</v>
      </c>
      <c r="AG123" s="6" t="str">
        <f t="shared" si="24"/>
        <v>High</v>
      </c>
      <c r="AH123" s="6">
        <f t="shared" si="25"/>
        <v>0.12160830688810116</v>
      </c>
      <c r="AI123" s="5">
        <v>7</v>
      </c>
      <c r="AJ123" s="6">
        <f>Table1[[#This Row],[Quantity]]*(1+WhatIf!$B$4)</f>
        <v>7.7000000000000011</v>
      </c>
    </row>
    <row r="124" spans="1:36" x14ac:dyDescent="0.3">
      <c r="A124" t="s">
        <v>117</v>
      </c>
      <c r="B124" s="3">
        <v>45747</v>
      </c>
      <c r="C124" s="3">
        <v>45751</v>
      </c>
      <c r="D124" s="3">
        <f t="shared" si="14"/>
        <v>45751</v>
      </c>
      <c r="E124" s="4">
        <f t="shared" si="13"/>
        <v>4</v>
      </c>
      <c r="F124" s="4">
        <f t="shared" si="15"/>
        <v>4</v>
      </c>
      <c r="G124" s="4">
        <f>IF(Table1[[#This Row],[CorrectedLeadTimeDays]]&lt;=7, 1, 0)</f>
        <v>1</v>
      </c>
      <c r="H124" s="4" t="str">
        <f t="shared" si="16"/>
        <v>March</v>
      </c>
      <c r="I124" s="4" t="str">
        <f t="shared" si="17"/>
        <v>Q1-2025</v>
      </c>
      <c r="J124" s="4" t="str">
        <f t="shared" si="18"/>
        <v>2023-01</v>
      </c>
      <c r="K124" s="3">
        <f t="shared" si="19"/>
        <v>44946</v>
      </c>
      <c r="L124" t="s">
        <v>646</v>
      </c>
      <c r="M124" t="s">
        <v>650</v>
      </c>
      <c r="N124" t="s">
        <v>678</v>
      </c>
      <c r="O124" t="s">
        <v>701</v>
      </c>
      <c r="P124" t="s">
        <v>711</v>
      </c>
      <c r="Q124" t="s">
        <v>712</v>
      </c>
      <c r="R124">
        <f t="shared" si="20"/>
        <v>26</v>
      </c>
      <c r="S124" t="s">
        <v>731</v>
      </c>
      <c r="T124" t="s">
        <v>836</v>
      </c>
      <c r="U124" s="4">
        <v>862.08</v>
      </c>
      <c r="V124" s="4">
        <f>Table1[[#This Row],[UnitCost]]*(1+WhatIf!$B$3)</f>
        <v>905.18400000000008</v>
      </c>
      <c r="W124" s="4">
        <f t="shared" si="21"/>
        <v>6034.56</v>
      </c>
      <c r="X124" s="4">
        <f>Table1[[#This Row],[ScenarioRev]]-Table1[[#This Row],[ScenarioUnitCost]]</f>
        <v>14131.607000000002</v>
      </c>
      <c r="Y124" s="4">
        <v>1952.83</v>
      </c>
      <c r="Z124" s="4">
        <f t="shared" si="22"/>
        <v>13669.81</v>
      </c>
      <c r="AA124" s="4">
        <f>Table1[[#This Row],[ScenarioQuanity]]*Table1[[#This Row],[UnitPrice]]*(1-Table1[[#This Row],[ScenarioDiscPct]])</f>
        <v>15036.791000000001</v>
      </c>
      <c r="AB124" s="4">
        <f t="shared" si="23"/>
        <v>7635.2499999999991</v>
      </c>
      <c r="AC124" s="4">
        <f>Table1[[#This Row],[ScenarioRev]] - Table1[[#This Row],[ScenarioCostOfGoods]]</f>
        <v>905.18399999999929</v>
      </c>
      <c r="AD124" s="6">
        <v>0</v>
      </c>
      <c r="AE124" s="6">
        <f>MIN(Table1[[#This Row],[DiscountPct]], WhatIf!$B$2)</f>
        <v>0</v>
      </c>
      <c r="AF124" s="6">
        <f>IF(Table1[[#This Row],[DiscountPct]]&gt;0.2, 1, 0)</f>
        <v>0</v>
      </c>
      <c r="AG124" s="6" t="str">
        <f t="shared" si="24"/>
        <v>High</v>
      </c>
      <c r="AH124" s="6">
        <f t="shared" si="25"/>
        <v>0.5585483631447693</v>
      </c>
      <c r="AI124" s="5">
        <v>7</v>
      </c>
      <c r="AJ124" s="6">
        <f>Table1[[#This Row],[Quantity]]*(1+WhatIf!$B$4)</f>
        <v>7.7000000000000011</v>
      </c>
    </row>
    <row r="125" spans="1:36" x14ac:dyDescent="0.3">
      <c r="A125" t="s">
        <v>198</v>
      </c>
      <c r="B125" s="3">
        <v>45157</v>
      </c>
      <c r="C125" s="3">
        <v>45161</v>
      </c>
      <c r="D125" s="3">
        <f t="shared" si="14"/>
        <v>45161</v>
      </c>
      <c r="E125" s="4">
        <f t="shared" si="13"/>
        <v>4</v>
      </c>
      <c r="F125" s="4">
        <f t="shared" si="15"/>
        <v>4</v>
      </c>
      <c r="G125" s="4">
        <f>IF(Table1[[#This Row],[CorrectedLeadTimeDays]]&lt;=7, 1, 0)</f>
        <v>1</v>
      </c>
      <c r="H125" s="4" t="str">
        <f t="shared" si="16"/>
        <v>August</v>
      </c>
      <c r="I125" s="4" t="str">
        <f t="shared" si="17"/>
        <v>Q3-2023</v>
      </c>
      <c r="J125" s="4" t="str">
        <f t="shared" si="18"/>
        <v>2023-01</v>
      </c>
      <c r="K125" s="3">
        <f t="shared" si="19"/>
        <v>44941</v>
      </c>
      <c r="L125" t="s">
        <v>646</v>
      </c>
      <c r="M125" t="s">
        <v>651</v>
      </c>
      <c r="N125" t="s">
        <v>669</v>
      </c>
      <c r="O125" t="s">
        <v>705</v>
      </c>
      <c r="P125" t="s">
        <v>708</v>
      </c>
      <c r="Q125" t="s">
        <v>713</v>
      </c>
      <c r="R125">
        <f t="shared" si="20"/>
        <v>7</v>
      </c>
      <c r="S125" t="s">
        <v>732</v>
      </c>
      <c r="T125" t="s">
        <v>917</v>
      </c>
      <c r="U125" s="4">
        <v>790.63</v>
      </c>
      <c r="V125" s="4">
        <f>Table1[[#This Row],[UnitCost]]*(1+WhatIf!$B$3)</f>
        <v>830.16150000000005</v>
      </c>
      <c r="W125" s="4">
        <f t="shared" si="21"/>
        <v>5534.41</v>
      </c>
      <c r="X125" s="4">
        <f>Table1[[#This Row],[ScenarioRev]]-Table1[[#This Row],[ScenarioUnitCost]]</f>
        <v>8738.6030129999999</v>
      </c>
      <c r="Y125" s="4">
        <v>1382.31</v>
      </c>
      <c r="Z125" s="4">
        <f t="shared" si="22"/>
        <v>8698.8768300000011</v>
      </c>
      <c r="AA125" s="4">
        <f>Table1[[#This Row],[ScenarioQuanity]]*Table1[[#This Row],[UnitPrice]]*(1-Table1[[#This Row],[ScenarioDiscPct]])</f>
        <v>9568.7645130000001</v>
      </c>
      <c r="AB125" s="4">
        <f t="shared" si="23"/>
        <v>3164.4668300000012</v>
      </c>
      <c r="AC125" s="4">
        <f>Table1[[#This Row],[ScenarioRev]] - Table1[[#This Row],[ScenarioCostOfGoods]]</f>
        <v>830.16150000000016</v>
      </c>
      <c r="AD125" s="6">
        <v>0.10100000000000001</v>
      </c>
      <c r="AE125" s="6">
        <f>MIN(Table1[[#This Row],[DiscountPct]], WhatIf!$B$2)</f>
        <v>0.10100000000000001</v>
      </c>
      <c r="AF125" s="6">
        <f>IF(Table1[[#This Row],[DiscountPct]]&gt;0.2, 1, 0)</f>
        <v>0</v>
      </c>
      <c r="AG125" s="6" t="str">
        <f t="shared" si="24"/>
        <v>High</v>
      </c>
      <c r="AH125" s="6">
        <f t="shared" si="25"/>
        <v>0.36377878338116448</v>
      </c>
      <c r="AI125" s="5">
        <v>7</v>
      </c>
      <c r="AJ125" s="6">
        <f>Table1[[#This Row],[Quantity]]*(1+WhatIf!$B$4)</f>
        <v>7.7000000000000011</v>
      </c>
    </row>
    <row r="126" spans="1:36" x14ac:dyDescent="0.3">
      <c r="A126" t="s">
        <v>521</v>
      </c>
      <c r="B126" s="3">
        <v>45589</v>
      </c>
      <c r="C126" s="3">
        <v>45593</v>
      </c>
      <c r="D126" s="3">
        <f t="shared" si="14"/>
        <v>45593</v>
      </c>
      <c r="E126" s="4">
        <f t="shared" si="13"/>
        <v>4</v>
      </c>
      <c r="F126" s="4">
        <f t="shared" si="15"/>
        <v>4</v>
      </c>
      <c r="G126" s="4">
        <f>IF(Table1[[#This Row],[CorrectedLeadTimeDays]]&lt;=7, 1, 0)</f>
        <v>1</v>
      </c>
      <c r="H126" s="4" t="str">
        <f t="shared" si="16"/>
        <v>October</v>
      </c>
      <c r="I126" s="4" t="str">
        <f t="shared" si="17"/>
        <v>Q4-2024</v>
      </c>
      <c r="J126" s="4" t="str">
        <f t="shared" si="18"/>
        <v>2023-01</v>
      </c>
      <c r="K126" s="3">
        <f t="shared" si="19"/>
        <v>44938</v>
      </c>
      <c r="L126" t="s">
        <v>647</v>
      </c>
      <c r="M126" t="s">
        <v>659</v>
      </c>
      <c r="N126" t="s">
        <v>685</v>
      </c>
      <c r="O126" t="s">
        <v>705</v>
      </c>
      <c r="P126" t="s">
        <v>710</v>
      </c>
      <c r="Q126" t="s">
        <v>714</v>
      </c>
      <c r="R126">
        <f t="shared" si="20"/>
        <v>21</v>
      </c>
      <c r="S126" t="s">
        <v>729</v>
      </c>
      <c r="T126" t="s">
        <v>1240</v>
      </c>
      <c r="U126" s="4">
        <v>1331.77</v>
      </c>
      <c r="V126" s="4">
        <f>Table1[[#This Row],[UnitCost]]*(1+WhatIf!$B$3)</f>
        <v>1398.3585</v>
      </c>
      <c r="W126" s="4">
        <f t="shared" si="21"/>
        <v>7990.62</v>
      </c>
      <c r="X126" s="4">
        <f>Table1[[#This Row],[ScenarioRev]]-Table1[[#This Row],[ScenarioUnitCost]]</f>
        <v>15457.960980000002</v>
      </c>
      <c r="Y126" s="4">
        <v>2606.11</v>
      </c>
      <c r="Z126" s="4">
        <f t="shared" si="22"/>
        <v>15323.926799999999</v>
      </c>
      <c r="AA126" s="4">
        <f>Table1[[#This Row],[ScenarioQuanity]]*Table1[[#This Row],[UnitPrice]]*(1-Table1[[#This Row],[ScenarioDiscPct]])</f>
        <v>16856.319480000002</v>
      </c>
      <c r="AB126" s="4">
        <f t="shared" si="23"/>
        <v>7333.3067999999994</v>
      </c>
      <c r="AC126" s="4">
        <f>Table1[[#This Row],[ScenarioRev]] - Table1[[#This Row],[ScenarioCostOfGoods]]</f>
        <v>1398.3585000000003</v>
      </c>
      <c r="AD126" s="6">
        <v>0.02</v>
      </c>
      <c r="AE126" s="6">
        <f>MIN(Table1[[#This Row],[DiscountPct]], WhatIf!$B$2)</f>
        <v>0.02</v>
      </c>
      <c r="AF126" s="6">
        <f>IF(Table1[[#This Row],[DiscountPct]]&gt;0.2, 1, 0)</f>
        <v>0</v>
      </c>
      <c r="AG126" s="6" t="str">
        <f t="shared" si="24"/>
        <v>High</v>
      </c>
      <c r="AH126" s="6">
        <f t="shared" si="25"/>
        <v>0.47855271665745619</v>
      </c>
      <c r="AI126" s="5">
        <v>6</v>
      </c>
      <c r="AJ126" s="6">
        <f>Table1[[#This Row],[Quantity]]*(1+WhatIf!$B$4)</f>
        <v>6.6000000000000005</v>
      </c>
    </row>
    <row r="127" spans="1:36" x14ac:dyDescent="0.3">
      <c r="A127" t="s">
        <v>346</v>
      </c>
      <c r="B127" s="3">
        <v>45168</v>
      </c>
      <c r="C127" s="3">
        <v>45172</v>
      </c>
      <c r="D127" s="3">
        <f t="shared" si="14"/>
        <v>45172</v>
      </c>
      <c r="E127" s="4">
        <f t="shared" si="13"/>
        <v>4</v>
      </c>
      <c r="F127" s="4">
        <f t="shared" si="15"/>
        <v>4</v>
      </c>
      <c r="G127" s="4">
        <f>IF(Table1[[#This Row],[CorrectedLeadTimeDays]]&lt;=7, 1, 0)</f>
        <v>1</v>
      </c>
      <c r="H127" s="4" t="str">
        <f t="shared" si="16"/>
        <v>August</v>
      </c>
      <c r="I127" s="4" t="str">
        <f t="shared" si="17"/>
        <v>Q3-2023</v>
      </c>
      <c r="J127" s="4" t="str">
        <f t="shared" si="18"/>
        <v>2023-01</v>
      </c>
      <c r="K127" s="3">
        <f t="shared" si="19"/>
        <v>44955</v>
      </c>
      <c r="L127" t="s">
        <v>647</v>
      </c>
      <c r="M127" t="s">
        <v>654</v>
      </c>
      <c r="N127" t="s">
        <v>680</v>
      </c>
      <c r="O127" t="s">
        <v>705</v>
      </c>
      <c r="P127" t="s">
        <v>709</v>
      </c>
      <c r="Q127" t="s">
        <v>716</v>
      </c>
      <c r="R127">
        <f t="shared" si="20"/>
        <v>7</v>
      </c>
      <c r="S127" t="s">
        <v>733</v>
      </c>
      <c r="T127" t="s">
        <v>1066</v>
      </c>
      <c r="U127" s="4">
        <v>1082.25</v>
      </c>
      <c r="V127" s="4">
        <f>Table1[[#This Row],[UnitCost]]*(1+WhatIf!$B$3)</f>
        <v>1136.3625</v>
      </c>
      <c r="W127" s="4">
        <f t="shared" si="21"/>
        <v>4329</v>
      </c>
      <c r="X127" s="4">
        <f>Table1[[#This Row],[ScenarioRev]]-Table1[[#This Row],[ScenarioUnitCost]]</f>
        <v>7428.9943000000012</v>
      </c>
      <c r="Y127" s="4">
        <v>2433.34</v>
      </c>
      <c r="Z127" s="4">
        <f t="shared" si="22"/>
        <v>7105.3528000000006</v>
      </c>
      <c r="AA127" s="4">
        <f>Table1[[#This Row],[ScenarioQuanity]]*Table1[[#This Row],[UnitPrice]]*(1-Table1[[#This Row],[ScenarioDiscPct]])</f>
        <v>8565.3568000000014</v>
      </c>
      <c r="AB127" s="4">
        <f t="shared" si="23"/>
        <v>2776.3528000000006</v>
      </c>
      <c r="AC127" s="4">
        <f>Table1[[#This Row],[ScenarioRev]] - Table1[[#This Row],[ScenarioCostOfGoods]]</f>
        <v>1136.3625000000002</v>
      </c>
      <c r="AD127" s="6">
        <v>0.27</v>
      </c>
      <c r="AE127" s="6">
        <f>MIN(Table1[[#This Row],[DiscountPct]], WhatIf!$B$2)</f>
        <v>0.2</v>
      </c>
      <c r="AF127" s="6">
        <f>IF(Table1[[#This Row],[DiscountPct]]&gt;0.2, 1, 0)</f>
        <v>1</v>
      </c>
      <c r="AG127" s="6" t="str">
        <f t="shared" si="24"/>
        <v>High</v>
      </c>
      <c r="AH127" s="6">
        <f t="shared" si="25"/>
        <v>0.3907410199251472</v>
      </c>
      <c r="AI127" s="5">
        <v>4</v>
      </c>
      <c r="AJ127" s="6">
        <f>Table1[[#This Row],[Quantity]]*(1+WhatIf!$B$4)</f>
        <v>4.4000000000000004</v>
      </c>
    </row>
    <row r="128" spans="1:36" x14ac:dyDescent="0.3">
      <c r="A128" t="s">
        <v>627</v>
      </c>
      <c r="B128" s="3">
        <v>45468</v>
      </c>
      <c r="C128" s="3">
        <v>45473</v>
      </c>
      <c r="D128" s="3">
        <f t="shared" si="14"/>
        <v>45473</v>
      </c>
      <c r="E128" s="4">
        <f t="shared" si="13"/>
        <v>5</v>
      </c>
      <c r="F128" s="4">
        <f t="shared" si="15"/>
        <v>5</v>
      </c>
      <c r="G128" s="4">
        <f>IF(Table1[[#This Row],[CorrectedLeadTimeDays]]&lt;=7, 1, 0)</f>
        <v>1</v>
      </c>
      <c r="H128" s="4" t="str">
        <f t="shared" si="16"/>
        <v>June</v>
      </c>
      <c r="I128" s="4" t="str">
        <f t="shared" si="17"/>
        <v>Q2-2024</v>
      </c>
      <c r="J128" s="4" t="str">
        <f t="shared" si="18"/>
        <v>2023-01</v>
      </c>
      <c r="K128" s="3">
        <f t="shared" si="19"/>
        <v>44946</v>
      </c>
      <c r="L128" t="s">
        <v>646</v>
      </c>
      <c r="M128" t="s">
        <v>650</v>
      </c>
      <c r="N128" t="s">
        <v>662</v>
      </c>
      <c r="O128" t="s">
        <v>702</v>
      </c>
      <c r="P128" t="s">
        <v>711</v>
      </c>
      <c r="Q128" t="s">
        <v>724</v>
      </c>
      <c r="R128">
        <f t="shared" si="20"/>
        <v>17</v>
      </c>
      <c r="S128" t="s">
        <v>729</v>
      </c>
      <c r="T128" t="s">
        <v>1345</v>
      </c>
      <c r="U128" s="4">
        <v>1323.55</v>
      </c>
      <c r="V128" s="4">
        <f>Table1[[#This Row],[UnitCost]]*(1+WhatIf!$B$3)</f>
        <v>1389.7275</v>
      </c>
      <c r="W128" s="4">
        <f t="shared" si="21"/>
        <v>34412.299999999996</v>
      </c>
      <c r="X128" s="4">
        <f>Table1[[#This Row],[ScenarioRev]]-Table1[[#This Row],[ScenarioUnitCost]]</f>
        <v>88965.746280000007</v>
      </c>
      <c r="Y128" s="4">
        <v>3230.35</v>
      </c>
      <c r="Z128" s="4">
        <f t="shared" si="22"/>
        <v>82141.339799999987</v>
      </c>
      <c r="AA128" s="4">
        <f>Table1[[#This Row],[ScenarioQuanity]]*Table1[[#This Row],[UnitPrice]]*(1-Table1[[#This Row],[ScenarioDiscPct]])</f>
        <v>90355.47378</v>
      </c>
      <c r="AB128" s="4">
        <f t="shared" si="23"/>
        <v>47729.039799999991</v>
      </c>
      <c r="AC128" s="4">
        <f>Table1[[#This Row],[ScenarioRev]] - Table1[[#This Row],[ScenarioCostOfGoods]]</f>
        <v>1389.7274999999936</v>
      </c>
      <c r="AD128" s="6">
        <v>2.1999999999999999E-2</v>
      </c>
      <c r="AE128" s="6">
        <f>MIN(Table1[[#This Row],[DiscountPct]], WhatIf!$B$2)</f>
        <v>2.1999999999999999E-2</v>
      </c>
      <c r="AF128" s="6">
        <f>IF(Table1[[#This Row],[DiscountPct]]&gt;0.2, 1, 0)</f>
        <v>0</v>
      </c>
      <c r="AG128" s="6" t="str">
        <f t="shared" si="24"/>
        <v>High</v>
      </c>
      <c r="AH128" s="6">
        <f t="shared" si="25"/>
        <v>0.58105991351263542</v>
      </c>
      <c r="AI128" s="5">
        <v>26</v>
      </c>
      <c r="AJ128" s="6">
        <f>Table1[[#This Row],[Quantity]]*(1+WhatIf!$B$4)</f>
        <v>28.6</v>
      </c>
    </row>
    <row r="129" spans="1:36" x14ac:dyDescent="0.3">
      <c r="A129" t="s">
        <v>632</v>
      </c>
      <c r="B129" s="3">
        <v>45849</v>
      </c>
      <c r="C129" s="3">
        <v>45854</v>
      </c>
      <c r="D129" s="3">
        <f t="shared" si="14"/>
        <v>45854</v>
      </c>
      <c r="E129" s="4">
        <f t="shared" si="13"/>
        <v>5</v>
      </c>
      <c r="F129" s="4">
        <f t="shared" si="15"/>
        <v>5</v>
      </c>
      <c r="G129" s="4">
        <f>IF(Table1[[#This Row],[CorrectedLeadTimeDays]]&lt;=7, 1, 0)</f>
        <v>1</v>
      </c>
      <c r="H129" s="4" t="str">
        <f t="shared" si="16"/>
        <v>July</v>
      </c>
      <c r="I129" s="4" t="str">
        <f t="shared" si="17"/>
        <v>Q3-2025</v>
      </c>
      <c r="J129" s="4" t="str">
        <f t="shared" si="18"/>
        <v>2023-01</v>
      </c>
      <c r="K129" s="3">
        <f t="shared" si="19"/>
        <v>44945</v>
      </c>
      <c r="L129" t="s">
        <v>649</v>
      </c>
      <c r="M129" t="s">
        <v>658</v>
      </c>
      <c r="N129" t="s">
        <v>683</v>
      </c>
      <c r="O129" t="s">
        <v>706</v>
      </c>
      <c r="P129" t="s">
        <v>708</v>
      </c>
      <c r="Q129" t="s">
        <v>723</v>
      </c>
      <c r="R129">
        <f t="shared" si="20"/>
        <v>29</v>
      </c>
      <c r="S129" t="s">
        <v>728</v>
      </c>
      <c r="T129" t="s">
        <v>1350</v>
      </c>
      <c r="U129" s="4">
        <v>930.03</v>
      </c>
      <c r="V129" s="4">
        <f>Table1[[#This Row],[UnitCost]]*(1+WhatIf!$B$3)</f>
        <v>976.53150000000005</v>
      </c>
      <c r="W129" s="4">
        <f t="shared" si="21"/>
        <v>24180.78</v>
      </c>
      <c r="X129" s="4">
        <f>Table1[[#This Row],[ScenarioRev]]-Table1[[#This Row],[ScenarioUnitCost]]</f>
        <v>26714.900268000001</v>
      </c>
      <c r="Y129" s="4">
        <v>1086.68</v>
      </c>
      <c r="Z129" s="4">
        <f t="shared" si="22"/>
        <v>25174.028880000002</v>
      </c>
      <c r="AA129" s="4">
        <f>Table1[[#This Row],[ScenarioQuanity]]*Table1[[#This Row],[UnitPrice]]*(1-Table1[[#This Row],[ScenarioDiscPct]])</f>
        <v>27691.431768000002</v>
      </c>
      <c r="AB129" s="4">
        <f t="shared" si="23"/>
        <v>993.24888000000283</v>
      </c>
      <c r="AC129" s="4">
        <f>Table1[[#This Row],[ScenarioRev]] - Table1[[#This Row],[ScenarioCostOfGoods]]</f>
        <v>976.53150000000096</v>
      </c>
      <c r="AD129" s="6">
        <v>0.109</v>
      </c>
      <c r="AE129" s="6">
        <f>MIN(Table1[[#This Row],[DiscountPct]], WhatIf!$B$2)</f>
        <v>0.109</v>
      </c>
      <c r="AF129" s="6">
        <f>IF(Table1[[#This Row],[DiscountPct]]&gt;0.2, 1, 0)</f>
        <v>0</v>
      </c>
      <c r="AG129" s="6" t="str">
        <f t="shared" si="24"/>
        <v>High</v>
      </c>
      <c r="AH129" s="6">
        <f t="shared" si="25"/>
        <v>3.9455300728168656E-2</v>
      </c>
      <c r="AI129" s="5">
        <v>26</v>
      </c>
      <c r="AJ129" s="6">
        <f>Table1[[#This Row],[Quantity]]*(1+WhatIf!$B$4)</f>
        <v>28.6</v>
      </c>
    </row>
    <row r="130" spans="1:36" x14ac:dyDescent="0.3">
      <c r="A130" t="s">
        <v>149</v>
      </c>
      <c r="B130" s="3">
        <v>45647</v>
      </c>
      <c r="C130" s="3">
        <v>45652</v>
      </c>
      <c r="D130" s="3">
        <f t="shared" si="14"/>
        <v>45652</v>
      </c>
      <c r="E130" s="4">
        <f t="shared" ref="E130:E193" si="26">C130-B130</f>
        <v>5</v>
      </c>
      <c r="F130" s="4">
        <f t="shared" si="15"/>
        <v>5</v>
      </c>
      <c r="G130" s="4">
        <f>IF(Table1[[#This Row],[CorrectedLeadTimeDays]]&lt;=7, 1, 0)</f>
        <v>1</v>
      </c>
      <c r="H130" s="4" t="str">
        <f t="shared" si="16"/>
        <v>December</v>
      </c>
      <c r="I130" s="4" t="str">
        <f t="shared" si="17"/>
        <v>Q4-2024</v>
      </c>
      <c r="J130" s="4" t="str">
        <f t="shared" si="18"/>
        <v>2023-01</v>
      </c>
      <c r="K130" s="3">
        <f t="shared" si="19"/>
        <v>44939</v>
      </c>
      <c r="L130" t="s">
        <v>648</v>
      </c>
      <c r="M130" t="s">
        <v>660</v>
      </c>
      <c r="N130" t="s">
        <v>686</v>
      </c>
      <c r="O130" t="s">
        <v>704</v>
      </c>
      <c r="P130" t="s">
        <v>709</v>
      </c>
      <c r="Q130" t="s">
        <v>724</v>
      </c>
      <c r="R130">
        <f t="shared" si="20"/>
        <v>23</v>
      </c>
      <c r="S130" t="s">
        <v>728</v>
      </c>
      <c r="T130" t="s">
        <v>868</v>
      </c>
      <c r="U130" s="4">
        <v>699.57</v>
      </c>
      <c r="V130" s="4">
        <f>Table1[[#This Row],[UnitCost]]*(1+WhatIf!$B$3)</f>
        <v>734.5485000000001</v>
      </c>
      <c r="W130" s="4">
        <f t="shared" si="21"/>
        <v>18188.82</v>
      </c>
      <c r="X130" s="4">
        <f>Table1[[#This Row],[ScenarioRev]]-Table1[[#This Row],[ScenarioUnitCost]]</f>
        <v>12500.092348000002</v>
      </c>
      <c r="Y130" s="4">
        <v>572.71</v>
      </c>
      <c r="Z130" s="4">
        <f t="shared" si="22"/>
        <v>12031.491680000001</v>
      </c>
      <c r="AA130" s="4">
        <f>Table1[[#This Row],[ScenarioQuanity]]*Table1[[#This Row],[UnitPrice]]*(1-Table1[[#This Row],[ScenarioDiscPct]])</f>
        <v>13234.640848000003</v>
      </c>
      <c r="AB130" s="4">
        <f t="shared" si="23"/>
        <v>-6157.3283199999987</v>
      </c>
      <c r="AC130" s="4">
        <f>Table1[[#This Row],[ScenarioRev]] - Table1[[#This Row],[ScenarioCostOfGoods]]</f>
        <v>734.54850000000079</v>
      </c>
      <c r="AD130" s="6">
        <v>0.192</v>
      </c>
      <c r="AE130" s="6">
        <f>MIN(Table1[[#This Row],[DiscountPct]], WhatIf!$B$2)</f>
        <v>0.192</v>
      </c>
      <c r="AF130" s="6">
        <f>IF(Table1[[#This Row],[DiscountPct]]&gt;0.2, 1, 0)</f>
        <v>0</v>
      </c>
      <c r="AG130" s="6" t="str">
        <f t="shared" si="24"/>
        <v>Low</v>
      </c>
      <c r="AH130" s="6">
        <f t="shared" si="25"/>
        <v>-0.51176765805651114</v>
      </c>
      <c r="AI130" s="5">
        <v>26</v>
      </c>
      <c r="AJ130" s="6">
        <f>Table1[[#This Row],[Quantity]]*(1+WhatIf!$B$4)</f>
        <v>28.6</v>
      </c>
    </row>
    <row r="131" spans="1:36" x14ac:dyDescent="0.3">
      <c r="A131" t="s">
        <v>602</v>
      </c>
      <c r="B131" s="3">
        <v>45459</v>
      </c>
      <c r="C131" s="3">
        <v>45464</v>
      </c>
      <c r="D131" s="3">
        <f t="shared" ref="D131:D194" si="27">IF(C131&lt;B131, B131+14, C131)</f>
        <v>45464</v>
      </c>
      <c r="E131" s="4">
        <f t="shared" si="26"/>
        <v>5</v>
      </c>
      <c r="F131" s="4">
        <f t="shared" ref="F131:F194" si="28">D131-B131</f>
        <v>5</v>
      </c>
      <c r="G131" s="4">
        <f>IF(Table1[[#This Row],[CorrectedLeadTimeDays]]&lt;=7, 1, 0)</f>
        <v>1</v>
      </c>
      <c r="H131" s="4" t="str">
        <f t="shared" ref="H131:H194" si="29">TEXT(B131, "mmmm")</f>
        <v>June</v>
      </c>
      <c r="I131" s="4" t="str">
        <f t="shared" ref="I131:I194" si="30">"Q"&amp;ROUNDUP(MONTH(B131)/3,0)&amp;"-"&amp;YEAR(B131)</f>
        <v>Q2-2024</v>
      </c>
      <c r="J131" s="4" t="str">
        <f t="shared" ref="J131:J194" si="31">TEXT(K131, "yyyy-mm")</f>
        <v>2023-03</v>
      </c>
      <c r="K131" s="3">
        <f t="shared" ref="K131:K194" si="32">_xlfn.MINIFS($B:$B,$M:$M,M131)</f>
        <v>44988</v>
      </c>
      <c r="L131" t="s">
        <v>647</v>
      </c>
      <c r="M131" t="s">
        <v>652</v>
      </c>
      <c r="N131" t="s">
        <v>689</v>
      </c>
      <c r="O131" t="s">
        <v>705</v>
      </c>
      <c r="P131" t="s">
        <v>710</v>
      </c>
      <c r="Q131" t="s">
        <v>721</v>
      </c>
      <c r="R131">
        <f t="shared" ref="R131:R194" si="33">DATEDIF(K131,B131,"m")</f>
        <v>15</v>
      </c>
      <c r="S131" t="s">
        <v>730</v>
      </c>
      <c r="T131" t="s">
        <v>1320</v>
      </c>
      <c r="U131" s="4">
        <v>1367.13</v>
      </c>
      <c r="V131" s="4">
        <f>Table1[[#This Row],[UnitCost]]*(1+WhatIf!$B$3)</f>
        <v>1435.4865000000002</v>
      </c>
      <c r="W131" s="4">
        <f t="shared" ref="W131:W194" si="34">U131*AI131</f>
        <v>34178.25</v>
      </c>
      <c r="X131" s="4">
        <f>Table1[[#This Row],[ScenarioRev]]-Table1[[#This Row],[ScenarioUnitCost]]</f>
        <v>74096.645175000027</v>
      </c>
      <c r="Y131" s="4">
        <v>3062.01</v>
      </c>
      <c r="Z131" s="4">
        <f t="shared" ref="Z131:Z194" si="35">Y131*AI131*(1-AD131)</f>
        <v>68665.574250000005</v>
      </c>
      <c r="AA131" s="4">
        <f>Table1[[#This Row],[ScenarioQuanity]]*Table1[[#This Row],[UnitPrice]]*(1-Table1[[#This Row],[ScenarioDiscPct]])</f>
        <v>75532.131675000026</v>
      </c>
      <c r="AB131" s="4">
        <f t="shared" ref="AB131:AB194" si="36">Z131-W131</f>
        <v>34487.324250000005</v>
      </c>
      <c r="AC131" s="4">
        <f>Table1[[#This Row],[ScenarioRev]] - Table1[[#This Row],[ScenarioCostOfGoods]]</f>
        <v>1435.4864999999991</v>
      </c>
      <c r="AD131" s="6">
        <v>0.10299999999999999</v>
      </c>
      <c r="AE131" s="6">
        <f>MIN(Table1[[#This Row],[DiscountPct]], WhatIf!$B$2)</f>
        <v>0.10299999999999999</v>
      </c>
      <c r="AF131" s="6">
        <f>IF(Table1[[#This Row],[DiscountPct]]&gt;0.2, 1, 0)</f>
        <v>0</v>
      </c>
      <c r="AG131" s="6" t="str">
        <f t="shared" ref="AG131:AG194" si="37">IF(Y131&lt;=_xlfn.PERCENTILE.INC($Y:$Y,0.33),"Low",
 IF(D131&lt;=_xlfn.PERCENTILE.INC($Y:$Y,0.66),"Medium",
 "High"))</f>
        <v>High</v>
      </c>
      <c r="AH131" s="6">
        <f t="shared" ref="AH131:AH194" si="38">IF(Z131=0, 0, AB131/Z131)</f>
        <v>0.50225057645971705</v>
      </c>
      <c r="AI131" s="5">
        <v>25</v>
      </c>
      <c r="AJ131" s="6">
        <f>Table1[[#This Row],[Quantity]]*(1+WhatIf!$B$4)</f>
        <v>27.500000000000004</v>
      </c>
    </row>
    <row r="132" spans="1:36" x14ac:dyDescent="0.3">
      <c r="A132" t="s">
        <v>88</v>
      </c>
      <c r="B132" s="3">
        <v>45641</v>
      </c>
      <c r="C132" s="3">
        <v>45646</v>
      </c>
      <c r="D132" s="3">
        <f t="shared" si="27"/>
        <v>45646</v>
      </c>
      <c r="E132" s="4">
        <f t="shared" si="26"/>
        <v>5</v>
      </c>
      <c r="F132" s="4">
        <f t="shared" si="28"/>
        <v>5</v>
      </c>
      <c r="G132" s="4">
        <f>IF(Table1[[#This Row],[CorrectedLeadTimeDays]]&lt;=7, 1, 0)</f>
        <v>1</v>
      </c>
      <c r="H132" s="4" t="str">
        <f t="shared" si="29"/>
        <v>December</v>
      </c>
      <c r="I132" s="4" t="str">
        <f t="shared" si="30"/>
        <v>Q4-2024</v>
      </c>
      <c r="J132" s="4" t="str">
        <f t="shared" si="31"/>
        <v>2023-01</v>
      </c>
      <c r="K132" s="3">
        <f t="shared" si="32"/>
        <v>44938</v>
      </c>
      <c r="L132" t="s">
        <v>647</v>
      </c>
      <c r="M132" t="s">
        <v>659</v>
      </c>
      <c r="N132" t="s">
        <v>676</v>
      </c>
      <c r="O132" t="s">
        <v>705</v>
      </c>
      <c r="P132" t="s">
        <v>711</v>
      </c>
      <c r="Q132" t="s">
        <v>713</v>
      </c>
      <c r="R132">
        <f t="shared" si="33"/>
        <v>23</v>
      </c>
      <c r="S132" t="s">
        <v>729</v>
      </c>
      <c r="T132" t="s">
        <v>807</v>
      </c>
      <c r="U132" s="4">
        <v>717.55</v>
      </c>
      <c r="V132" s="4">
        <f>Table1[[#This Row],[UnitCost]]*(1+WhatIf!$B$3)</f>
        <v>753.42750000000001</v>
      </c>
      <c r="W132" s="4">
        <f t="shared" si="34"/>
        <v>12915.9</v>
      </c>
      <c r="X132" s="4">
        <f>Table1[[#This Row],[ScenarioRev]]-Table1[[#This Row],[ScenarioUnitCost]]</f>
        <v>9557.3787420000008</v>
      </c>
      <c r="Y132" s="4">
        <v>546.42999999999995</v>
      </c>
      <c r="Z132" s="4">
        <f t="shared" si="35"/>
        <v>9373.460219999999</v>
      </c>
      <c r="AA132" s="4">
        <f>Table1[[#This Row],[ScenarioQuanity]]*Table1[[#This Row],[UnitPrice]]*(1-Table1[[#This Row],[ScenarioDiscPct]])</f>
        <v>10310.806242000001</v>
      </c>
      <c r="AB132" s="4">
        <f t="shared" si="36"/>
        <v>-3542.4397800000006</v>
      </c>
      <c r="AC132" s="4">
        <f>Table1[[#This Row],[ScenarioRev]] - Table1[[#This Row],[ScenarioCostOfGoods]]</f>
        <v>753.42749999999978</v>
      </c>
      <c r="AD132" s="6">
        <v>4.7E-2</v>
      </c>
      <c r="AE132" s="6">
        <f>MIN(Table1[[#This Row],[DiscountPct]], WhatIf!$B$2)</f>
        <v>4.7E-2</v>
      </c>
      <c r="AF132" s="6">
        <f>IF(Table1[[#This Row],[DiscountPct]]&gt;0.2, 1, 0)</f>
        <v>0</v>
      </c>
      <c r="AG132" s="6" t="str">
        <f t="shared" si="37"/>
        <v>Low</v>
      </c>
      <c r="AH132" s="6">
        <f t="shared" si="38"/>
        <v>-0.37792231437026369</v>
      </c>
      <c r="AI132" s="5">
        <v>18</v>
      </c>
      <c r="AJ132" s="6">
        <f>Table1[[#This Row],[Quantity]]*(1+WhatIf!$B$4)</f>
        <v>19.8</v>
      </c>
    </row>
    <row r="133" spans="1:36" x14ac:dyDescent="0.3">
      <c r="A133" t="s">
        <v>67</v>
      </c>
      <c r="B133" s="3">
        <v>45016</v>
      </c>
      <c r="C133" s="3">
        <v>45021</v>
      </c>
      <c r="D133" s="3">
        <f t="shared" si="27"/>
        <v>45021</v>
      </c>
      <c r="E133" s="4">
        <f t="shared" si="26"/>
        <v>5</v>
      </c>
      <c r="F133" s="4">
        <f t="shared" si="28"/>
        <v>5</v>
      </c>
      <c r="G133" s="4">
        <f>IF(Table1[[#This Row],[CorrectedLeadTimeDays]]&lt;=7, 1, 0)</f>
        <v>1</v>
      </c>
      <c r="H133" s="4" t="str">
        <f t="shared" si="29"/>
        <v>March</v>
      </c>
      <c r="I133" s="4" t="str">
        <f t="shared" si="30"/>
        <v>Q1-2023</v>
      </c>
      <c r="J133" s="4" t="str">
        <f t="shared" si="31"/>
        <v>2023-01</v>
      </c>
      <c r="K133" s="3">
        <f t="shared" si="32"/>
        <v>44946</v>
      </c>
      <c r="L133" t="s">
        <v>646</v>
      </c>
      <c r="M133" t="s">
        <v>650</v>
      </c>
      <c r="N133" t="s">
        <v>678</v>
      </c>
      <c r="O133" t="s">
        <v>702</v>
      </c>
      <c r="P133" t="s">
        <v>709</v>
      </c>
      <c r="Q133" t="s">
        <v>717</v>
      </c>
      <c r="R133">
        <f t="shared" si="33"/>
        <v>2</v>
      </c>
      <c r="S133" t="s">
        <v>731</v>
      </c>
      <c r="T133" t="s">
        <v>786</v>
      </c>
      <c r="U133" s="4">
        <v>533.26</v>
      </c>
      <c r="V133" s="4">
        <f>Table1[[#This Row],[UnitCost]]*(1+WhatIf!$B$3)</f>
        <v>559.923</v>
      </c>
      <c r="W133" s="4">
        <f t="shared" si="34"/>
        <v>7998.9</v>
      </c>
      <c r="X133" s="4">
        <f>Table1[[#This Row],[ScenarioRev]]-Table1[[#This Row],[ScenarioUnitCost]]</f>
        <v>5804.4570000000003</v>
      </c>
      <c r="Y133" s="4">
        <v>385.72</v>
      </c>
      <c r="Z133" s="4">
        <f t="shared" si="35"/>
        <v>5785.8</v>
      </c>
      <c r="AA133" s="4">
        <f>Table1[[#This Row],[ScenarioQuanity]]*Table1[[#This Row],[UnitPrice]]*(1-Table1[[#This Row],[ScenarioDiscPct]])</f>
        <v>6364.38</v>
      </c>
      <c r="AB133" s="4">
        <f t="shared" si="36"/>
        <v>-2213.0999999999995</v>
      </c>
      <c r="AC133" s="4">
        <f>Table1[[#This Row],[ScenarioRev]] - Table1[[#This Row],[ScenarioCostOfGoods]]</f>
        <v>559.92299999999977</v>
      </c>
      <c r="AD133" s="6">
        <v>0</v>
      </c>
      <c r="AE133" s="6">
        <f>MIN(Table1[[#This Row],[DiscountPct]], WhatIf!$B$2)</f>
        <v>0</v>
      </c>
      <c r="AF133" s="6">
        <f>IF(Table1[[#This Row],[DiscountPct]]&gt;0.2, 1, 0)</f>
        <v>0</v>
      </c>
      <c r="AG133" s="6" t="str">
        <f t="shared" si="37"/>
        <v>Low</v>
      </c>
      <c r="AH133" s="6">
        <f t="shared" si="38"/>
        <v>-0.38250544436378708</v>
      </c>
      <c r="AI133" s="5">
        <v>15</v>
      </c>
      <c r="AJ133" s="6">
        <f>Table1[[#This Row],[Quantity]]*(1+WhatIf!$B$4)</f>
        <v>16.5</v>
      </c>
    </row>
    <row r="134" spans="1:36" x14ac:dyDescent="0.3">
      <c r="A134" t="s">
        <v>401</v>
      </c>
      <c r="B134" s="3">
        <v>45419</v>
      </c>
      <c r="C134" s="3">
        <v>45424</v>
      </c>
      <c r="D134" s="3">
        <f t="shared" si="27"/>
        <v>45424</v>
      </c>
      <c r="E134" s="4">
        <f t="shared" si="26"/>
        <v>5</v>
      </c>
      <c r="F134" s="4">
        <f t="shared" si="28"/>
        <v>5</v>
      </c>
      <c r="G134" s="4">
        <f>IF(Table1[[#This Row],[CorrectedLeadTimeDays]]&lt;=7, 1, 0)</f>
        <v>1</v>
      </c>
      <c r="H134" s="4" t="str">
        <f t="shared" si="29"/>
        <v>May</v>
      </c>
      <c r="I134" s="4" t="str">
        <f t="shared" si="30"/>
        <v>Q2-2024</v>
      </c>
      <c r="J134" s="4" t="str">
        <f t="shared" si="31"/>
        <v>2023-01</v>
      </c>
      <c r="K134" s="3">
        <f t="shared" si="32"/>
        <v>44941</v>
      </c>
      <c r="L134" t="s">
        <v>646</v>
      </c>
      <c r="M134" t="s">
        <v>651</v>
      </c>
      <c r="N134" t="s">
        <v>669</v>
      </c>
      <c r="O134" t="s">
        <v>703</v>
      </c>
      <c r="P134" t="s">
        <v>710</v>
      </c>
      <c r="Q134" t="s">
        <v>716</v>
      </c>
      <c r="R134">
        <f t="shared" si="33"/>
        <v>15</v>
      </c>
      <c r="S134" t="s">
        <v>731</v>
      </c>
      <c r="T134" t="s">
        <v>1120</v>
      </c>
      <c r="U134" s="4">
        <v>1163.99</v>
      </c>
      <c r="V134" s="4">
        <f>Table1[[#This Row],[UnitCost]]*(1+WhatIf!$B$3)</f>
        <v>1222.1895</v>
      </c>
      <c r="W134" s="4">
        <f t="shared" si="34"/>
        <v>16295.86</v>
      </c>
      <c r="X134" s="4">
        <f>Table1[[#This Row],[ScenarioRev]]-Table1[[#This Row],[ScenarioUnitCost]]</f>
        <v>20528.509470000001</v>
      </c>
      <c r="Y134" s="4">
        <v>1617.85</v>
      </c>
      <c r="Z134" s="4">
        <f t="shared" si="35"/>
        <v>19773.362699999998</v>
      </c>
      <c r="AA134" s="4">
        <f>Table1[[#This Row],[ScenarioQuanity]]*Table1[[#This Row],[UnitPrice]]*(1-Table1[[#This Row],[ScenarioDiscPct]])</f>
        <v>21750.698970000001</v>
      </c>
      <c r="AB134" s="4">
        <f t="shared" si="36"/>
        <v>3477.5026999999973</v>
      </c>
      <c r="AC134" s="4">
        <f>Table1[[#This Row],[ScenarioRev]] - Table1[[#This Row],[ScenarioCostOfGoods]]</f>
        <v>1222.1895000000004</v>
      </c>
      <c r="AD134" s="6">
        <v>0.127</v>
      </c>
      <c r="AE134" s="6">
        <f>MIN(Table1[[#This Row],[DiscountPct]], WhatIf!$B$2)</f>
        <v>0.127</v>
      </c>
      <c r="AF134" s="6">
        <f>IF(Table1[[#This Row],[DiscountPct]]&gt;0.2, 1, 0)</f>
        <v>0</v>
      </c>
      <c r="AG134" s="6" t="str">
        <f t="shared" si="37"/>
        <v>High</v>
      </c>
      <c r="AH134" s="6">
        <f t="shared" si="38"/>
        <v>0.17586804797749436</v>
      </c>
      <c r="AI134" s="5">
        <v>14</v>
      </c>
      <c r="AJ134" s="6">
        <f>Table1[[#This Row],[Quantity]]*(1+WhatIf!$B$4)</f>
        <v>15.400000000000002</v>
      </c>
    </row>
    <row r="135" spans="1:36" x14ac:dyDescent="0.3">
      <c r="A135" t="s">
        <v>498</v>
      </c>
      <c r="B135" s="3">
        <v>45148</v>
      </c>
      <c r="C135" s="3">
        <v>45153</v>
      </c>
      <c r="D135" s="3">
        <f t="shared" si="27"/>
        <v>45153</v>
      </c>
      <c r="E135" s="4">
        <f t="shared" si="26"/>
        <v>5</v>
      </c>
      <c r="F135" s="4">
        <f t="shared" si="28"/>
        <v>5</v>
      </c>
      <c r="G135" s="4">
        <f>IF(Table1[[#This Row],[CorrectedLeadTimeDays]]&lt;=7, 1, 0)</f>
        <v>1</v>
      </c>
      <c r="H135" s="4" t="str">
        <f t="shared" si="29"/>
        <v>August</v>
      </c>
      <c r="I135" s="4" t="str">
        <f t="shared" si="30"/>
        <v>Q3-2023</v>
      </c>
      <c r="J135" s="4" t="str">
        <f t="shared" si="31"/>
        <v>2023-01</v>
      </c>
      <c r="K135" s="3">
        <f t="shared" si="32"/>
        <v>44955</v>
      </c>
      <c r="L135" t="s">
        <v>648</v>
      </c>
      <c r="M135" t="s">
        <v>655</v>
      </c>
      <c r="N135" t="s">
        <v>670</v>
      </c>
      <c r="O135" t="s">
        <v>702</v>
      </c>
      <c r="P135" t="s">
        <v>711</v>
      </c>
      <c r="Q135" t="s">
        <v>715</v>
      </c>
      <c r="R135">
        <f t="shared" si="33"/>
        <v>6</v>
      </c>
      <c r="S135" t="s">
        <v>729</v>
      </c>
      <c r="T135" t="s">
        <v>1217</v>
      </c>
      <c r="U135" s="4">
        <v>1307.52</v>
      </c>
      <c r="V135" s="4">
        <f>Table1[[#This Row],[UnitCost]]*(1+WhatIf!$B$3)</f>
        <v>1372.896</v>
      </c>
      <c r="W135" s="4">
        <f t="shared" si="34"/>
        <v>16997.759999999998</v>
      </c>
      <c r="X135" s="4">
        <f>Table1[[#This Row],[ScenarioRev]]-Table1[[#This Row],[ScenarioUnitCost]]</f>
        <v>22726.708815000002</v>
      </c>
      <c r="Y135" s="4">
        <v>1921.65</v>
      </c>
      <c r="Z135" s="4">
        <f t="shared" si="35"/>
        <v>21908.731650000002</v>
      </c>
      <c r="AA135" s="4">
        <f>Table1[[#This Row],[ScenarioQuanity]]*Table1[[#This Row],[UnitPrice]]*(1-Table1[[#This Row],[ScenarioDiscPct]])</f>
        <v>24099.604815000002</v>
      </c>
      <c r="AB135" s="4">
        <f t="shared" si="36"/>
        <v>4910.9716500000031</v>
      </c>
      <c r="AC135" s="4">
        <f>Table1[[#This Row],[ScenarioRev]] - Table1[[#This Row],[ScenarioCostOfGoods]]</f>
        <v>1372.8960000000006</v>
      </c>
      <c r="AD135" s="6">
        <v>0.123</v>
      </c>
      <c r="AE135" s="6">
        <f>MIN(Table1[[#This Row],[DiscountPct]], WhatIf!$B$2)</f>
        <v>0.123</v>
      </c>
      <c r="AF135" s="6">
        <f>IF(Table1[[#This Row],[DiscountPct]]&gt;0.2, 1, 0)</f>
        <v>0</v>
      </c>
      <c r="AG135" s="6" t="str">
        <f t="shared" si="37"/>
        <v>High</v>
      </c>
      <c r="AH135" s="6">
        <f t="shared" si="38"/>
        <v>0.22415590863289445</v>
      </c>
      <c r="AI135" s="5">
        <v>13</v>
      </c>
      <c r="AJ135" s="6">
        <f>Table1[[#This Row],[Quantity]]*(1+WhatIf!$B$4)</f>
        <v>14.3</v>
      </c>
    </row>
    <row r="136" spans="1:36" x14ac:dyDescent="0.3">
      <c r="A136" t="s">
        <v>150</v>
      </c>
      <c r="B136" s="3">
        <v>45028</v>
      </c>
      <c r="C136" s="3">
        <v>45033</v>
      </c>
      <c r="D136" s="3">
        <f t="shared" si="27"/>
        <v>45033</v>
      </c>
      <c r="E136" s="4">
        <f t="shared" si="26"/>
        <v>5</v>
      </c>
      <c r="F136" s="4">
        <f t="shared" si="28"/>
        <v>5</v>
      </c>
      <c r="G136" s="4">
        <f>IF(Table1[[#This Row],[CorrectedLeadTimeDays]]&lt;=7, 1, 0)</f>
        <v>1</v>
      </c>
      <c r="H136" s="4" t="str">
        <f t="shared" si="29"/>
        <v>April</v>
      </c>
      <c r="I136" s="4" t="str">
        <f t="shared" si="30"/>
        <v>Q2-2023</v>
      </c>
      <c r="J136" s="4" t="str">
        <f t="shared" si="31"/>
        <v>2023-01</v>
      </c>
      <c r="K136" s="3">
        <f t="shared" si="32"/>
        <v>44936</v>
      </c>
      <c r="L136" t="s">
        <v>649</v>
      </c>
      <c r="M136" t="s">
        <v>657</v>
      </c>
      <c r="N136" t="s">
        <v>679</v>
      </c>
      <c r="O136" t="s">
        <v>706</v>
      </c>
      <c r="P136" t="s">
        <v>711</v>
      </c>
      <c r="Q136" t="s">
        <v>718</v>
      </c>
      <c r="R136">
        <f t="shared" si="33"/>
        <v>3</v>
      </c>
      <c r="S136" t="s">
        <v>732</v>
      </c>
      <c r="T136" t="s">
        <v>869</v>
      </c>
      <c r="U136" s="4">
        <v>1087.81</v>
      </c>
      <c r="V136" s="4">
        <f>Table1[[#This Row],[UnitCost]]*(1+WhatIf!$B$3)</f>
        <v>1142.2004999999999</v>
      </c>
      <c r="W136" s="4">
        <f t="shared" si="34"/>
        <v>14141.529999999999</v>
      </c>
      <c r="X136" s="4">
        <f>Table1[[#This Row],[ScenarioRev]]-Table1[[#This Row],[ScenarioUnitCost]]</f>
        <v>28965.394446000002</v>
      </c>
      <c r="Y136" s="4">
        <v>2323.87</v>
      </c>
      <c r="Z136" s="4">
        <f t="shared" si="35"/>
        <v>27370.540859999997</v>
      </c>
      <c r="AA136" s="4">
        <f>Table1[[#This Row],[ScenarioQuanity]]*Table1[[#This Row],[UnitPrice]]*(1-Table1[[#This Row],[ScenarioDiscPct]])</f>
        <v>30107.594946000001</v>
      </c>
      <c r="AB136" s="4">
        <f t="shared" si="36"/>
        <v>13229.010859999999</v>
      </c>
      <c r="AC136" s="4">
        <f>Table1[[#This Row],[ScenarioRev]] - Table1[[#This Row],[ScenarioCostOfGoods]]</f>
        <v>1142.200499999999</v>
      </c>
      <c r="AD136" s="6">
        <v>9.4E-2</v>
      </c>
      <c r="AE136" s="6">
        <f>MIN(Table1[[#This Row],[DiscountPct]], WhatIf!$B$2)</f>
        <v>9.4E-2</v>
      </c>
      <c r="AF136" s="6">
        <f>IF(Table1[[#This Row],[DiscountPct]]&gt;0.2, 1, 0)</f>
        <v>0</v>
      </c>
      <c r="AG136" s="6" t="str">
        <f t="shared" si="37"/>
        <v>High</v>
      </c>
      <c r="AH136" s="6">
        <f t="shared" si="38"/>
        <v>0.48333026839572651</v>
      </c>
      <c r="AI136" s="5">
        <v>13</v>
      </c>
      <c r="AJ136" s="6">
        <f>Table1[[#This Row],[Quantity]]*(1+WhatIf!$B$4)</f>
        <v>14.3</v>
      </c>
    </row>
    <row r="137" spans="1:36" x14ac:dyDescent="0.3">
      <c r="A137" t="s">
        <v>329</v>
      </c>
      <c r="B137" s="3">
        <v>45809</v>
      </c>
      <c r="C137" s="3">
        <v>45814</v>
      </c>
      <c r="D137" s="3">
        <f t="shared" si="27"/>
        <v>45814</v>
      </c>
      <c r="E137" s="4">
        <f t="shared" si="26"/>
        <v>5</v>
      </c>
      <c r="F137" s="4">
        <f t="shared" si="28"/>
        <v>5</v>
      </c>
      <c r="G137" s="4">
        <f>IF(Table1[[#This Row],[CorrectedLeadTimeDays]]&lt;=7, 1, 0)</f>
        <v>1</v>
      </c>
      <c r="H137" s="4" t="str">
        <f t="shared" si="29"/>
        <v>June</v>
      </c>
      <c r="I137" s="4" t="str">
        <f t="shared" si="30"/>
        <v>Q2-2025</v>
      </c>
      <c r="J137" s="4" t="str">
        <f t="shared" si="31"/>
        <v>2023-01</v>
      </c>
      <c r="K137" s="3">
        <f t="shared" si="32"/>
        <v>44936</v>
      </c>
      <c r="L137" t="s">
        <v>649</v>
      </c>
      <c r="M137" t="s">
        <v>657</v>
      </c>
      <c r="N137" t="s">
        <v>690</v>
      </c>
      <c r="O137" t="s">
        <v>704</v>
      </c>
      <c r="P137" t="s">
        <v>710</v>
      </c>
      <c r="Q137" t="s">
        <v>715</v>
      </c>
      <c r="R137">
        <f t="shared" si="33"/>
        <v>28</v>
      </c>
      <c r="S137" t="s">
        <v>727</v>
      </c>
      <c r="T137" t="s">
        <v>1049</v>
      </c>
      <c r="U137" s="4">
        <v>379.45</v>
      </c>
      <c r="V137" s="4">
        <f>Table1[[#This Row],[UnitCost]]*(1+WhatIf!$B$3)</f>
        <v>398.42250000000001</v>
      </c>
      <c r="W137" s="4">
        <f t="shared" si="34"/>
        <v>4932.8499999999995</v>
      </c>
      <c r="X137" s="4">
        <f>Table1[[#This Row],[ScenarioRev]]-Table1[[#This Row],[ScenarioUnitCost]]</f>
        <v>9260.2164900000007</v>
      </c>
      <c r="Y137" s="4">
        <v>742.23</v>
      </c>
      <c r="Z137" s="4">
        <f t="shared" si="35"/>
        <v>8780.5809000000008</v>
      </c>
      <c r="AA137" s="4">
        <f>Table1[[#This Row],[ScenarioQuanity]]*Table1[[#This Row],[UnitPrice]]*(1-Table1[[#This Row],[ScenarioDiscPct]])</f>
        <v>9658.6389900000013</v>
      </c>
      <c r="AB137" s="4">
        <f t="shared" si="36"/>
        <v>3847.7309000000014</v>
      </c>
      <c r="AC137" s="4">
        <f>Table1[[#This Row],[ScenarioRev]] - Table1[[#This Row],[ScenarioCostOfGoods]]</f>
        <v>398.42250000000058</v>
      </c>
      <c r="AD137" s="6">
        <v>0.09</v>
      </c>
      <c r="AE137" s="6">
        <f>MIN(Table1[[#This Row],[DiscountPct]], WhatIf!$B$2)</f>
        <v>0.09</v>
      </c>
      <c r="AF137" s="6">
        <f>IF(Table1[[#This Row],[DiscountPct]]&gt;0.2, 1, 0)</f>
        <v>0</v>
      </c>
      <c r="AG137" s="6" t="str">
        <f t="shared" si="37"/>
        <v>Low</v>
      </c>
      <c r="AH137" s="6">
        <f t="shared" si="38"/>
        <v>0.43820915083192286</v>
      </c>
      <c r="AI137" s="5">
        <v>13</v>
      </c>
      <c r="AJ137" s="6">
        <f>Table1[[#This Row],[Quantity]]*(1+WhatIf!$B$4)</f>
        <v>14.3</v>
      </c>
    </row>
    <row r="138" spans="1:36" x14ac:dyDescent="0.3">
      <c r="A138" t="s">
        <v>39</v>
      </c>
      <c r="B138" s="3">
        <v>44964</v>
      </c>
      <c r="C138" s="3">
        <v>44969</v>
      </c>
      <c r="D138" s="3">
        <f t="shared" si="27"/>
        <v>44969</v>
      </c>
      <c r="E138" s="4">
        <f t="shared" si="26"/>
        <v>5</v>
      </c>
      <c r="F138" s="4">
        <f t="shared" si="28"/>
        <v>5</v>
      </c>
      <c r="G138" s="4">
        <f>IF(Table1[[#This Row],[CorrectedLeadTimeDays]]&lt;=7, 1, 0)</f>
        <v>1</v>
      </c>
      <c r="H138" s="4" t="str">
        <f t="shared" si="29"/>
        <v>February</v>
      </c>
      <c r="I138" s="4" t="str">
        <f t="shared" si="30"/>
        <v>Q1-2023</v>
      </c>
      <c r="J138" s="4" t="str">
        <f t="shared" si="31"/>
        <v>2023-01</v>
      </c>
      <c r="K138" s="3">
        <f t="shared" si="32"/>
        <v>44955</v>
      </c>
      <c r="L138" t="s">
        <v>648</v>
      </c>
      <c r="M138" t="s">
        <v>655</v>
      </c>
      <c r="N138" t="s">
        <v>670</v>
      </c>
      <c r="O138" t="s">
        <v>702</v>
      </c>
      <c r="P138" t="s">
        <v>708</v>
      </c>
      <c r="Q138" t="s">
        <v>725</v>
      </c>
      <c r="R138">
        <f t="shared" si="33"/>
        <v>0</v>
      </c>
      <c r="S138" t="s">
        <v>727</v>
      </c>
      <c r="T138" t="s">
        <v>758</v>
      </c>
      <c r="U138" s="4">
        <v>948.55</v>
      </c>
      <c r="V138" s="4">
        <f>Table1[[#This Row],[UnitCost]]*(1+WhatIf!$B$3)</f>
        <v>995.97749999999996</v>
      </c>
      <c r="W138" s="4">
        <f t="shared" si="34"/>
        <v>11382.599999999999</v>
      </c>
      <c r="X138" s="4">
        <f>Table1[[#This Row],[ScenarioRev]]-Table1[[#This Row],[ScenarioUnitCost]]</f>
        <v>26387.896116</v>
      </c>
      <c r="Y138" s="4">
        <v>2089.16</v>
      </c>
      <c r="Z138" s="4">
        <f t="shared" si="35"/>
        <v>24894.430559999997</v>
      </c>
      <c r="AA138" s="4">
        <f>Table1[[#This Row],[ScenarioQuanity]]*Table1[[#This Row],[UnitPrice]]*(1-Table1[[#This Row],[ScenarioDiscPct]])</f>
        <v>27383.873616000001</v>
      </c>
      <c r="AB138" s="4">
        <f t="shared" si="36"/>
        <v>13511.830559999999</v>
      </c>
      <c r="AC138" s="4">
        <f>Table1[[#This Row],[ScenarioRev]] - Table1[[#This Row],[ScenarioCostOfGoods]]</f>
        <v>995.97750000000087</v>
      </c>
      <c r="AD138" s="6">
        <v>7.0000000000000001E-3</v>
      </c>
      <c r="AE138" s="6">
        <f>MIN(Table1[[#This Row],[DiscountPct]], WhatIf!$B$2)</f>
        <v>7.0000000000000001E-3</v>
      </c>
      <c r="AF138" s="6">
        <f>IF(Table1[[#This Row],[DiscountPct]]&gt;0.2, 1, 0)</f>
        <v>0</v>
      </c>
      <c r="AG138" s="6" t="str">
        <f t="shared" si="37"/>
        <v>High</v>
      </c>
      <c r="AH138" s="6">
        <f t="shared" si="38"/>
        <v>0.54276519912492427</v>
      </c>
      <c r="AI138" s="5">
        <v>12</v>
      </c>
      <c r="AJ138" s="6">
        <f>Table1[[#This Row],[Quantity]]*(1+WhatIf!$B$4)</f>
        <v>13.200000000000001</v>
      </c>
    </row>
    <row r="139" spans="1:36" x14ac:dyDescent="0.3">
      <c r="A139" t="s">
        <v>246</v>
      </c>
      <c r="B139" s="3">
        <v>45538</v>
      </c>
      <c r="C139" s="3">
        <v>45543</v>
      </c>
      <c r="D139" s="3">
        <f t="shared" si="27"/>
        <v>45543</v>
      </c>
      <c r="E139" s="4">
        <f t="shared" si="26"/>
        <v>5</v>
      </c>
      <c r="F139" s="4">
        <f t="shared" si="28"/>
        <v>5</v>
      </c>
      <c r="G139" s="4">
        <f>IF(Table1[[#This Row],[CorrectedLeadTimeDays]]&lt;=7, 1, 0)</f>
        <v>1</v>
      </c>
      <c r="H139" s="4" t="str">
        <f t="shared" si="29"/>
        <v>September</v>
      </c>
      <c r="I139" s="4" t="str">
        <f t="shared" si="30"/>
        <v>Q3-2024</v>
      </c>
      <c r="J139" s="4" t="str">
        <f t="shared" si="31"/>
        <v>2023-01</v>
      </c>
      <c r="K139" s="3">
        <f t="shared" si="32"/>
        <v>44941</v>
      </c>
      <c r="L139" t="s">
        <v>646</v>
      </c>
      <c r="M139" t="s">
        <v>651</v>
      </c>
      <c r="N139" t="s">
        <v>665</v>
      </c>
      <c r="O139" t="s">
        <v>705</v>
      </c>
      <c r="P139" t="s">
        <v>711</v>
      </c>
      <c r="Q139" t="s">
        <v>723</v>
      </c>
      <c r="R139">
        <f t="shared" si="33"/>
        <v>19</v>
      </c>
      <c r="S139" t="s">
        <v>728</v>
      </c>
      <c r="T139" t="s">
        <v>966</v>
      </c>
      <c r="U139" s="4">
        <v>197.63</v>
      </c>
      <c r="V139" s="4">
        <f>Table1[[#This Row],[UnitCost]]*(1+WhatIf!$B$3)</f>
        <v>207.51150000000001</v>
      </c>
      <c r="W139" s="4">
        <f t="shared" si="34"/>
        <v>1976.3</v>
      </c>
      <c r="X139" s="4">
        <f>Table1[[#This Row],[ScenarioRev]]-Table1[[#This Row],[ScenarioUnitCost]]</f>
        <v>2960.47046</v>
      </c>
      <c r="Y139" s="4">
        <v>325.79000000000002</v>
      </c>
      <c r="Z139" s="4">
        <f t="shared" si="35"/>
        <v>2879.9836</v>
      </c>
      <c r="AA139" s="4">
        <f>Table1[[#This Row],[ScenarioQuanity]]*Table1[[#This Row],[UnitPrice]]*(1-Table1[[#This Row],[ScenarioDiscPct]])</f>
        <v>3167.9819600000001</v>
      </c>
      <c r="AB139" s="4">
        <f t="shared" si="36"/>
        <v>903.68360000000007</v>
      </c>
      <c r="AC139" s="4">
        <f>Table1[[#This Row],[ScenarioRev]] - Table1[[#This Row],[ScenarioCostOfGoods]]</f>
        <v>207.51150000000007</v>
      </c>
      <c r="AD139" s="6">
        <v>0.11600000000000001</v>
      </c>
      <c r="AE139" s="6">
        <f>MIN(Table1[[#This Row],[DiscountPct]], WhatIf!$B$2)</f>
        <v>0.11600000000000001</v>
      </c>
      <c r="AF139" s="6">
        <f>IF(Table1[[#This Row],[DiscountPct]]&gt;0.2, 1, 0)</f>
        <v>0</v>
      </c>
      <c r="AG139" s="6" t="str">
        <f t="shared" si="37"/>
        <v>Low</v>
      </c>
      <c r="AH139" s="6">
        <f t="shared" si="38"/>
        <v>0.31378081458519419</v>
      </c>
      <c r="AI139" s="5">
        <v>10</v>
      </c>
      <c r="AJ139" s="6">
        <f>Table1[[#This Row],[Quantity]]*(1+WhatIf!$B$4)</f>
        <v>11</v>
      </c>
    </row>
    <row r="140" spans="1:36" x14ac:dyDescent="0.3">
      <c r="A140" t="s">
        <v>38</v>
      </c>
      <c r="B140" s="3">
        <v>45430</v>
      </c>
      <c r="C140" s="3">
        <v>45435</v>
      </c>
      <c r="D140" s="3">
        <f t="shared" si="27"/>
        <v>45435</v>
      </c>
      <c r="E140" s="4">
        <f t="shared" si="26"/>
        <v>5</v>
      </c>
      <c r="F140" s="4">
        <f t="shared" si="28"/>
        <v>5</v>
      </c>
      <c r="G140" s="4">
        <f>IF(Table1[[#This Row],[CorrectedLeadTimeDays]]&lt;=7, 1, 0)</f>
        <v>1</v>
      </c>
      <c r="H140" s="4" t="str">
        <f t="shared" si="29"/>
        <v>May</v>
      </c>
      <c r="I140" s="4" t="str">
        <f t="shared" si="30"/>
        <v>Q2-2024</v>
      </c>
      <c r="J140" s="4" t="str">
        <f t="shared" si="31"/>
        <v>2023-01</v>
      </c>
      <c r="K140" s="3">
        <f t="shared" si="32"/>
        <v>44939</v>
      </c>
      <c r="L140" t="s">
        <v>648</v>
      </c>
      <c r="M140" t="s">
        <v>660</v>
      </c>
      <c r="N140" t="s">
        <v>677</v>
      </c>
      <c r="O140" t="s">
        <v>706</v>
      </c>
      <c r="P140" t="s">
        <v>707</v>
      </c>
      <c r="Q140" t="s">
        <v>722</v>
      </c>
      <c r="R140">
        <f t="shared" si="33"/>
        <v>16</v>
      </c>
      <c r="S140" t="s">
        <v>731</v>
      </c>
      <c r="T140" t="s">
        <v>757</v>
      </c>
      <c r="U140" s="4">
        <v>1274.5899999999999</v>
      </c>
      <c r="V140" s="4">
        <f>Table1[[#This Row],[UnitCost]]*(1+WhatIf!$B$3)</f>
        <v>1338.3195000000001</v>
      </c>
      <c r="W140" s="4">
        <f t="shared" si="34"/>
        <v>10196.719999999999</v>
      </c>
      <c r="X140" s="4">
        <f>Table1[[#This Row],[ScenarioRev]]-Table1[[#This Row],[ScenarioUnitCost]]</f>
        <v>20909.427779999998</v>
      </c>
      <c r="Y140" s="4">
        <v>2553.69</v>
      </c>
      <c r="Z140" s="4">
        <f t="shared" si="35"/>
        <v>20225.2248</v>
      </c>
      <c r="AA140" s="4">
        <f>Table1[[#This Row],[ScenarioQuanity]]*Table1[[#This Row],[UnitPrice]]*(1-Table1[[#This Row],[ScenarioDiscPct]])</f>
        <v>22247.74728</v>
      </c>
      <c r="AB140" s="4">
        <f t="shared" si="36"/>
        <v>10028.504800000001</v>
      </c>
      <c r="AC140" s="4">
        <f>Table1[[#This Row],[ScenarioRev]] - Table1[[#This Row],[ScenarioCostOfGoods]]</f>
        <v>1338.3195000000014</v>
      </c>
      <c r="AD140" s="6">
        <v>0.01</v>
      </c>
      <c r="AE140" s="6">
        <f>MIN(Table1[[#This Row],[DiscountPct]], WhatIf!$B$2)</f>
        <v>0.01</v>
      </c>
      <c r="AF140" s="6">
        <f>IF(Table1[[#This Row],[DiscountPct]]&gt;0.2, 1, 0)</f>
        <v>0</v>
      </c>
      <c r="AG140" s="6" t="str">
        <f t="shared" si="37"/>
        <v>High</v>
      </c>
      <c r="AH140" s="6">
        <f t="shared" si="38"/>
        <v>0.49584145042481803</v>
      </c>
      <c r="AI140" s="5">
        <v>8</v>
      </c>
      <c r="AJ140" s="6">
        <f>Table1[[#This Row],[Quantity]]*(1+WhatIf!$B$4)</f>
        <v>8.8000000000000007</v>
      </c>
    </row>
    <row r="141" spans="1:36" x14ac:dyDescent="0.3">
      <c r="A141" t="s">
        <v>480</v>
      </c>
      <c r="B141" s="3">
        <v>45466</v>
      </c>
      <c r="C141" s="3">
        <v>45471</v>
      </c>
      <c r="D141" s="3">
        <f t="shared" si="27"/>
        <v>45471</v>
      </c>
      <c r="E141" s="4">
        <f t="shared" si="26"/>
        <v>5</v>
      </c>
      <c r="F141" s="4">
        <f t="shared" si="28"/>
        <v>5</v>
      </c>
      <c r="G141" s="4">
        <f>IF(Table1[[#This Row],[CorrectedLeadTimeDays]]&lt;=7, 1, 0)</f>
        <v>1</v>
      </c>
      <c r="H141" s="4" t="str">
        <f t="shared" si="29"/>
        <v>June</v>
      </c>
      <c r="I141" s="4" t="str">
        <f t="shared" si="30"/>
        <v>Q2-2024</v>
      </c>
      <c r="J141" s="4" t="str">
        <f t="shared" si="31"/>
        <v>2023-01</v>
      </c>
      <c r="K141" s="3">
        <f t="shared" si="32"/>
        <v>44941</v>
      </c>
      <c r="L141" t="s">
        <v>646</v>
      </c>
      <c r="M141" t="s">
        <v>651</v>
      </c>
      <c r="N141" t="s">
        <v>663</v>
      </c>
      <c r="O141" t="s">
        <v>703</v>
      </c>
      <c r="P141" t="s">
        <v>711</v>
      </c>
      <c r="Q141" t="s">
        <v>724</v>
      </c>
      <c r="R141">
        <f t="shared" si="33"/>
        <v>17</v>
      </c>
      <c r="S141" t="s">
        <v>733</v>
      </c>
      <c r="T141" t="s">
        <v>1199</v>
      </c>
      <c r="U141" s="4">
        <v>242.31</v>
      </c>
      <c r="V141" s="4">
        <f>Table1[[#This Row],[UnitCost]]*(1+WhatIf!$B$3)</f>
        <v>254.4255</v>
      </c>
      <c r="W141" s="4">
        <f t="shared" si="34"/>
        <v>1453.8600000000001</v>
      </c>
      <c r="X141" s="4">
        <f>Table1[[#This Row],[ScenarioRev]]-Table1[[#This Row],[ScenarioUnitCost]]</f>
        <v>2849.9505000000008</v>
      </c>
      <c r="Y141" s="4">
        <v>587.95000000000005</v>
      </c>
      <c r="Z141" s="4">
        <f t="shared" si="35"/>
        <v>2719.8567000000003</v>
      </c>
      <c r="AA141" s="4">
        <f>Table1[[#This Row],[ScenarioQuanity]]*Table1[[#This Row],[UnitPrice]]*(1-Table1[[#This Row],[ScenarioDiscPct]])</f>
        <v>3104.3760000000007</v>
      </c>
      <c r="AB141" s="4">
        <f t="shared" si="36"/>
        <v>1265.9967000000001</v>
      </c>
      <c r="AC141" s="4">
        <f>Table1[[#This Row],[ScenarioRev]] - Table1[[#This Row],[ScenarioCostOfGoods]]</f>
        <v>254.42549999999983</v>
      </c>
      <c r="AD141" s="6">
        <v>0.22900000000000001</v>
      </c>
      <c r="AE141" s="6">
        <f>MIN(Table1[[#This Row],[DiscountPct]], WhatIf!$B$2)</f>
        <v>0.2</v>
      </c>
      <c r="AF141" s="6">
        <f>IF(Table1[[#This Row],[DiscountPct]]&gt;0.2, 1, 0)</f>
        <v>1</v>
      </c>
      <c r="AG141" s="6" t="str">
        <f t="shared" si="37"/>
        <v>Low</v>
      </c>
      <c r="AH141" s="6">
        <f t="shared" si="38"/>
        <v>0.46546448568411714</v>
      </c>
      <c r="AI141" s="5">
        <v>6</v>
      </c>
      <c r="AJ141" s="6">
        <f>Table1[[#This Row],[Quantity]]*(1+WhatIf!$B$4)</f>
        <v>6.6000000000000005</v>
      </c>
    </row>
    <row r="142" spans="1:36" x14ac:dyDescent="0.3">
      <c r="A142" t="s">
        <v>251</v>
      </c>
      <c r="B142" s="3">
        <v>45855</v>
      </c>
      <c r="C142" s="3">
        <v>45861</v>
      </c>
      <c r="D142" s="3">
        <f t="shared" si="27"/>
        <v>45861</v>
      </c>
      <c r="E142" s="4">
        <f t="shared" si="26"/>
        <v>6</v>
      </c>
      <c r="F142" s="4">
        <f t="shared" si="28"/>
        <v>6</v>
      </c>
      <c r="G142" s="4">
        <f>IF(Table1[[#This Row],[CorrectedLeadTimeDays]]&lt;=7, 1, 0)</f>
        <v>1</v>
      </c>
      <c r="H142" s="4" t="str">
        <f t="shared" si="29"/>
        <v>July</v>
      </c>
      <c r="I142" s="4" t="str">
        <f t="shared" si="30"/>
        <v>Q3-2025</v>
      </c>
      <c r="J142" s="4" t="str">
        <f t="shared" si="31"/>
        <v>2023-01</v>
      </c>
      <c r="K142" s="3">
        <f t="shared" si="32"/>
        <v>44928</v>
      </c>
      <c r="L142" t="s">
        <v>648</v>
      </c>
      <c r="M142" t="s">
        <v>653</v>
      </c>
      <c r="N142" t="s">
        <v>688</v>
      </c>
      <c r="O142" t="s">
        <v>704</v>
      </c>
      <c r="P142" t="s">
        <v>708</v>
      </c>
      <c r="Q142" t="s">
        <v>722</v>
      </c>
      <c r="R142">
        <f t="shared" si="33"/>
        <v>30</v>
      </c>
      <c r="S142" t="s">
        <v>727</v>
      </c>
      <c r="T142" t="s">
        <v>971</v>
      </c>
      <c r="U142" s="4">
        <v>1364.89</v>
      </c>
      <c r="V142" s="4">
        <f>Table1[[#This Row],[UnitCost]]*(1+WhatIf!$B$3)</f>
        <v>1433.1345000000001</v>
      </c>
      <c r="W142" s="4">
        <f t="shared" si="34"/>
        <v>83258.290000000008</v>
      </c>
      <c r="X142" s="4">
        <f>Table1[[#This Row],[ScenarioRev]]-Table1[[#This Row],[ScenarioUnitCost]]</f>
        <v>151772.47885200003</v>
      </c>
      <c r="Y142" s="4">
        <v>2757.54</v>
      </c>
      <c r="Z142" s="4">
        <f t="shared" si="35"/>
        <v>139277.83032000001</v>
      </c>
      <c r="AA142" s="4">
        <f>Table1[[#This Row],[ScenarioQuanity]]*Table1[[#This Row],[UnitPrice]]*(1-Table1[[#This Row],[ScenarioDiscPct]])</f>
        <v>153205.61335200001</v>
      </c>
      <c r="AB142" s="4">
        <f t="shared" si="36"/>
        <v>56019.54032</v>
      </c>
      <c r="AC142" s="4">
        <f>Table1[[#This Row],[ScenarioRev]] - Table1[[#This Row],[ScenarioCostOfGoods]]</f>
        <v>1433.1344999999856</v>
      </c>
      <c r="AD142" s="6">
        <v>0.17199999999999999</v>
      </c>
      <c r="AE142" s="6">
        <f>MIN(Table1[[#This Row],[DiscountPct]], WhatIf!$B$2)</f>
        <v>0.17199999999999999</v>
      </c>
      <c r="AF142" s="6">
        <f>IF(Table1[[#This Row],[DiscountPct]]&gt;0.2, 1, 0)</f>
        <v>0</v>
      </c>
      <c r="AG142" s="6" t="str">
        <f t="shared" si="37"/>
        <v>High</v>
      </c>
      <c r="AH142" s="6">
        <f t="shared" si="38"/>
        <v>0.4022143379983118</v>
      </c>
      <c r="AI142" s="5">
        <v>61</v>
      </c>
      <c r="AJ142" s="6">
        <f>Table1[[#This Row],[Quantity]]*(1+WhatIf!$B$4)</f>
        <v>67.100000000000009</v>
      </c>
    </row>
    <row r="143" spans="1:36" x14ac:dyDescent="0.3">
      <c r="A143" t="s">
        <v>562</v>
      </c>
      <c r="B143" s="3">
        <v>44985</v>
      </c>
      <c r="C143" s="3">
        <v>44991</v>
      </c>
      <c r="D143" s="3">
        <f t="shared" si="27"/>
        <v>44991</v>
      </c>
      <c r="E143" s="4">
        <f t="shared" si="26"/>
        <v>6</v>
      </c>
      <c r="F143" s="4">
        <f t="shared" si="28"/>
        <v>6</v>
      </c>
      <c r="G143" s="4">
        <f>IF(Table1[[#This Row],[CorrectedLeadTimeDays]]&lt;=7, 1, 0)</f>
        <v>1</v>
      </c>
      <c r="H143" s="4" t="str">
        <f t="shared" si="29"/>
        <v>February</v>
      </c>
      <c r="I143" s="4" t="str">
        <f t="shared" si="30"/>
        <v>Q1-2023</v>
      </c>
      <c r="J143" s="4" t="str">
        <f t="shared" si="31"/>
        <v>2023-01</v>
      </c>
      <c r="K143" s="3">
        <f t="shared" si="32"/>
        <v>44948</v>
      </c>
      <c r="L143" t="s">
        <v>649</v>
      </c>
      <c r="M143" t="s">
        <v>656</v>
      </c>
      <c r="N143" t="s">
        <v>698</v>
      </c>
      <c r="O143" t="s">
        <v>705</v>
      </c>
      <c r="P143" t="s">
        <v>709</v>
      </c>
      <c r="Q143" t="s">
        <v>726</v>
      </c>
      <c r="R143">
        <f t="shared" si="33"/>
        <v>1</v>
      </c>
      <c r="S143" t="s">
        <v>728</v>
      </c>
      <c r="T143" t="s">
        <v>1280</v>
      </c>
      <c r="U143" s="4">
        <v>880.02</v>
      </c>
      <c r="V143" s="4">
        <f>Table1[[#This Row],[UnitCost]]*(1+WhatIf!$B$3)</f>
        <v>924.02100000000007</v>
      </c>
      <c r="W143" s="4">
        <f t="shared" si="34"/>
        <v>25520.579999999998</v>
      </c>
      <c r="X143" s="4">
        <f>Table1[[#This Row],[ScenarioRev]]-Table1[[#This Row],[ScenarioUnitCost]]</f>
        <v>34080.205323000002</v>
      </c>
      <c r="Y143" s="4">
        <v>1251.21</v>
      </c>
      <c r="Z143" s="4">
        <f t="shared" si="35"/>
        <v>31822.023930000003</v>
      </c>
      <c r="AA143" s="4">
        <f>Table1[[#This Row],[ScenarioQuanity]]*Table1[[#This Row],[UnitPrice]]*(1-Table1[[#This Row],[ScenarioDiscPct]])</f>
        <v>35004.226323000003</v>
      </c>
      <c r="AB143" s="4">
        <f t="shared" si="36"/>
        <v>6301.4439300000049</v>
      </c>
      <c r="AC143" s="4">
        <f>Table1[[#This Row],[ScenarioRev]] - Table1[[#This Row],[ScenarioCostOfGoods]]</f>
        <v>924.02100000000064</v>
      </c>
      <c r="AD143" s="6">
        <v>0.123</v>
      </c>
      <c r="AE143" s="6">
        <f>MIN(Table1[[#This Row],[DiscountPct]], WhatIf!$B$2)</f>
        <v>0.123</v>
      </c>
      <c r="AF143" s="6">
        <f>IF(Table1[[#This Row],[DiscountPct]]&gt;0.2, 1, 0)</f>
        <v>0</v>
      </c>
      <c r="AG143" s="6" t="str">
        <f t="shared" si="37"/>
        <v>High</v>
      </c>
      <c r="AH143" s="6">
        <f t="shared" si="38"/>
        <v>0.19802146915172672</v>
      </c>
      <c r="AI143" s="5">
        <v>29</v>
      </c>
      <c r="AJ143" s="6">
        <f>Table1[[#This Row],[Quantity]]*(1+WhatIf!$B$4)</f>
        <v>31.900000000000002</v>
      </c>
    </row>
    <row r="144" spans="1:36" x14ac:dyDescent="0.3">
      <c r="A144" t="s">
        <v>443</v>
      </c>
      <c r="B144" s="3">
        <v>45784</v>
      </c>
      <c r="C144" s="3">
        <v>45790</v>
      </c>
      <c r="D144" s="3">
        <f t="shared" si="27"/>
        <v>45790</v>
      </c>
      <c r="E144" s="4">
        <f t="shared" si="26"/>
        <v>6</v>
      </c>
      <c r="F144" s="4">
        <f t="shared" si="28"/>
        <v>6</v>
      </c>
      <c r="G144" s="4">
        <f>IF(Table1[[#This Row],[CorrectedLeadTimeDays]]&lt;=7, 1, 0)</f>
        <v>1</v>
      </c>
      <c r="H144" s="4" t="str">
        <f t="shared" si="29"/>
        <v>May</v>
      </c>
      <c r="I144" s="4" t="str">
        <f t="shared" si="30"/>
        <v>Q2-2025</v>
      </c>
      <c r="J144" s="4" t="str">
        <f t="shared" si="31"/>
        <v>2023-01</v>
      </c>
      <c r="K144" s="3">
        <f t="shared" si="32"/>
        <v>44955</v>
      </c>
      <c r="L144" t="s">
        <v>647</v>
      </c>
      <c r="M144" t="s">
        <v>654</v>
      </c>
      <c r="N144" t="s">
        <v>668</v>
      </c>
      <c r="O144" t="s">
        <v>706</v>
      </c>
      <c r="P144" t="s">
        <v>711</v>
      </c>
      <c r="Q144" t="s">
        <v>713</v>
      </c>
      <c r="R144">
        <f t="shared" si="33"/>
        <v>27</v>
      </c>
      <c r="S144" t="s">
        <v>730</v>
      </c>
      <c r="T144" t="s">
        <v>1162</v>
      </c>
      <c r="U144" s="4">
        <v>935.98</v>
      </c>
      <c r="V144" s="4">
        <f>Table1[[#This Row],[UnitCost]]*(1+WhatIf!$B$3)</f>
        <v>982.77900000000011</v>
      </c>
      <c r="W144" s="4">
        <f t="shared" si="34"/>
        <v>22463.52</v>
      </c>
      <c r="X144" s="4">
        <f>Table1[[#This Row],[ScenarioRev]]-Table1[[#This Row],[ScenarioUnitCost]]</f>
        <v>44269.309199999996</v>
      </c>
      <c r="Y144" s="4">
        <v>2077.69</v>
      </c>
      <c r="Z144" s="4">
        <f t="shared" si="35"/>
        <v>41138.261999999995</v>
      </c>
      <c r="AA144" s="4">
        <f>Table1[[#This Row],[ScenarioQuanity]]*Table1[[#This Row],[UnitPrice]]*(1-Table1[[#This Row],[ScenarioDiscPct]])</f>
        <v>45252.088199999998</v>
      </c>
      <c r="AB144" s="4">
        <f t="shared" si="36"/>
        <v>18674.741999999995</v>
      </c>
      <c r="AC144" s="4">
        <f>Table1[[#This Row],[ScenarioRev]] - Table1[[#This Row],[ScenarioCostOfGoods]]</f>
        <v>982.77900000000227</v>
      </c>
      <c r="AD144" s="6">
        <v>0.17499999999999999</v>
      </c>
      <c r="AE144" s="6">
        <f>MIN(Table1[[#This Row],[DiscountPct]], WhatIf!$B$2)</f>
        <v>0.17499999999999999</v>
      </c>
      <c r="AF144" s="6">
        <f>IF(Table1[[#This Row],[DiscountPct]]&gt;0.2, 1, 0)</f>
        <v>0</v>
      </c>
      <c r="AG144" s="6" t="str">
        <f t="shared" si="37"/>
        <v>High</v>
      </c>
      <c r="AH144" s="6">
        <f t="shared" si="38"/>
        <v>0.45395067978321491</v>
      </c>
      <c r="AI144" s="5">
        <v>24</v>
      </c>
      <c r="AJ144" s="6">
        <f>Table1[[#This Row],[Quantity]]*(1+WhatIf!$B$4)</f>
        <v>26.400000000000002</v>
      </c>
    </row>
    <row r="145" spans="1:36" x14ac:dyDescent="0.3">
      <c r="A145" t="s">
        <v>132</v>
      </c>
      <c r="B145" s="3">
        <v>45653</v>
      </c>
      <c r="C145" s="3">
        <v>45659</v>
      </c>
      <c r="D145" s="3">
        <f t="shared" si="27"/>
        <v>45659</v>
      </c>
      <c r="E145" s="4">
        <f t="shared" si="26"/>
        <v>6</v>
      </c>
      <c r="F145" s="4">
        <f t="shared" si="28"/>
        <v>6</v>
      </c>
      <c r="G145" s="4">
        <f>IF(Table1[[#This Row],[CorrectedLeadTimeDays]]&lt;=7, 1, 0)</f>
        <v>1</v>
      </c>
      <c r="H145" s="4" t="str">
        <f t="shared" si="29"/>
        <v>December</v>
      </c>
      <c r="I145" s="4" t="str">
        <f t="shared" si="30"/>
        <v>Q4-2024</v>
      </c>
      <c r="J145" s="4" t="str">
        <f t="shared" si="31"/>
        <v>2023-01</v>
      </c>
      <c r="K145" s="3">
        <f t="shared" si="32"/>
        <v>44948</v>
      </c>
      <c r="L145" t="s">
        <v>649</v>
      </c>
      <c r="M145" t="s">
        <v>656</v>
      </c>
      <c r="N145" t="s">
        <v>698</v>
      </c>
      <c r="O145" t="s">
        <v>702</v>
      </c>
      <c r="P145" t="s">
        <v>711</v>
      </c>
      <c r="Q145" t="s">
        <v>721</v>
      </c>
      <c r="R145">
        <f t="shared" si="33"/>
        <v>23</v>
      </c>
      <c r="S145" t="s">
        <v>731</v>
      </c>
      <c r="T145" t="s">
        <v>851</v>
      </c>
      <c r="U145" s="4">
        <v>1391.99</v>
      </c>
      <c r="V145" s="4">
        <f>Table1[[#This Row],[UnitCost]]*(1+WhatIf!$B$3)</f>
        <v>1461.5895</v>
      </c>
      <c r="W145" s="4">
        <f t="shared" si="34"/>
        <v>32015.77</v>
      </c>
      <c r="X145" s="4">
        <f>Table1[[#This Row],[ScenarioRev]]-Table1[[#This Row],[ScenarioUnitCost]]</f>
        <v>70169.673060000001</v>
      </c>
      <c r="Y145" s="4">
        <v>3469.7</v>
      </c>
      <c r="Z145" s="4">
        <f t="shared" si="35"/>
        <v>65119.329599999997</v>
      </c>
      <c r="AA145" s="4">
        <f>Table1[[#This Row],[ScenarioQuanity]]*Table1[[#This Row],[UnitPrice]]*(1-Table1[[#This Row],[ScenarioDiscPct]])</f>
        <v>71631.262560000003</v>
      </c>
      <c r="AB145" s="4">
        <f t="shared" si="36"/>
        <v>33103.559599999993</v>
      </c>
      <c r="AC145" s="4">
        <f>Table1[[#This Row],[ScenarioRev]] - Table1[[#This Row],[ScenarioCostOfGoods]]</f>
        <v>1461.5895000000019</v>
      </c>
      <c r="AD145" s="6">
        <v>0.184</v>
      </c>
      <c r="AE145" s="6">
        <f>MIN(Table1[[#This Row],[DiscountPct]], WhatIf!$B$2)</f>
        <v>0.184</v>
      </c>
      <c r="AF145" s="6">
        <f>IF(Table1[[#This Row],[DiscountPct]]&gt;0.2, 1, 0)</f>
        <v>0</v>
      </c>
      <c r="AG145" s="6" t="str">
        <f t="shared" si="37"/>
        <v>High</v>
      </c>
      <c r="AH145" s="6">
        <f t="shared" si="38"/>
        <v>0.50835227886006973</v>
      </c>
      <c r="AI145" s="5">
        <v>23</v>
      </c>
      <c r="AJ145" s="6">
        <f>Table1[[#This Row],[Quantity]]*(1+WhatIf!$B$4)</f>
        <v>25.3</v>
      </c>
    </row>
    <row r="146" spans="1:36" x14ac:dyDescent="0.3">
      <c r="A146" t="s">
        <v>256</v>
      </c>
      <c r="B146" s="3">
        <v>45871</v>
      </c>
      <c r="C146" s="3">
        <v>45877</v>
      </c>
      <c r="D146" s="3">
        <f t="shared" si="27"/>
        <v>45877</v>
      </c>
      <c r="E146" s="4">
        <f t="shared" si="26"/>
        <v>6</v>
      </c>
      <c r="F146" s="4">
        <f t="shared" si="28"/>
        <v>6</v>
      </c>
      <c r="G146" s="4">
        <f>IF(Table1[[#This Row],[CorrectedLeadTimeDays]]&lt;=7, 1, 0)</f>
        <v>1</v>
      </c>
      <c r="H146" s="4" t="str">
        <f t="shared" si="29"/>
        <v>August</v>
      </c>
      <c r="I146" s="4" t="str">
        <f t="shared" si="30"/>
        <v>Q3-2025</v>
      </c>
      <c r="J146" s="4" t="str">
        <f t="shared" si="31"/>
        <v>2023-03</v>
      </c>
      <c r="K146" s="3">
        <f t="shared" si="32"/>
        <v>44988</v>
      </c>
      <c r="L146" t="s">
        <v>647</v>
      </c>
      <c r="M146" t="s">
        <v>652</v>
      </c>
      <c r="N146" t="s">
        <v>666</v>
      </c>
      <c r="O146" t="s">
        <v>704</v>
      </c>
      <c r="P146" t="s">
        <v>711</v>
      </c>
      <c r="Q146" t="s">
        <v>725</v>
      </c>
      <c r="R146">
        <f t="shared" si="33"/>
        <v>28</v>
      </c>
      <c r="S146" t="s">
        <v>731</v>
      </c>
      <c r="T146" t="s">
        <v>976</v>
      </c>
      <c r="U146" s="4">
        <v>1225.94</v>
      </c>
      <c r="V146" s="4">
        <f>Table1[[#This Row],[UnitCost]]*(1+WhatIf!$B$3)</f>
        <v>1287.2370000000001</v>
      </c>
      <c r="W146" s="4">
        <f t="shared" si="34"/>
        <v>26970.68</v>
      </c>
      <c r="X146" s="4">
        <f>Table1[[#This Row],[ScenarioRev]]-Table1[[#This Row],[ScenarioUnitCost]]</f>
        <v>36203.914103999996</v>
      </c>
      <c r="Y146" s="4">
        <v>1793.08</v>
      </c>
      <c r="Z146" s="4">
        <f t="shared" si="35"/>
        <v>34082.864639999993</v>
      </c>
      <c r="AA146" s="4">
        <f>Table1[[#This Row],[ScenarioQuanity]]*Table1[[#This Row],[UnitPrice]]*(1-Table1[[#This Row],[ScenarioDiscPct]])</f>
        <v>37491.151103999997</v>
      </c>
      <c r="AB146" s="4">
        <f t="shared" si="36"/>
        <v>7112.1846399999922</v>
      </c>
      <c r="AC146" s="4">
        <f>Table1[[#This Row],[ScenarioRev]] - Table1[[#This Row],[ScenarioCostOfGoods]]</f>
        <v>1287.237000000001</v>
      </c>
      <c r="AD146" s="6">
        <v>0.13600000000000001</v>
      </c>
      <c r="AE146" s="6">
        <f>MIN(Table1[[#This Row],[DiscountPct]], WhatIf!$B$2)</f>
        <v>0.13600000000000001</v>
      </c>
      <c r="AF146" s="6">
        <f>IF(Table1[[#This Row],[DiscountPct]]&gt;0.2, 1, 0)</f>
        <v>0</v>
      </c>
      <c r="AG146" s="6" t="str">
        <f t="shared" si="37"/>
        <v>High</v>
      </c>
      <c r="AH146" s="6">
        <f t="shared" si="38"/>
        <v>0.20867332353434462</v>
      </c>
      <c r="AI146" s="5">
        <v>22</v>
      </c>
      <c r="AJ146" s="6">
        <f>Table1[[#This Row],[Quantity]]*(1+WhatIf!$B$4)</f>
        <v>24.200000000000003</v>
      </c>
    </row>
    <row r="147" spans="1:36" x14ac:dyDescent="0.3">
      <c r="A147" t="s">
        <v>214</v>
      </c>
      <c r="B147" s="3">
        <v>44939</v>
      </c>
      <c r="C147" s="3">
        <v>44945</v>
      </c>
      <c r="D147" s="3">
        <f t="shared" si="27"/>
        <v>44945</v>
      </c>
      <c r="E147" s="4">
        <f t="shared" si="26"/>
        <v>6</v>
      </c>
      <c r="F147" s="4">
        <f t="shared" si="28"/>
        <v>6</v>
      </c>
      <c r="G147" s="4">
        <f>IF(Table1[[#This Row],[CorrectedLeadTimeDays]]&lt;=7, 1, 0)</f>
        <v>1</v>
      </c>
      <c r="H147" s="4" t="str">
        <f t="shared" si="29"/>
        <v>January</v>
      </c>
      <c r="I147" s="4" t="str">
        <f t="shared" si="30"/>
        <v>Q1-2023</v>
      </c>
      <c r="J147" s="4" t="str">
        <f t="shared" si="31"/>
        <v>2023-01</v>
      </c>
      <c r="K147" s="3">
        <f t="shared" si="32"/>
        <v>44939</v>
      </c>
      <c r="L147" t="s">
        <v>648</v>
      </c>
      <c r="M147" t="s">
        <v>660</v>
      </c>
      <c r="N147" t="s">
        <v>677</v>
      </c>
      <c r="O147" t="s">
        <v>701</v>
      </c>
      <c r="P147" t="s">
        <v>711</v>
      </c>
      <c r="Q147" t="s">
        <v>722</v>
      </c>
      <c r="R147">
        <f t="shared" si="33"/>
        <v>0</v>
      </c>
      <c r="S147" t="s">
        <v>730</v>
      </c>
      <c r="T147" t="s">
        <v>934</v>
      </c>
      <c r="U147" s="4">
        <v>833.57</v>
      </c>
      <c r="V147" s="4">
        <f>Table1[[#This Row],[UnitCost]]*(1+WhatIf!$B$3)</f>
        <v>875.24850000000004</v>
      </c>
      <c r="W147" s="4">
        <f t="shared" si="34"/>
        <v>15004.26</v>
      </c>
      <c r="X147" s="4">
        <f>Table1[[#This Row],[ScenarioRev]]-Table1[[#This Row],[ScenarioUnitCost]]</f>
        <v>15584.897598000001</v>
      </c>
      <c r="Y147" s="4">
        <v>881.57</v>
      </c>
      <c r="Z147" s="4">
        <f t="shared" si="35"/>
        <v>14963.769179999999</v>
      </c>
      <c r="AA147" s="4">
        <f>Table1[[#This Row],[ScenarioQuanity]]*Table1[[#This Row],[UnitPrice]]*(1-Table1[[#This Row],[ScenarioDiscPct]])</f>
        <v>16460.146098000001</v>
      </c>
      <c r="AB147" s="4">
        <f t="shared" si="36"/>
        <v>-40.490820000000895</v>
      </c>
      <c r="AC147" s="4">
        <f>Table1[[#This Row],[ScenarioRev]] - Table1[[#This Row],[ScenarioCostOfGoods]]</f>
        <v>875.24849999999969</v>
      </c>
      <c r="AD147" s="6">
        <v>5.7000000000000002E-2</v>
      </c>
      <c r="AE147" s="6">
        <f>MIN(Table1[[#This Row],[DiscountPct]], WhatIf!$B$2)</f>
        <v>5.7000000000000002E-2</v>
      </c>
      <c r="AF147" s="6">
        <f>IF(Table1[[#This Row],[DiscountPct]]&gt;0.2, 1, 0)</f>
        <v>0</v>
      </c>
      <c r="AG147" s="6" t="str">
        <f t="shared" si="37"/>
        <v>High</v>
      </c>
      <c r="AH147" s="6">
        <f t="shared" si="38"/>
        <v>-2.7059238560107821E-3</v>
      </c>
      <c r="AI147" s="5">
        <v>18</v>
      </c>
      <c r="AJ147" s="6">
        <f>Table1[[#This Row],[Quantity]]*(1+WhatIf!$B$4)</f>
        <v>19.8</v>
      </c>
    </row>
    <row r="148" spans="1:36" x14ac:dyDescent="0.3">
      <c r="A148" t="s">
        <v>387</v>
      </c>
      <c r="B148" s="3">
        <v>45751</v>
      </c>
      <c r="C148" s="3">
        <v>45757</v>
      </c>
      <c r="D148" s="3">
        <f t="shared" si="27"/>
        <v>45757</v>
      </c>
      <c r="E148" s="4">
        <f t="shared" si="26"/>
        <v>6</v>
      </c>
      <c r="F148" s="4">
        <f t="shared" si="28"/>
        <v>6</v>
      </c>
      <c r="G148" s="4">
        <f>IF(Table1[[#This Row],[CorrectedLeadTimeDays]]&lt;=7, 1, 0)</f>
        <v>1</v>
      </c>
      <c r="H148" s="4" t="str">
        <f t="shared" si="29"/>
        <v>April</v>
      </c>
      <c r="I148" s="4" t="str">
        <f t="shared" si="30"/>
        <v>Q2-2025</v>
      </c>
      <c r="J148" s="4" t="str">
        <f t="shared" si="31"/>
        <v>2023-01</v>
      </c>
      <c r="K148" s="3">
        <f t="shared" si="32"/>
        <v>44945</v>
      </c>
      <c r="L148" t="s">
        <v>649</v>
      </c>
      <c r="M148" t="s">
        <v>658</v>
      </c>
      <c r="N148" t="s">
        <v>674</v>
      </c>
      <c r="O148" t="s">
        <v>703</v>
      </c>
      <c r="P148" t="s">
        <v>711</v>
      </c>
      <c r="Q148" t="s">
        <v>725</v>
      </c>
      <c r="R148">
        <f t="shared" si="33"/>
        <v>26</v>
      </c>
      <c r="S148" t="s">
        <v>728</v>
      </c>
      <c r="T148" t="s">
        <v>1107</v>
      </c>
      <c r="U148" s="4">
        <v>290.14</v>
      </c>
      <c r="V148" s="4">
        <f>Table1[[#This Row],[UnitCost]]*(1+WhatIf!$B$3)</f>
        <v>304.64699999999999</v>
      </c>
      <c r="W148" s="4">
        <f t="shared" si="34"/>
        <v>4932.38</v>
      </c>
      <c r="X148" s="4">
        <f>Table1[[#This Row],[ScenarioRev]]-Table1[[#This Row],[ScenarioUnitCost]]</f>
        <v>4224.5898660000003</v>
      </c>
      <c r="Y148" s="4">
        <v>250.73</v>
      </c>
      <c r="Z148" s="4">
        <f t="shared" si="35"/>
        <v>4117.4880599999997</v>
      </c>
      <c r="AA148" s="4">
        <f>Table1[[#This Row],[ScenarioQuanity]]*Table1[[#This Row],[UnitPrice]]*(1-Table1[[#This Row],[ScenarioDiscPct]])</f>
        <v>4529.2368660000002</v>
      </c>
      <c r="AB148" s="4">
        <f t="shared" si="36"/>
        <v>-814.89194000000043</v>
      </c>
      <c r="AC148" s="4">
        <f>Table1[[#This Row],[ScenarioRev]] - Table1[[#This Row],[ScenarioCostOfGoods]]</f>
        <v>304.64699999999993</v>
      </c>
      <c r="AD148" s="6">
        <v>3.4000000000000002E-2</v>
      </c>
      <c r="AE148" s="6">
        <f>MIN(Table1[[#This Row],[DiscountPct]], WhatIf!$B$2)</f>
        <v>3.4000000000000002E-2</v>
      </c>
      <c r="AF148" s="6">
        <f>IF(Table1[[#This Row],[DiscountPct]]&gt;0.2, 1, 0)</f>
        <v>0</v>
      </c>
      <c r="AG148" s="6" t="str">
        <f t="shared" si="37"/>
        <v>Low</v>
      </c>
      <c r="AH148" s="6">
        <f t="shared" si="38"/>
        <v>-0.19790997038131072</v>
      </c>
      <c r="AI148" s="5">
        <v>17</v>
      </c>
      <c r="AJ148" s="6">
        <f>Table1[[#This Row],[Quantity]]*(1+WhatIf!$B$4)</f>
        <v>18.700000000000003</v>
      </c>
    </row>
    <row r="149" spans="1:36" x14ac:dyDescent="0.3">
      <c r="A149" t="s">
        <v>552</v>
      </c>
      <c r="B149" s="3">
        <v>45114</v>
      </c>
      <c r="C149" s="3">
        <v>45120</v>
      </c>
      <c r="D149" s="3">
        <f t="shared" si="27"/>
        <v>45120</v>
      </c>
      <c r="E149" s="4">
        <f t="shared" si="26"/>
        <v>6</v>
      </c>
      <c r="F149" s="4">
        <f t="shared" si="28"/>
        <v>6</v>
      </c>
      <c r="G149" s="4">
        <f>IF(Table1[[#This Row],[CorrectedLeadTimeDays]]&lt;=7, 1, 0)</f>
        <v>1</v>
      </c>
      <c r="H149" s="4" t="str">
        <f t="shared" si="29"/>
        <v>July</v>
      </c>
      <c r="I149" s="4" t="str">
        <f t="shared" si="30"/>
        <v>Q3-2023</v>
      </c>
      <c r="J149" s="4" t="str">
        <f t="shared" si="31"/>
        <v>2023-01</v>
      </c>
      <c r="K149" s="3">
        <f t="shared" si="32"/>
        <v>44933</v>
      </c>
      <c r="L149" t="s">
        <v>646</v>
      </c>
      <c r="M149" t="s">
        <v>661</v>
      </c>
      <c r="N149" t="s">
        <v>695</v>
      </c>
      <c r="O149" t="s">
        <v>705</v>
      </c>
      <c r="P149" t="s">
        <v>709</v>
      </c>
      <c r="Q149" t="s">
        <v>717</v>
      </c>
      <c r="R149">
        <f t="shared" si="33"/>
        <v>6</v>
      </c>
      <c r="S149" t="s">
        <v>733</v>
      </c>
      <c r="T149" t="s">
        <v>1270</v>
      </c>
      <c r="U149" s="4">
        <v>612.59</v>
      </c>
      <c r="V149" s="4">
        <f>Table1[[#This Row],[UnitCost]]*(1+WhatIf!$B$3)</f>
        <v>643.21950000000004</v>
      </c>
      <c r="W149" s="4">
        <f t="shared" si="34"/>
        <v>9188.85</v>
      </c>
      <c r="X149" s="4">
        <f>Table1[[#This Row],[ScenarioRev]]-Table1[[#This Row],[ScenarioUnitCost]]</f>
        <v>21830.629259999998</v>
      </c>
      <c r="Y149" s="4">
        <v>1424.74</v>
      </c>
      <c r="Z149" s="4">
        <f t="shared" si="35"/>
        <v>20430.771599999996</v>
      </c>
      <c r="AA149" s="4">
        <f>Table1[[#This Row],[ScenarioQuanity]]*Table1[[#This Row],[UnitPrice]]*(1-Table1[[#This Row],[ScenarioDiscPct]])</f>
        <v>22473.848759999997</v>
      </c>
      <c r="AB149" s="4">
        <f t="shared" si="36"/>
        <v>11241.921599999996</v>
      </c>
      <c r="AC149" s="4">
        <f>Table1[[#This Row],[ScenarioRev]] - Table1[[#This Row],[ScenarioCostOfGoods]]</f>
        <v>643.21949999999924</v>
      </c>
      <c r="AD149" s="6">
        <v>4.3999999999999997E-2</v>
      </c>
      <c r="AE149" s="6">
        <f>MIN(Table1[[#This Row],[DiscountPct]], WhatIf!$B$2)</f>
        <v>4.3999999999999997E-2</v>
      </c>
      <c r="AF149" s="6">
        <f>IF(Table1[[#This Row],[DiscountPct]]&gt;0.2, 1, 0)</f>
        <v>0</v>
      </c>
      <c r="AG149" s="6" t="str">
        <f t="shared" si="37"/>
        <v>High</v>
      </c>
      <c r="AH149" s="6">
        <f t="shared" si="38"/>
        <v>0.55024459281802152</v>
      </c>
      <c r="AI149" s="5">
        <v>15</v>
      </c>
      <c r="AJ149" s="6">
        <f>Table1[[#This Row],[Quantity]]*(1+WhatIf!$B$4)</f>
        <v>16.5</v>
      </c>
    </row>
    <row r="150" spans="1:36" x14ac:dyDescent="0.3">
      <c r="A150" t="s">
        <v>264</v>
      </c>
      <c r="B150" s="3">
        <v>45537</v>
      </c>
      <c r="C150" s="3">
        <v>45543</v>
      </c>
      <c r="D150" s="3">
        <f t="shared" si="27"/>
        <v>45543</v>
      </c>
      <c r="E150" s="4">
        <f t="shared" si="26"/>
        <v>6</v>
      </c>
      <c r="F150" s="4">
        <f t="shared" si="28"/>
        <v>6</v>
      </c>
      <c r="G150" s="4">
        <f>IF(Table1[[#This Row],[CorrectedLeadTimeDays]]&lt;=7, 1, 0)</f>
        <v>1</v>
      </c>
      <c r="H150" s="4" t="str">
        <f t="shared" si="29"/>
        <v>September</v>
      </c>
      <c r="I150" s="4" t="str">
        <f t="shared" si="30"/>
        <v>Q3-2024</v>
      </c>
      <c r="J150" s="4" t="str">
        <f t="shared" si="31"/>
        <v>2023-01</v>
      </c>
      <c r="K150" s="3">
        <f t="shared" si="32"/>
        <v>44939</v>
      </c>
      <c r="L150" t="s">
        <v>648</v>
      </c>
      <c r="M150" t="s">
        <v>660</v>
      </c>
      <c r="N150" t="s">
        <v>697</v>
      </c>
      <c r="O150" t="s">
        <v>704</v>
      </c>
      <c r="P150" t="s">
        <v>711</v>
      </c>
      <c r="Q150" t="s">
        <v>722</v>
      </c>
      <c r="R150">
        <f t="shared" si="33"/>
        <v>19</v>
      </c>
      <c r="S150" t="s">
        <v>727</v>
      </c>
      <c r="T150" t="s">
        <v>984</v>
      </c>
      <c r="U150" s="4">
        <v>462.94</v>
      </c>
      <c r="V150" s="4">
        <f>Table1[[#This Row],[UnitCost]]*(1+WhatIf!$B$3)</f>
        <v>486.08700000000005</v>
      </c>
      <c r="W150" s="4">
        <f t="shared" si="34"/>
        <v>6481.16</v>
      </c>
      <c r="X150" s="4">
        <f>Table1[[#This Row],[ScenarioRev]]-Table1[[#This Row],[ScenarioUnitCost]]</f>
        <v>12918.918460000003</v>
      </c>
      <c r="Y150" s="4">
        <v>1015.7</v>
      </c>
      <c r="Z150" s="4">
        <f t="shared" si="35"/>
        <v>12186.368600000002</v>
      </c>
      <c r="AA150" s="4">
        <f>Table1[[#This Row],[ScenarioQuanity]]*Table1[[#This Row],[UnitPrice]]*(1-Table1[[#This Row],[ScenarioDiscPct]])</f>
        <v>13405.005460000002</v>
      </c>
      <c r="AB150" s="4">
        <f t="shared" si="36"/>
        <v>5705.2086000000018</v>
      </c>
      <c r="AC150" s="4">
        <f>Table1[[#This Row],[ScenarioRev]] - Table1[[#This Row],[ScenarioCostOfGoods]]</f>
        <v>486.08699999999953</v>
      </c>
      <c r="AD150" s="6">
        <v>0.14299999999999999</v>
      </c>
      <c r="AE150" s="6">
        <f>MIN(Table1[[#This Row],[DiscountPct]], WhatIf!$B$2)</f>
        <v>0.14299999999999999</v>
      </c>
      <c r="AF150" s="6">
        <f>IF(Table1[[#This Row],[DiscountPct]]&gt;0.2, 1, 0)</f>
        <v>0</v>
      </c>
      <c r="AG150" s="6" t="str">
        <f t="shared" si="37"/>
        <v>High</v>
      </c>
      <c r="AH150" s="6">
        <f t="shared" si="38"/>
        <v>0.46816314090483041</v>
      </c>
      <c r="AI150" s="5">
        <v>14</v>
      </c>
      <c r="AJ150" s="6">
        <f>Table1[[#This Row],[Quantity]]*(1+WhatIf!$B$4)</f>
        <v>15.400000000000002</v>
      </c>
    </row>
    <row r="151" spans="1:36" x14ac:dyDescent="0.3">
      <c r="A151" t="s">
        <v>120</v>
      </c>
      <c r="B151" s="3">
        <v>45433</v>
      </c>
      <c r="C151" s="3">
        <v>45439</v>
      </c>
      <c r="D151" s="3">
        <f t="shared" si="27"/>
        <v>45439</v>
      </c>
      <c r="E151" s="4">
        <f t="shared" si="26"/>
        <v>6</v>
      </c>
      <c r="F151" s="4">
        <f t="shared" si="28"/>
        <v>6</v>
      </c>
      <c r="G151" s="4">
        <f>IF(Table1[[#This Row],[CorrectedLeadTimeDays]]&lt;=7, 1, 0)</f>
        <v>1</v>
      </c>
      <c r="H151" s="4" t="str">
        <f t="shared" si="29"/>
        <v>May</v>
      </c>
      <c r="I151" s="4" t="str">
        <f t="shared" si="30"/>
        <v>Q2-2024</v>
      </c>
      <c r="J151" s="4" t="str">
        <f t="shared" si="31"/>
        <v>2023-01</v>
      </c>
      <c r="K151" s="3">
        <f t="shared" si="32"/>
        <v>44933</v>
      </c>
      <c r="L151" t="s">
        <v>646</v>
      </c>
      <c r="M151" t="s">
        <v>661</v>
      </c>
      <c r="N151" t="s">
        <v>682</v>
      </c>
      <c r="O151" t="s">
        <v>703</v>
      </c>
      <c r="P151" t="s">
        <v>708</v>
      </c>
      <c r="Q151" t="s">
        <v>724</v>
      </c>
      <c r="R151">
        <f t="shared" si="33"/>
        <v>16</v>
      </c>
      <c r="S151" t="s">
        <v>727</v>
      </c>
      <c r="T151" t="s">
        <v>839</v>
      </c>
      <c r="U151" s="4">
        <v>1157.51</v>
      </c>
      <c r="V151" s="4">
        <f>Table1[[#This Row],[UnitCost]]*(1+WhatIf!$B$3)</f>
        <v>1215.3855000000001</v>
      </c>
      <c r="W151" s="4">
        <f t="shared" si="34"/>
        <v>13890.119999999999</v>
      </c>
      <c r="X151" s="4">
        <f>Table1[[#This Row],[ScenarioRev]]-Table1[[#This Row],[ScenarioUnitCost]]</f>
        <v>13508.422500000002</v>
      </c>
      <c r="Y151" s="4">
        <v>1394.3</v>
      </c>
      <c r="Z151" s="4">
        <f t="shared" si="35"/>
        <v>12080.215199999999</v>
      </c>
      <c r="AA151" s="4">
        <f>Table1[[#This Row],[ScenarioQuanity]]*Table1[[#This Row],[UnitPrice]]*(1-Table1[[#This Row],[ScenarioDiscPct]])</f>
        <v>14723.808000000003</v>
      </c>
      <c r="AB151" s="4">
        <f t="shared" si="36"/>
        <v>-1809.9048000000003</v>
      </c>
      <c r="AC151" s="4">
        <f>Table1[[#This Row],[ScenarioRev]] - Table1[[#This Row],[ScenarioCostOfGoods]]</f>
        <v>1215.3855000000003</v>
      </c>
      <c r="AD151" s="6">
        <v>0.27800000000000002</v>
      </c>
      <c r="AE151" s="6">
        <f>MIN(Table1[[#This Row],[DiscountPct]], WhatIf!$B$2)</f>
        <v>0.2</v>
      </c>
      <c r="AF151" s="6">
        <f>IF(Table1[[#This Row],[DiscountPct]]&gt;0.2, 1, 0)</f>
        <v>1</v>
      </c>
      <c r="AG151" s="6" t="str">
        <f t="shared" si="37"/>
        <v>High</v>
      </c>
      <c r="AH151" s="6">
        <f t="shared" si="38"/>
        <v>-0.14982388724333326</v>
      </c>
      <c r="AI151" s="5">
        <v>12</v>
      </c>
      <c r="AJ151" s="6">
        <f>Table1[[#This Row],[Quantity]]*(1+WhatIf!$B$4)</f>
        <v>13.200000000000001</v>
      </c>
    </row>
    <row r="152" spans="1:36" x14ac:dyDescent="0.3">
      <c r="A152" t="s">
        <v>356</v>
      </c>
      <c r="B152" s="3">
        <v>45594</v>
      </c>
      <c r="C152" s="3">
        <v>45600</v>
      </c>
      <c r="D152" s="3">
        <f t="shared" si="27"/>
        <v>45600</v>
      </c>
      <c r="E152" s="4">
        <f t="shared" si="26"/>
        <v>6</v>
      </c>
      <c r="F152" s="4">
        <f t="shared" si="28"/>
        <v>6</v>
      </c>
      <c r="G152" s="4">
        <f>IF(Table1[[#This Row],[CorrectedLeadTimeDays]]&lt;=7, 1, 0)</f>
        <v>1</v>
      </c>
      <c r="H152" s="4" t="str">
        <f t="shared" si="29"/>
        <v>October</v>
      </c>
      <c r="I152" s="4" t="str">
        <f t="shared" si="30"/>
        <v>Q4-2024</v>
      </c>
      <c r="J152" s="4" t="str">
        <f t="shared" si="31"/>
        <v>2023-01</v>
      </c>
      <c r="K152" s="3">
        <f t="shared" si="32"/>
        <v>44946</v>
      </c>
      <c r="L152" t="s">
        <v>646</v>
      </c>
      <c r="M152" t="s">
        <v>650</v>
      </c>
      <c r="N152" t="s">
        <v>664</v>
      </c>
      <c r="O152" t="s">
        <v>701</v>
      </c>
      <c r="P152" t="s">
        <v>710</v>
      </c>
      <c r="Q152" t="s">
        <v>724</v>
      </c>
      <c r="R152">
        <f t="shared" si="33"/>
        <v>21</v>
      </c>
      <c r="S152" t="s">
        <v>728</v>
      </c>
      <c r="T152" t="s">
        <v>1076</v>
      </c>
      <c r="U152" s="4">
        <v>805.81</v>
      </c>
      <c r="V152" s="4">
        <f>Table1[[#This Row],[UnitCost]]*(1+WhatIf!$B$3)</f>
        <v>846.10050000000001</v>
      </c>
      <c r="W152" s="4">
        <f t="shared" si="34"/>
        <v>8863.91</v>
      </c>
      <c r="X152" s="4">
        <f>Table1[[#This Row],[ScenarioRev]]-Table1[[#This Row],[ScenarioUnitCost]]</f>
        <v>21212.683500000003</v>
      </c>
      <c r="Y152" s="4">
        <v>1823.04</v>
      </c>
      <c r="Z152" s="4">
        <f t="shared" si="35"/>
        <v>20053.439999999999</v>
      </c>
      <c r="AA152" s="4">
        <f>Table1[[#This Row],[ScenarioQuanity]]*Table1[[#This Row],[UnitPrice]]*(1-Table1[[#This Row],[ScenarioDiscPct]])</f>
        <v>22058.784000000003</v>
      </c>
      <c r="AB152" s="4">
        <f t="shared" si="36"/>
        <v>11189.529999999999</v>
      </c>
      <c r="AC152" s="4">
        <f>Table1[[#This Row],[ScenarioRev]] - Table1[[#This Row],[ScenarioCostOfGoods]]</f>
        <v>846.10050000000047</v>
      </c>
      <c r="AD152" s="6">
        <v>0</v>
      </c>
      <c r="AE152" s="6">
        <f>MIN(Table1[[#This Row],[DiscountPct]], WhatIf!$B$2)</f>
        <v>0</v>
      </c>
      <c r="AF152" s="6">
        <f>IF(Table1[[#This Row],[DiscountPct]]&gt;0.2, 1, 0)</f>
        <v>0</v>
      </c>
      <c r="AG152" s="6" t="str">
        <f t="shared" si="37"/>
        <v>High</v>
      </c>
      <c r="AH152" s="6">
        <f t="shared" si="38"/>
        <v>0.55798556257679477</v>
      </c>
      <c r="AI152" s="5">
        <v>11</v>
      </c>
      <c r="AJ152" s="6">
        <f>Table1[[#This Row],[Quantity]]*(1+WhatIf!$B$4)</f>
        <v>12.100000000000001</v>
      </c>
    </row>
    <row r="153" spans="1:36" x14ac:dyDescent="0.3">
      <c r="A153" t="s">
        <v>559</v>
      </c>
      <c r="B153" s="3">
        <v>45889</v>
      </c>
      <c r="C153" s="3">
        <v>45895</v>
      </c>
      <c r="D153" s="3">
        <f t="shared" si="27"/>
        <v>45895</v>
      </c>
      <c r="E153" s="4">
        <f t="shared" si="26"/>
        <v>6</v>
      </c>
      <c r="F153" s="4">
        <f t="shared" si="28"/>
        <v>6</v>
      </c>
      <c r="G153" s="4">
        <f>IF(Table1[[#This Row],[CorrectedLeadTimeDays]]&lt;=7, 1, 0)</f>
        <v>1</v>
      </c>
      <c r="H153" s="4" t="str">
        <f t="shared" si="29"/>
        <v>August</v>
      </c>
      <c r="I153" s="4" t="str">
        <f t="shared" si="30"/>
        <v>Q3-2025</v>
      </c>
      <c r="J153" s="4" t="str">
        <f t="shared" si="31"/>
        <v>2023-01</v>
      </c>
      <c r="K153" s="3">
        <f t="shared" si="32"/>
        <v>44939</v>
      </c>
      <c r="L153" t="s">
        <v>648</v>
      </c>
      <c r="M153" t="s">
        <v>660</v>
      </c>
      <c r="N153" t="s">
        <v>700</v>
      </c>
      <c r="O153" t="s">
        <v>701</v>
      </c>
      <c r="P153" t="s">
        <v>707</v>
      </c>
      <c r="Q153" t="s">
        <v>724</v>
      </c>
      <c r="R153">
        <f t="shared" si="33"/>
        <v>31</v>
      </c>
      <c r="S153" t="s">
        <v>729</v>
      </c>
      <c r="T153" t="s">
        <v>1277</v>
      </c>
      <c r="U153" s="4">
        <v>1304.95</v>
      </c>
      <c r="V153" s="4">
        <f>Table1[[#This Row],[UnitCost]]*(1+WhatIf!$B$3)</f>
        <v>1370.1975000000002</v>
      </c>
      <c r="W153" s="4">
        <f t="shared" si="34"/>
        <v>10439.6</v>
      </c>
      <c r="X153" s="4">
        <f>Table1[[#This Row],[ScenarioRev]]-Table1[[#This Row],[ScenarioUnitCost]]</f>
        <v>10682.493700000001</v>
      </c>
      <c r="Y153" s="4">
        <v>1712.03</v>
      </c>
      <c r="Z153" s="4">
        <f t="shared" si="35"/>
        <v>10792.637119999999</v>
      </c>
      <c r="AA153" s="4">
        <f>Table1[[#This Row],[ScenarioQuanity]]*Table1[[#This Row],[UnitPrice]]*(1-Table1[[#This Row],[ScenarioDiscPct]])</f>
        <v>12052.691200000001</v>
      </c>
      <c r="AB153" s="4">
        <f t="shared" si="36"/>
        <v>353.03711999999905</v>
      </c>
      <c r="AC153" s="4">
        <f>Table1[[#This Row],[ScenarioRev]] - Table1[[#This Row],[ScenarioCostOfGoods]]</f>
        <v>1370.1975000000002</v>
      </c>
      <c r="AD153" s="6">
        <v>0.21199999999999999</v>
      </c>
      <c r="AE153" s="6">
        <f>MIN(Table1[[#This Row],[DiscountPct]], WhatIf!$B$2)</f>
        <v>0.2</v>
      </c>
      <c r="AF153" s="6">
        <f>IF(Table1[[#This Row],[DiscountPct]]&gt;0.2, 1, 0)</f>
        <v>1</v>
      </c>
      <c r="AG153" s="6" t="str">
        <f t="shared" si="37"/>
        <v>High</v>
      </c>
      <c r="AH153" s="6">
        <f t="shared" si="38"/>
        <v>3.2710922833287949E-2</v>
      </c>
      <c r="AI153" s="5">
        <v>8</v>
      </c>
      <c r="AJ153" s="6">
        <f>Table1[[#This Row],[Quantity]]*(1+WhatIf!$B$4)</f>
        <v>8.8000000000000007</v>
      </c>
    </row>
    <row r="154" spans="1:36" x14ac:dyDescent="0.3">
      <c r="A154" t="s">
        <v>424</v>
      </c>
      <c r="B154" s="3">
        <v>45534</v>
      </c>
      <c r="C154" s="3">
        <v>45540</v>
      </c>
      <c r="D154" s="3">
        <f t="shared" si="27"/>
        <v>45540</v>
      </c>
      <c r="E154" s="4">
        <f t="shared" si="26"/>
        <v>6</v>
      </c>
      <c r="F154" s="4">
        <f t="shared" si="28"/>
        <v>6</v>
      </c>
      <c r="G154" s="4">
        <f>IF(Table1[[#This Row],[CorrectedLeadTimeDays]]&lt;=7, 1, 0)</f>
        <v>1</v>
      </c>
      <c r="H154" s="4" t="str">
        <f t="shared" si="29"/>
        <v>August</v>
      </c>
      <c r="I154" s="4" t="str">
        <f t="shared" si="30"/>
        <v>Q3-2024</v>
      </c>
      <c r="J154" s="4" t="str">
        <f t="shared" si="31"/>
        <v>2023-03</v>
      </c>
      <c r="K154" s="3">
        <f t="shared" si="32"/>
        <v>44988</v>
      </c>
      <c r="L154" t="s">
        <v>647</v>
      </c>
      <c r="M154" t="s">
        <v>652</v>
      </c>
      <c r="N154" t="s">
        <v>694</v>
      </c>
      <c r="O154" t="s">
        <v>702</v>
      </c>
      <c r="P154" t="s">
        <v>708</v>
      </c>
      <c r="Q154" t="s">
        <v>725</v>
      </c>
      <c r="R154">
        <f t="shared" si="33"/>
        <v>17</v>
      </c>
      <c r="S154" t="s">
        <v>731</v>
      </c>
      <c r="T154" t="s">
        <v>1143</v>
      </c>
      <c r="U154" s="4">
        <v>466.16</v>
      </c>
      <c r="V154" s="4">
        <f>Table1[[#This Row],[UnitCost]]*(1+WhatIf!$B$3)</f>
        <v>489.46800000000007</v>
      </c>
      <c r="W154" s="4">
        <f t="shared" si="34"/>
        <v>3729.28</v>
      </c>
      <c r="X154" s="4">
        <f>Table1[[#This Row],[ScenarioRev]]-Table1[[#This Row],[ScenarioUnitCost]]</f>
        <v>5683.2744000000002</v>
      </c>
      <c r="Y154" s="4">
        <v>876.81</v>
      </c>
      <c r="Z154" s="4">
        <f t="shared" si="35"/>
        <v>5323.9903199999999</v>
      </c>
      <c r="AA154" s="4">
        <f>Table1[[#This Row],[ScenarioQuanity]]*Table1[[#This Row],[UnitPrice]]*(1-Table1[[#This Row],[ScenarioDiscPct]])</f>
        <v>6172.7424000000001</v>
      </c>
      <c r="AB154" s="4">
        <f t="shared" si="36"/>
        <v>1594.7103199999997</v>
      </c>
      <c r="AC154" s="4">
        <f>Table1[[#This Row],[ScenarioRev]] - Table1[[#This Row],[ScenarioCostOfGoods]]</f>
        <v>489.46799999999985</v>
      </c>
      <c r="AD154" s="6">
        <v>0.24099999999999999</v>
      </c>
      <c r="AE154" s="6">
        <f>MIN(Table1[[#This Row],[DiscountPct]], WhatIf!$B$2)</f>
        <v>0.2</v>
      </c>
      <c r="AF154" s="6">
        <f>IF(Table1[[#This Row],[DiscountPct]]&gt;0.2, 1, 0)</f>
        <v>1</v>
      </c>
      <c r="AG154" s="6" t="str">
        <f t="shared" si="37"/>
        <v>High</v>
      </c>
      <c r="AH154" s="6">
        <f t="shared" si="38"/>
        <v>0.29953291124691594</v>
      </c>
      <c r="AI154" s="5">
        <v>8</v>
      </c>
      <c r="AJ154" s="6">
        <f>Table1[[#This Row],[Quantity]]*(1+WhatIf!$B$4)</f>
        <v>8.8000000000000007</v>
      </c>
    </row>
    <row r="155" spans="1:36" x14ac:dyDescent="0.3">
      <c r="A155" t="s">
        <v>148</v>
      </c>
      <c r="B155" s="3">
        <v>45666</v>
      </c>
      <c r="C155" s="3">
        <v>45672</v>
      </c>
      <c r="D155" s="3">
        <f t="shared" si="27"/>
        <v>45672</v>
      </c>
      <c r="E155" s="4">
        <f t="shared" si="26"/>
        <v>6</v>
      </c>
      <c r="F155" s="4">
        <f t="shared" si="28"/>
        <v>6</v>
      </c>
      <c r="G155" s="4">
        <f>IF(Table1[[#This Row],[CorrectedLeadTimeDays]]&lt;=7, 1, 0)</f>
        <v>1</v>
      </c>
      <c r="H155" s="4" t="str">
        <f t="shared" si="29"/>
        <v>January</v>
      </c>
      <c r="I155" s="4" t="str">
        <f t="shared" si="30"/>
        <v>Q1-2025</v>
      </c>
      <c r="J155" s="4" t="str">
        <f t="shared" si="31"/>
        <v>2023-01</v>
      </c>
      <c r="K155" s="3">
        <f t="shared" si="32"/>
        <v>44938</v>
      </c>
      <c r="L155" t="s">
        <v>647</v>
      </c>
      <c r="M155" t="s">
        <v>659</v>
      </c>
      <c r="N155" t="s">
        <v>699</v>
      </c>
      <c r="O155" t="s">
        <v>702</v>
      </c>
      <c r="P155" t="s">
        <v>708</v>
      </c>
      <c r="Q155" t="s">
        <v>712</v>
      </c>
      <c r="R155">
        <f t="shared" si="33"/>
        <v>23</v>
      </c>
      <c r="S155" t="s">
        <v>730</v>
      </c>
      <c r="T155" t="s">
        <v>867</v>
      </c>
      <c r="U155" s="4">
        <v>304.77999999999997</v>
      </c>
      <c r="V155" s="4">
        <f>Table1[[#This Row],[UnitCost]]*(1+WhatIf!$B$3)</f>
        <v>320.01900000000001</v>
      </c>
      <c r="W155" s="4">
        <f t="shared" si="34"/>
        <v>2438.2399999999998</v>
      </c>
      <c r="X155" s="4">
        <f>Table1[[#This Row],[ScenarioRev]]-Table1[[#This Row],[ScenarioUnitCost]]</f>
        <v>3523.8254880000004</v>
      </c>
      <c r="Y155" s="4">
        <v>537.27</v>
      </c>
      <c r="Z155" s="4">
        <f t="shared" si="35"/>
        <v>3494.4040799999998</v>
      </c>
      <c r="AA155" s="4">
        <f>Table1[[#This Row],[ScenarioQuanity]]*Table1[[#This Row],[UnitPrice]]*(1-Table1[[#This Row],[ScenarioDiscPct]])</f>
        <v>3843.8444880000002</v>
      </c>
      <c r="AB155" s="4">
        <f t="shared" si="36"/>
        <v>1056.16408</v>
      </c>
      <c r="AC155" s="4">
        <f>Table1[[#This Row],[ScenarioRev]] - Table1[[#This Row],[ScenarioCostOfGoods]]</f>
        <v>320.01899999999978</v>
      </c>
      <c r="AD155" s="6">
        <v>0.187</v>
      </c>
      <c r="AE155" s="6">
        <f>MIN(Table1[[#This Row],[DiscountPct]], WhatIf!$B$2)</f>
        <v>0.187</v>
      </c>
      <c r="AF155" s="6">
        <f>IF(Table1[[#This Row],[DiscountPct]]&gt;0.2, 1, 0)</f>
        <v>0</v>
      </c>
      <c r="AG155" s="6" t="str">
        <f t="shared" si="37"/>
        <v>Low</v>
      </c>
      <c r="AH155" s="6">
        <f t="shared" si="38"/>
        <v>0.3022444044307549</v>
      </c>
      <c r="AI155" s="5">
        <v>8</v>
      </c>
      <c r="AJ155" s="6">
        <f>Table1[[#This Row],[Quantity]]*(1+WhatIf!$B$4)</f>
        <v>8.8000000000000007</v>
      </c>
    </row>
    <row r="156" spans="1:36" x14ac:dyDescent="0.3">
      <c r="A156" t="s">
        <v>277</v>
      </c>
      <c r="B156" s="3">
        <v>45829</v>
      </c>
      <c r="C156" s="3">
        <v>45835</v>
      </c>
      <c r="D156" s="3">
        <f t="shared" si="27"/>
        <v>45835</v>
      </c>
      <c r="E156" s="4">
        <f t="shared" si="26"/>
        <v>6</v>
      </c>
      <c r="F156" s="4">
        <f t="shared" si="28"/>
        <v>6</v>
      </c>
      <c r="G156" s="4">
        <f>IF(Table1[[#This Row],[CorrectedLeadTimeDays]]&lt;=7, 1, 0)</f>
        <v>1</v>
      </c>
      <c r="H156" s="4" t="str">
        <f t="shared" si="29"/>
        <v>June</v>
      </c>
      <c r="I156" s="4" t="str">
        <f t="shared" si="30"/>
        <v>Q2-2025</v>
      </c>
      <c r="J156" s="4" t="str">
        <f t="shared" si="31"/>
        <v>2023-01</v>
      </c>
      <c r="K156" s="3">
        <f t="shared" si="32"/>
        <v>44933</v>
      </c>
      <c r="L156" t="s">
        <v>646</v>
      </c>
      <c r="M156" t="s">
        <v>661</v>
      </c>
      <c r="N156" t="s">
        <v>687</v>
      </c>
      <c r="O156" t="s">
        <v>706</v>
      </c>
      <c r="P156" t="s">
        <v>710</v>
      </c>
      <c r="Q156" t="s">
        <v>725</v>
      </c>
      <c r="R156">
        <f t="shared" si="33"/>
        <v>29</v>
      </c>
      <c r="S156" t="s">
        <v>730</v>
      </c>
      <c r="T156" t="s">
        <v>997</v>
      </c>
      <c r="U156" s="4">
        <v>93.91</v>
      </c>
      <c r="V156" s="4">
        <f>Table1[[#This Row],[UnitCost]]*(1+WhatIf!$B$3)</f>
        <v>98.605500000000006</v>
      </c>
      <c r="W156" s="4">
        <f t="shared" si="34"/>
        <v>563.46</v>
      </c>
      <c r="X156" s="4">
        <f>Table1[[#This Row],[ScenarioRev]]-Table1[[#This Row],[ScenarioUnitCost]]</f>
        <v>517.79965200000004</v>
      </c>
      <c r="Y156" s="4">
        <v>99.04</v>
      </c>
      <c r="Z156" s="4">
        <f t="shared" si="35"/>
        <v>560.36831999999993</v>
      </c>
      <c r="AA156" s="4">
        <f>Table1[[#This Row],[ScenarioQuanity]]*Table1[[#This Row],[UnitPrice]]*(1-Table1[[#This Row],[ScenarioDiscPct]])</f>
        <v>616.40515200000004</v>
      </c>
      <c r="AB156" s="4">
        <f t="shared" si="36"/>
        <v>-3.0916800000001103</v>
      </c>
      <c r="AC156" s="4">
        <f>Table1[[#This Row],[ScenarioRev]] - Table1[[#This Row],[ScenarioCostOfGoods]]</f>
        <v>98.605500000000006</v>
      </c>
      <c r="AD156" s="6">
        <v>5.7000000000000002E-2</v>
      </c>
      <c r="AE156" s="6">
        <f>MIN(Table1[[#This Row],[DiscountPct]], WhatIf!$B$2)</f>
        <v>5.7000000000000002E-2</v>
      </c>
      <c r="AF156" s="6">
        <f>IF(Table1[[#This Row],[DiscountPct]]&gt;0.2, 1, 0)</f>
        <v>0</v>
      </c>
      <c r="AG156" s="6" t="str">
        <f t="shared" si="37"/>
        <v>Low</v>
      </c>
      <c r="AH156" s="6">
        <f t="shared" si="38"/>
        <v>-5.5172283829323376E-3</v>
      </c>
      <c r="AI156" s="5">
        <v>6</v>
      </c>
      <c r="AJ156" s="6">
        <f>Table1[[#This Row],[Quantity]]*(1+WhatIf!$B$4)</f>
        <v>6.6000000000000005</v>
      </c>
    </row>
    <row r="157" spans="1:36" x14ac:dyDescent="0.3">
      <c r="A157" t="s">
        <v>490</v>
      </c>
      <c r="B157" s="3">
        <v>45422</v>
      </c>
      <c r="C157" s="3">
        <v>45428</v>
      </c>
      <c r="D157" s="3">
        <f t="shared" si="27"/>
        <v>45428</v>
      </c>
      <c r="E157" s="4">
        <f t="shared" si="26"/>
        <v>6</v>
      </c>
      <c r="F157" s="4">
        <f t="shared" si="28"/>
        <v>6</v>
      </c>
      <c r="G157" s="4">
        <f>IF(Table1[[#This Row],[CorrectedLeadTimeDays]]&lt;=7, 1, 0)</f>
        <v>1</v>
      </c>
      <c r="H157" s="4" t="str">
        <f t="shared" si="29"/>
        <v>May</v>
      </c>
      <c r="I157" s="4" t="str">
        <f t="shared" si="30"/>
        <v>Q2-2024</v>
      </c>
      <c r="J157" s="4" t="str">
        <f t="shared" si="31"/>
        <v>2023-01</v>
      </c>
      <c r="K157" s="3">
        <f t="shared" si="32"/>
        <v>44945</v>
      </c>
      <c r="L157" t="s">
        <v>649</v>
      </c>
      <c r="M157" t="s">
        <v>658</v>
      </c>
      <c r="N157" t="s">
        <v>674</v>
      </c>
      <c r="O157" t="s">
        <v>703</v>
      </c>
      <c r="P157" t="s">
        <v>711</v>
      </c>
      <c r="Q157" t="s">
        <v>715</v>
      </c>
      <c r="R157">
        <f t="shared" si="33"/>
        <v>15</v>
      </c>
      <c r="S157" t="s">
        <v>731</v>
      </c>
      <c r="T157" t="s">
        <v>1209</v>
      </c>
      <c r="U157" s="4">
        <v>210.76</v>
      </c>
      <c r="V157" s="4">
        <f>Table1[[#This Row],[UnitCost]]*(1+WhatIf!$B$3)</f>
        <v>221.298</v>
      </c>
      <c r="W157" s="4">
        <f t="shared" si="34"/>
        <v>1053.8</v>
      </c>
      <c r="X157" s="4">
        <f>Table1[[#This Row],[ScenarioRev]]-Table1[[#This Row],[ScenarioUnitCost]]</f>
        <v>888.92858999999999</v>
      </c>
      <c r="Y157" s="4">
        <v>221.58</v>
      </c>
      <c r="Z157" s="4">
        <f t="shared" si="35"/>
        <v>1009.2969000000002</v>
      </c>
      <c r="AA157" s="4">
        <f>Table1[[#This Row],[ScenarioQuanity]]*Table1[[#This Row],[UnitPrice]]*(1-Table1[[#This Row],[ScenarioDiscPct]])</f>
        <v>1110.22659</v>
      </c>
      <c r="AB157" s="4">
        <f t="shared" si="36"/>
        <v>-44.50309999999979</v>
      </c>
      <c r="AC157" s="4">
        <f>Table1[[#This Row],[ScenarioRev]] - Table1[[#This Row],[ScenarioCostOfGoods]]</f>
        <v>221.298</v>
      </c>
      <c r="AD157" s="6">
        <v>8.8999999999999996E-2</v>
      </c>
      <c r="AE157" s="6">
        <f>MIN(Table1[[#This Row],[DiscountPct]], WhatIf!$B$2)</f>
        <v>8.8999999999999996E-2</v>
      </c>
      <c r="AF157" s="6">
        <f>IF(Table1[[#This Row],[DiscountPct]]&gt;0.2, 1, 0)</f>
        <v>0</v>
      </c>
      <c r="AG157" s="6" t="str">
        <f t="shared" si="37"/>
        <v>Low</v>
      </c>
      <c r="AH157" s="6">
        <f t="shared" si="38"/>
        <v>-4.4093170205912434E-2</v>
      </c>
      <c r="AI157" s="5">
        <v>5</v>
      </c>
      <c r="AJ157" s="6">
        <f>Table1[[#This Row],[Quantity]]*(1+WhatIf!$B$4)</f>
        <v>5.5</v>
      </c>
    </row>
    <row r="158" spans="1:36" x14ac:dyDescent="0.3">
      <c r="A158" t="s">
        <v>598</v>
      </c>
      <c r="B158" s="3">
        <v>45507</v>
      </c>
      <c r="C158" s="3">
        <v>45513</v>
      </c>
      <c r="D158" s="3">
        <f t="shared" si="27"/>
        <v>45513</v>
      </c>
      <c r="E158" s="4">
        <f t="shared" si="26"/>
        <v>6</v>
      </c>
      <c r="F158" s="4">
        <f t="shared" si="28"/>
        <v>6</v>
      </c>
      <c r="G158" s="4">
        <f>IF(Table1[[#This Row],[CorrectedLeadTimeDays]]&lt;=7, 1, 0)</f>
        <v>1</v>
      </c>
      <c r="H158" s="4" t="str">
        <f t="shared" si="29"/>
        <v>August</v>
      </c>
      <c r="I158" s="4" t="str">
        <f t="shared" si="30"/>
        <v>Q3-2024</v>
      </c>
      <c r="J158" s="4" t="str">
        <f t="shared" si="31"/>
        <v>2023-01</v>
      </c>
      <c r="K158" s="3">
        <f t="shared" si="32"/>
        <v>44946</v>
      </c>
      <c r="L158" t="s">
        <v>646</v>
      </c>
      <c r="M158" t="s">
        <v>650</v>
      </c>
      <c r="N158" t="s">
        <v>675</v>
      </c>
      <c r="O158" t="s">
        <v>704</v>
      </c>
      <c r="P158" t="s">
        <v>709</v>
      </c>
      <c r="Q158" t="s">
        <v>722</v>
      </c>
      <c r="R158">
        <f t="shared" si="33"/>
        <v>18</v>
      </c>
      <c r="S158" t="s">
        <v>731</v>
      </c>
      <c r="T158" t="s">
        <v>1316</v>
      </c>
      <c r="U158" s="4">
        <v>643.21</v>
      </c>
      <c r="V158" s="4">
        <f>Table1[[#This Row],[UnitCost]]*(1+WhatIf!$B$3)</f>
        <v>675.37050000000011</v>
      </c>
      <c r="W158" s="4">
        <f t="shared" si="34"/>
        <v>2572.84</v>
      </c>
      <c r="X158" s="4">
        <f>Table1[[#This Row],[ScenarioRev]]-Table1[[#This Row],[ScenarioUnitCost]]</f>
        <v>3530.6061760000002</v>
      </c>
      <c r="Y158" s="4">
        <v>1112.81</v>
      </c>
      <c r="Z158" s="4">
        <f t="shared" si="35"/>
        <v>3823.6151599999998</v>
      </c>
      <c r="AA158" s="4">
        <f>Table1[[#This Row],[ScenarioQuanity]]*Table1[[#This Row],[UnitPrice]]*(1-Table1[[#This Row],[ScenarioDiscPct]])</f>
        <v>4205.9766760000002</v>
      </c>
      <c r="AB158" s="4">
        <f t="shared" si="36"/>
        <v>1250.7751599999997</v>
      </c>
      <c r="AC158" s="4">
        <f>Table1[[#This Row],[ScenarioRev]] - Table1[[#This Row],[ScenarioCostOfGoods]]</f>
        <v>675.37049999999999</v>
      </c>
      <c r="AD158" s="6">
        <v>0.14099999999999999</v>
      </c>
      <c r="AE158" s="6">
        <f>MIN(Table1[[#This Row],[DiscountPct]], WhatIf!$B$2)</f>
        <v>0.14099999999999999</v>
      </c>
      <c r="AF158" s="6">
        <f>IF(Table1[[#This Row],[DiscountPct]]&gt;0.2, 1, 0)</f>
        <v>0</v>
      </c>
      <c r="AG158" s="6" t="str">
        <f t="shared" si="37"/>
        <v>High</v>
      </c>
      <c r="AH158" s="6">
        <f t="shared" si="38"/>
        <v>0.32711847496702562</v>
      </c>
      <c r="AI158" s="5">
        <v>4</v>
      </c>
      <c r="AJ158" s="6">
        <f>Table1[[#This Row],[Quantity]]*(1+WhatIf!$B$4)</f>
        <v>4.4000000000000004</v>
      </c>
    </row>
    <row r="159" spans="1:36" x14ac:dyDescent="0.3">
      <c r="A159" t="s">
        <v>634</v>
      </c>
      <c r="B159" s="3">
        <v>45177</v>
      </c>
      <c r="C159" s="3">
        <v>45183</v>
      </c>
      <c r="D159" s="3">
        <f t="shared" si="27"/>
        <v>45183</v>
      </c>
      <c r="E159" s="4">
        <f t="shared" si="26"/>
        <v>6</v>
      </c>
      <c r="F159" s="4">
        <f t="shared" si="28"/>
        <v>6</v>
      </c>
      <c r="G159" s="4">
        <f>IF(Table1[[#This Row],[CorrectedLeadTimeDays]]&lt;=7, 1, 0)</f>
        <v>1</v>
      </c>
      <c r="H159" s="4" t="str">
        <f t="shared" si="29"/>
        <v>September</v>
      </c>
      <c r="I159" s="4" t="str">
        <f t="shared" si="30"/>
        <v>Q3-2023</v>
      </c>
      <c r="J159" s="4" t="str">
        <f t="shared" si="31"/>
        <v>2023-01</v>
      </c>
      <c r="K159" s="3">
        <f t="shared" si="32"/>
        <v>44946</v>
      </c>
      <c r="L159" t="s">
        <v>646</v>
      </c>
      <c r="M159" t="s">
        <v>650</v>
      </c>
      <c r="N159" t="s">
        <v>678</v>
      </c>
      <c r="O159" t="s">
        <v>702</v>
      </c>
      <c r="P159" t="s">
        <v>711</v>
      </c>
      <c r="Q159" t="s">
        <v>714</v>
      </c>
      <c r="R159">
        <f t="shared" si="33"/>
        <v>7</v>
      </c>
      <c r="S159" t="s">
        <v>733</v>
      </c>
      <c r="T159" t="s">
        <v>1352</v>
      </c>
      <c r="U159" s="4">
        <v>251.03</v>
      </c>
      <c r="V159" s="4">
        <f>Table1[[#This Row],[UnitCost]]*(1+WhatIf!$B$3)</f>
        <v>263.58150000000001</v>
      </c>
      <c r="W159" s="4">
        <f t="shared" si="34"/>
        <v>753.09</v>
      </c>
      <c r="X159" s="4">
        <f>Table1[[#This Row],[ScenarioRev]]-Table1[[#This Row],[ScenarioUnitCost]]</f>
        <v>870.25164000000018</v>
      </c>
      <c r="Y159" s="4">
        <v>411.48</v>
      </c>
      <c r="Z159" s="4">
        <f t="shared" si="35"/>
        <v>1030.7574</v>
      </c>
      <c r="AA159" s="4">
        <f>Table1[[#This Row],[ScenarioQuanity]]*Table1[[#This Row],[UnitPrice]]*(1-Table1[[#This Row],[ScenarioDiscPct]])</f>
        <v>1133.8331400000002</v>
      </c>
      <c r="AB159" s="4">
        <f t="shared" si="36"/>
        <v>277.66739999999993</v>
      </c>
      <c r="AC159" s="4">
        <f>Table1[[#This Row],[ScenarioRev]] - Table1[[#This Row],[ScenarioCostOfGoods]]</f>
        <v>263.58150000000001</v>
      </c>
      <c r="AD159" s="6">
        <v>0.16500000000000001</v>
      </c>
      <c r="AE159" s="6">
        <f>MIN(Table1[[#This Row],[DiscountPct]], WhatIf!$B$2)</f>
        <v>0.16500000000000001</v>
      </c>
      <c r="AF159" s="6">
        <f>IF(Table1[[#This Row],[DiscountPct]]&gt;0.2, 1, 0)</f>
        <v>0</v>
      </c>
      <c r="AG159" s="6" t="str">
        <f t="shared" si="37"/>
        <v>Low</v>
      </c>
      <c r="AH159" s="6">
        <f t="shared" si="38"/>
        <v>0.26938191275658069</v>
      </c>
      <c r="AI159" s="5">
        <v>3</v>
      </c>
      <c r="AJ159" s="6">
        <f>Table1[[#This Row],[Quantity]]*(1+WhatIf!$B$4)</f>
        <v>3.3000000000000003</v>
      </c>
    </row>
    <row r="160" spans="1:36" x14ac:dyDescent="0.3">
      <c r="A160" t="s">
        <v>124</v>
      </c>
      <c r="B160" s="3">
        <v>45445</v>
      </c>
      <c r="C160" s="3">
        <v>45451</v>
      </c>
      <c r="D160" s="3">
        <f t="shared" si="27"/>
        <v>45451</v>
      </c>
      <c r="E160" s="4">
        <f t="shared" si="26"/>
        <v>6</v>
      </c>
      <c r="F160" s="4">
        <f t="shared" si="28"/>
        <v>6</v>
      </c>
      <c r="G160" s="4">
        <f>IF(Table1[[#This Row],[CorrectedLeadTimeDays]]&lt;=7, 1, 0)</f>
        <v>1</v>
      </c>
      <c r="H160" s="4" t="str">
        <f t="shared" si="29"/>
        <v>June</v>
      </c>
      <c r="I160" s="4" t="str">
        <f t="shared" si="30"/>
        <v>Q2-2024</v>
      </c>
      <c r="J160" s="4" t="str">
        <f t="shared" si="31"/>
        <v>2023-01</v>
      </c>
      <c r="K160" s="3">
        <f t="shared" si="32"/>
        <v>44946</v>
      </c>
      <c r="L160" t="s">
        <v>646</v>
      </c>
      <c r="M160" t="s">
        <v>650</v>
      </c>
      <c r="N160" t="s">
        <v>662</v>
      </c>
      <c r="O160" t="s">
        <v>704</v>
      </c>
      <c r="P160" t="s">
        <v>709</v>
      </c>
      <c r="Q160" t="s">
        <v>720</v>
      </c>
      <c r="R160">
        <f t="shared" si="33"/>
        <v>16</v>
      </c>
      <c r="S160" t="s">
        <v>733</v>
      </c>
      <c r="T160" t="s">
        <v>843</v>
      </c>
      <c r="U160" s="4">
        <v>292.94</v>
      </c>
      <c r="V160" s="4">
        <f>Table1[[#This Row],[UnitCost]]*(1+WhatIf!$B$3)</f>
        <v>307.58699999999999</v>
      </c>
      <c r="W160" s="4">
        <f t="shared" si="34"/>
        <v>585.88</v>
      </c>
      <c r="X160" s="4">
        <f>Table1[[#This Row],[ScenarioRev]]-Table1[[#This Row],[ScenarioUnitCost]]</f>
        <v>319.94100000000014</v>
      </c>
      <c r="Y160" s="4">
        <v>356.55</v>
      </c>
      <c r="Z160" s="4">
        <f t="shared" si="35"/>
        <v>549.80010000000004</v>
      </c>
      <c r="AA160" s="4">
        <f>Table1[[#This Row],[ScenarioQuanity]]*Table1[[#This Row],[UnitPrice]]*(1-Table1[[#This Row],[ScenarioDiscPct]])</f>
        <v>627.52800000000013</v>
      </c>
      <c r="AB160" s="4">
        <f t="shared" si="36"/>
        <v>-36.079899999999952</v>
      </c>
      <c r="AC160" s="4">
        <f>Table1[[#This Row],[ScenarioRev]] - Table1[[#This Row],[ScenarioCostOfGoods]]</f>
        <v>307.58699999999999</v>
      </c>
      <c r="AD160" s="6">
        <v>0.22900000000000001</v>
      </c>
      <c r="AE160" s="6">
        <f>MIN(Table1[[#This Row],[DiscountPct]], WhatIf!$B$2)</f>
        <v>0.2</v>
      </c>
      <c r="AF160" s="6">
        <f>IF(Table1[[#This Row],[DiscountPct]]&gt;0.2, 1, 0)</f>
        <v>1</v>
      </c>
      <c r="AG160" s="6" t="str">
        <f t="shared" si="37"/>
        <v>Low</v>
      </c>
      <c r="AH160" s="6">
        <f t="shared" si="38"/>
        <v>-6.5623669402751925E-2</v>
      </c>
      <c r="AI160" s="5">
        <v>2</v>
      </c>
      <c r="AJ160" s="6">
        <f>Table1[[#This Row],[Quantity]]*(1+WhatIf!$B$4)</f>
        <v>2.2000000000000002</v>
      </c>
    </row>
    <row r="161" spans="1:36" x14ac:dyDescent="0.3">
      <c r="A161" t="s">
        <v>376</v>
      </c>
      <c r="B161" s="3">
        <v>45108</v>
      </c>
      <c r="C161" s="3">
        <v>45115</v>
      </c>
      <c r="D161" s="3">
        <f t="shared" si="27"/>
        <v>45115</v>
      </c>
      <c r="E161" s="4">
        <f t="shared" si="26"/>
        <v>7</v>
      </c>
      <c r="F161" s="4">
        <f t="shared" si="28"/>
        <v>7</v>
      </c>
      <c r="G161" s="4">
        <f>IF(Table1[[#This Row],[CorrectedLeadTimeDays]]&lt;=7, 1, 0)</f>
        <v>1</v>
      </c>
      <c r="H161" s="4" t="str">
        <f t="shared" si="29"/>
        <v>July</v>
      </c>
      <c r="I161" s="4" t="str">
        <f t="shared" si="30"/>
        <v>Q3-2023</v>
      </c>
      <c r="J161" s="4" t="str">
        <f t="shared" si="31"/>
        <v>2023-01</v>
      </c>
      <c r="K161" s="3">
        <f t="shared" si="32"/>
        <v>44941</v>
      </c>
      <c r="L161" t="s">
        <v>646</v>
      </c>
      <c r="M161" t="s">
        <v>651</v>
      </c>
      <c r="N161" t="s">
        <v>663</v>
      </c>
      <c r="O161" t="s">
        <v>701</v>
      </c>
      <c r="P161" t="s">
        <v>707</v>
      </c>
      <c r="Q161" t="s">
        <v>720</v>
      </c>
      <c r="R161">
        <f t="shared" si="33"/>
        <v>5</v>
      </c>
      <c r="S161" t="s">
        <v>731</v>
      </c>
      <c r="T161" t="s">
        <v>1096</v>
      </c>
      <c r="U161" s="4">
        <v>834.26</v>
      </c>
      <c r="V161" s="4">
        <f>Table1[[#This Row],[UnitCost]]*(1+WhatIf!$B$3)</f>
        <v>875.97300000000007</v>
      </c>
      <c r="W161" s="4">
        <f t="shared" si="34"/>
        <v>39210.22</v>
      </c>
      <c r="X161" s="4">
        <f>Table1[[#This Row],[ScenarioRev]]-Table1[[#This Row],[ScenarioUnitCost]]</f>
        <v>89890.209672000012</v>
      </c>
      <c r="Y161" s="4">
        <v>1780.56</v>
      </c>
      <c r="Z161" s="4">
        <f t="shared" si="35"/>
        <v>82514.711519999997</v>
      </c>
      <c r="AA161" s="4">
        <f>Table1[[#This Row],[ScenarioQuanity]]*Table1[[#This Row],[UnitPrice]]*(1-Table1[[#This Row],[ScenarioDiscPct]])</f>
        <v>90766.18267200001</v>
      </c>
      <c r="AB161" s="4">
        <f t="shared" si="36"/>
        <v>43304.491519999996</v>
      </c>
      <c r="AC161" s="4">
        <f>Table1[[#This Row],[ScenarioRev]] - Table1[[#This Row],[ScenarioCostOfGoods]]</f>
        <v>875.97299999999814</v>
      </c>
      <c r="AD161" s="6">
        <v>1.4E-2</v>
      </c>
      <c r="AE161" s="6">
        <f>MIN(Table1[[#This Row],[DiscountPct]], WhatIf!$B$2)</f>
        <v>1.4E-2</v>
      </c>
      <c r="AF161" s="6">
        <f>IF(Table1[[#This Row],[DiscountPct]]&gt;0.2, 1, 0)</f>
        <v>0</v>
      </c>
      <c r="AG161" s="6" t="str">
        <f t="shared" si="37"/>
        <v>High</v>
      </c>
      <c r="AH161" s="6">
        <f t="shared" si="38"/>
        <v>0.5248093427497933</v>
      </c>
      <c r="AI161" s="5">
        <v>47</v>
      </c>
      <c r="AJ161" s="6">
        <f>Table1[[#This Row],[Quantity]]*(1+WhatIf!$B$4)</f>
        <v>51.7</v>
      </c>
    </row>
    <row r="162" spans="1:36" x14ac:dyDescent="0.3">
      <c r="A162" t="s">
        <v>470</v>
      </c>
      <c r="B162" s="3">
        <v>45265</v>
      </c>
      <c r="C162" s="3">
        <v>45272</v>
      </c>
      <c r="D162" s="3">
        <f t="shared" si="27"/>
        <v>45272</v>
      </c>
      <c r="E162" s="4">
        <f t="shared" si="26"/>
        <v>7</v>
      </c>
      <c r="F162" s="4">
        <f t="shared" si="28"/>
        <v>7</v>
      </c>
      <c r="G162" s="4">
        <f>IF(Table1[[#This Row],[CorrectedLeadTimeDays]]&lt;=7, 1, 0)</f>
        <v>1</v>
      </c>
      <c r="H162" s="4" t="str">
        <f t="shared" si="29"/>
        <v>December</v>
      </c>
      <c r="I162" s="4" t="str">
        <f t="shared" si="30"/>
        <v>Q4-2023</v>
      </c>
      <c r="J162" s="4" t="str">
        <f t="shared" si="31"/>
        <v>2023-01</v>
      </c>
      <c r="K162" s="3">
        <f t="shared" si="32"/>
        <v>44955</v>
      </c>
      <c r="L162" t="s">
        <v>648</v>
      </c>
      <c r="M162" t="s">
        <v>655</v>
      </c>
      <c r="N162" t="s">
        <v>672</v>
      </c>
      <c r="O162" t="s">
        <v>701</v>
      </c>
      <c r="P162" t="s">
        <v>711</v>
      </c>
      <c r="Q162" t="s">
        <v>721</v>
      </c>
      <c r="R162">
        <f t="shared" si="33"/>
        <v>10</v>
      </c>
      <c r="S162" t="s">
        <v>730</v>
      </c>
      <c r="T162" t="s">
        <v>1189</v>
      </c>
      <c r="U162" s="4">
        <v>307.43</v>
      </c>
      <c r="V162" s="4">
        <f>Table1[[#This Row],[UnitCost]]*(1+WhatIf!$B$3)</f>
        <v>322.80150000000003</v>
      </c>
      <c r="W162" s="4">
        <f t="shared" si="34"/>
        <v>12912.06</v>
      </c>
      <c r="X162" s="4">
        <f>Table1[[#This Row],[ScenarioRev]]-Table1[[#This Row],[ScenarioUnitCost]]</f>
        <v>22554.976500000001</v>
      </c>
      <c r="Y162" s="4">
        <v>495.19</v>
      </c>
      <c r="Z162" s="4">
        <f t="shared" si="35"/>
        <v>20797.98</v>
      </c>
      <c r="AA162" s="4">
        <f>Table1[[#This Row],[ScenarioQuanity]]*Table1[[#This Row],[UnitPrice]]*(1-Table1[[#This Row],[ScenarioDiscPct]])</f>
        <v>22877.778000000002</v>
      </c>
      <c r="AB162" s="4">
        <f t="shared" si="36"/>
        <v>7885.92</v>
      </c>
      <c r="AC162" s="4">
        <f>Table1[[#This Row],[ScenarioRev]] - Table1[[#This Row],[ScenarioCostOfGoods]]</f>
        <v>322.8015000000014</v>
      </c>
      <c r="AD162" s="6">
        <v>0</v>
      </c>
      <c r="AE162" s="6">
        <f>MIN(Table1[[#This Row],[DiscountPct]], WhatIf!$B$2)</f>
        <v>0</v>
      </c>
      <c r="AF162" s="6">
        <f>IF(Table1[[#This Row],[DiscountPct]]&gt;0.2, 1, 0)</f>
        <v>0</v>
      </c>
      <c r="AG162" s="6" t="str">
        <f t="shared" si="37"/>
        <v>Low</v>
      </c>
      <c r="AH162" s="6">
        <f t="shared" si="38"/>
        <v>0.37916759223732305</v>
      </c>
      <c r="AI162" s="5">
        <v>42</v>
      </c>
      <c r="AJ162" s="6">
        <f>Table1[[#This Row],[Quantity]]*(1+WhatIf!$B$4)</f>
        <v>46.2</v>
      </c>
    </row>
    <row r="163" spans="1:36" x14ac:dyDescent="0.3">
      <c r="A163" t="s">
        <v>353</v>
      </c>
      <c r="B163" s="3">
        <v>45121</v>
      </c>
      <c r="C163" s="3">
        <v>45128</v>
      </c>
      <c r="D163" s="3">
        <f t="shared" si="27"/>
        <v>45128</v>
      </c>
      <c r="E163" s="4">
        <f t="shared" si="26"/>
        <v>7</v>
      </c>
      <c r="F163" s="4">
        <f t="shared" si="28"/>
        <v>7</v>
      </c>
      <c r="G163" s="4">
        <f>IF(Table1[[#This Row],[CorrectedLeadTimeDays]]&lt;=7, 1, 0)</f>
        <v>1</v>
      </c>
      <c r="H163" s="4" t="str">
        <f t="shared" si="29"/>
        <v>July</v>
      </c>
      <c r="I163" s="4" t="str">
        <f t="shared" si="30"/>
        <v>Q3-2023</v>
      </c>
      <c r="J163" s="4" t="str">
        <f t="shared" si="31"/>
        <v>2023-01</v>
      </c>
      <c r="K163" s="3">
        <f t="shared" si="32"/>
        <v>44933</v>
      </c>
      <c r="L163" t="s">
        <v>646</v>
      </c>
      <c r="M163" t="s">
        <v>661</v>
      </c>
      <c r="N163" t="s">
        <v>687</v>
      </c>
      <c r="O163" t="s">
        <v>706</v>
      </c>
      <c r="P163" t="s">
        <v>709</v>
      </c>
      <c r="R163">
        <f t="shared" si="33"/>
        <v>6</v>
      </c>
      <c r="S163" t="s">
        <v>732</v>
      </c>
      <c r="T163" t="s">
        <v>1073</v>
      </c>
      <c r="U163" s="4">
        <v>620.74</v>
      </c>
      <c r="V163" s="4">
        <f>Table1[[#This Row],[UnitCost]]*(1+WhatIf!$B$3)</f>
        <v>651.77700000000004</v>
      </c>
      <c r="W163" s="4">
        <f t="shared" si="34"/>
        <v>17380.72</v>
      </c>
      <c r="X163" s="4">
        <f>Table1[[#This Row],[ScenarioRev]]-Table1[[#This Row],[ScenarioUnitCost]]</f>
        <v>32121.147799999999</v>
      </c>
      <c r="Y163" s="4">
        <v>1330.07</v>
      </c>
      <c r="Z163" s="4">
        <f t="shared" si="35"/>
        <v>26106.613960000002</v>
      </c>
      <c r="AA163" s="4">
        <f>Table1[[#This Row],[ScenarioQuanity]]*Table1[[#This Row],[UnitPrice]]*(1-Table1[[#This Row],[ScenarioDiscPct]])</f>
        <v>32772.924800000001</v>
      </c>
      <c r="AB163" s="4">
        <f t="shared" si="36"/>
        <v>8725.8939600000012</v>
      </c>
      <c r="AC163" s="4">
        <f>Table1[[#This Row],[ScenarioRev]] - Table1[[#This Row],[ScenarioCostOfGoods]]</f>
        <v>651.77700000000186</v>
      </c>
      <c r="AD163" s="6">
        <v>0.29899999999999999</v>
      </c>
      <c r="AE163" s="6">
        <f>MIN(Table1[[#This Row],[DiscountPct]], WhatIf!$B$2)</f>
        <v>0.2</v>
      </c>
      <c r="AF163" s="6">
        <f>IF(Table1[[#This Row],[DiscountPct]]&gt;0.2, 1, 0)</f>
        <v>1</v>
      </c>
      <c r="AG163" s="6" t="str">
        <f t="shared" si="37"/>
        <v>High</v>
      </c>
      <c r="AH163" s="6">
        <f t="shared" si="38"/>
        <v>0.33424073965967516</v>
      </c>
      <c r="AI163" s="5">
        <v>28</v>
      </c>
      <c r="AJ163" s="6">
        <f>Table1[[#This Row],[Quantity]]*(1+WhatIf!$B$4)</f>
        <v>30.800000000000004</v>
      </c>
    </row>
    <row r="164" spans="1:36" x14ac:dyDescent="0.3">
      <c r="A164" t="s">
        <v>199</v>
      </c>
      <c r="B164" s="3">
        <v>45587</v>
      </c>
      <c r="C164" s="3">
        <v>45594</v>
      </c>
      <c r="D164" s="3">
        <f t="shared" si="27"/>
        <v>45594</v>
      </c>
      <c r="E164" s="4">
        <f t="shared" si="26"/>
        <v>7</v>
      </c>
      <c r="F164" s="4">
        <f t="shared" si="28"/>
        <v>7</v>
      </c>
      <c r="G164" s="4">
        <f>IF(Table1[[#This Row],[CorrectedLeadTimeDays]]&lt;=7, 1, 0)</f>
        <v>1</v>
      </c>
      <c r="H164" s="4" t="str">
        <f t="shared" si="29"/>
        <v>October</v>
      </c>
      <c r="I164" s="4" t="str">
        <f t="shared" si="30"/>
        <v>Q4-2024</v>
      </c>
      <c r="J164" s="4" t="str">
        <f t="shared" si="31"/>
        <v>2023-01</v>
      </c>
      <c r="K164" s="3">
        <f t="shared" si="32"/>
        <v>44941</v>
      </c>
      <c r="L164" t="s">
        <v>646</v>
      </c>
      <c r="M164" t="s">
        <v>651</v>
      </c>
      <c r="N164" t="s">
        <v>663</v>
      </c>
      <c r="O164" t="s">
        <v>706</v>
      </c>
      <c r="P164" t="s">
        <v>710</v>
      </c>
      <c r="Q164" t="s">
        <v>724</v>
      </c>
      <c r="R164">
        <f t="shared" si="33"/>
        <v>21</v>
      </c>
      <c r="S164" t="s">
        <v>732</v>
      </c>
      <c r="T164" t="s">
        <v>918</v>
      </c>
      <c r="U164" s="4">
        <v>1023.06</v>
      </c>
      <c r="V164" s="4">
        <f>Table1[[#This Row],[UnitCost]]*(1+WhatIf!$B$3)</f>
        <v>1074.213</v>
      </c>
      <c r="W164" s="4">
        <f t="shared" si="34"/>
        <v>23530.379999999997</v>
      </c>
      <c r="X164" s="4">
        <f>Table1[[#This Row],[ScenarioRev]]-Table1[[#This Row],[ScenarioUnitCost]]</f>
        <v>27975.289250999998</v>
      </c>
      <c r="Y164" s="4">
        <v>1355.61</v>
      </c>
      <c r="Z164" s="4">
        <f t="shared" si="35"/>
        <v>26408.63841</v>
      </c>
      <c r="AA164" s="4">
        <f>Table1[[#This Row],[ScenarioQuanity]]*Table1[[#This Row],[UnitPrice]]*(1-Table1[[#This Row],[ScenarioDiscPct]])</f>
        <v>29049.502250999998</v>
      </c>
      <c r="AB164" s="4">
        <f t="shared" si="36"/>
        <v>2878.2584100000022</v>
      </c>
      <c r="AC164" s="4">
        <f>Table1[[#This Row],[ScenarioRev]] - Table1[[#This Row],[ScenarioCostOfGoods]]</f>
        <v>1074.2129999999997</v>
      </c>
      <c r="AD164" s="6">
        <v>0.153</v>
      </c>
      <c r="AE164" s="6">
        <f>MIN(Table1[[#This Row],[DiscountPct]], WhatIf!$B$2)</f>
        <v>0.153</v>
      </c>
      <c r="AF164" s="6">
        <f>IF(Table1[[#This Row],[DiscountPct]]&gt;0.2, 1, 0)</f>
        <v>0</v>
      </c>
      <c r="AG164" s="6" t="str">
        <f t="shared" si="37"/>
        <v>High</v>
      </c>
      <c r="AH164" s="6">
        <f t="shared" si="38"/>
        <v>0.10898927711888809</v>
      </c>
      <c r="AI164" s="5">
        <v>23</v>
      </c>
      <c r="AJ164" s="6">
        <f>Table1[[#This Row],[Quantity]]*(1+WhatIf!$B$4)</f>
        <v>25.3</v>
      </c>
    </row>
    <row r="165" spans="1:36" x14ac:dyDescent="0.3">
      <c r="A165" t="s">
        <v>131</v>
      </c>
      <c r="B165" s="3">
        <v>45811</v>
      </c>
      <c r="C165" s="3">
        <v>45818</v>
      </c>
      <c r="D165" s="3">
        <f t="shared" si="27"/>
        <v>45818</v>
      </c>
      <c r="E165" s="4">
        <f t="shared" si="26"/>
        <v>7</v>
      </c>
      <c r="F165" s="4">
        <f t="shared" si="28"/>
        <v>7</v>
      </c>
      <c r="G165" s="4">
        <f>IF(Table1[[#This Row],[CorrectedLeadTimeDays]]&lt;=7, 1, 0)</f>
        <v>1</v>
      </c>
      <c r="H165" s="4" t="str">
        <f t="shared" si="29"/>
        <v>June</v>
      </c>
      <c r="I165" s="4" t="str">
        <f t="shared" si="30"/>
        <v>Q2-2025</v>
      </c>
      <c r="J165" s="4" t="str">
        <f t="shared" si="31"/>
        <v>2023-01</v>
      </c>
      <c r="K165" s="3">
        <f t="shared" si="32"/>
        <v>44928</v>
      </c>
      <c r="L165" t="s">
        <v>648</v>
      </c>
      <c r="M165" t="s">
        <v>653</v>
      </c>
      <c r="N165" t="s">
        <v>667</v>
      </c>
      <c r="O165" t="s">
        <v>704</v>
      </c>
      <c r="P165" t="s">
        <v>710</v>
      </c>
      <c r="Q165" t="s">
        <v>719</v>
      </c>
      <c r="R165">
        <f t="shared" si="33"/>
        <v>29</v>
      </c>
      <c r="S165" t="s">
        <v>728</v>
      </c>
      <c r="T165" t="s">
        <v>850</v>
      </c>
      <c r="U165" s="4">
        <v>75.180000000000007</v>
      </c>
      <c r="V165" s="4">
        <f>Table1[[#This Row],[UnitCost]]*(1+WhatIf!$B$3)</f>
        <v>78.939000000000007</v>
      </c>
      <c r="W165" s="4">
        <f t="shared" si="34"/>
        <v>1278.0600000000002</v>
      </c>
      <c r="X165" s="4">
        <f>Table1[[#This Row],[ScenarioRev]]-Table1[[#This Row],[ScenarioUnitCost]]</f>
        <v>763.65214500000013</v>
      </c>
      <c r="Y165" s="4">
        <v>53.45</v>
      </c>
      <c r="Z165" s="4">
        <f t="shared" si="35"/>
        <v>765.99195000000009</v>
      </c>
      <c r="AA165" s="4">
        <f>Table1[[#This Row],[ScenarioQuanity]]*Table1[[#This Row],[UnitPrice]]*(1-Table1[[#This Row],[ScenarioDiscPct]])</f>
        <v>842.5911450000001</v>
      </c>
      <c r="AB165" s="4">
        <f t="shared" si="36"/>
        <v>-512.06805000000008</v>
      </c>
      <c r="AC165" s="4">
        <f>Table1[[#This Row],[ScenarioRev]] - Table1[[#This Row],[ScenarioCostOfGoods]]</f>
        <v>78.938999999999965</v>
      </c>
      <c r="AD165" s="6">
        <v>0.157</v>
      </c>
      <c r="AE165" s="6">
        <f>MIN(Table1[[#This Row],[DiscountPct]], WhatIf!$B$2)</f>
        <v>0.157</v>
      </c>
      <c r="AF165" s="6">
        <f>IF(Table1[[#This Row],[DiscountPct]]&gt;0.2, 1, 0)</f>
        <v>0</v>
      </c>
      <c r="AG165" s="6" t="str">
        <f t="shared" si="37"/>
        <v>Low</v>
      </c>
      <c r="AH165" s="6">
        <f t="shared" si="38"/>
        <v>-0.66850317421743144</v>
      </c>
      <c r="AI165" s="5">
        <v>17</v>
      </c>
      <c r="AJ165" s="6">
        <f>Table1[[#This Row],[Quantity]]*(1+WhatIf!$B$4)</f>
        <v>18.700000000000003</v>
      </c>
    </row>
    <row r="166" spans="1:36" x14ac:dyDescent="0.3">
      <c r="A166" t="s">
        <v>558</v>
      </c>
      <c r="B166" s="3">
        <v>45108</v>
      </c>
      <c r="C166" s="3">
        <v>45115</v>
      </c>
      <c r="D166" s="3">
        <f t="shared" si="27"/>
        <v>45115</v>
      </c>
      <c r="E166" s="4">
        <f t="shared" si="26"/>
        <v>7</v>
      </c>
      <c r="F166" s="4">
        <f t="shared" si="28"/>
        <v>7</v>
      </c>
      <c r="G166" s="4">
        <f>IF(Table1[[#This Row],[CorrectedLeadTimeDays]]&lt;=7, 1, 0)</f>
        <v>1</v>
      </c>
      <c r="H166" s="4" t="str">
        <f t="shared" si="29"/>
        <v>July</v>
      </c>
      <c r="I166" s="4" t="str">
        <f t="shared" si="30"/>
        <v>Q3-2023</v>
      </c>
      <c r="J166" s="4" t="str">
        <f t="shared" si="31"/>
        <v>2023-01</v>
      </c>
      <c r="K166" s="3">
        <f t="shared" si="32"/>
        <v>44948</v>
      </c>
      <c r="L166" t="s">
        <v>649</v>
      </c>
      <c r="M166" t="s">
        <v>656</v>
      </c>
      <c r="N166" t="s">
        <v>698</v>
      </c>
      <c r="O166" t="s">
        <v>705</v>
      </c>
      <c r="P166" t="s">
        <v>710</v>
      </c>
      <c r="Q166" t="s">
        <v>725</v>
      </c>
      <c r="R166">
        <f t="shared" si="33"/>
        <v>5</v>
      </c>
      <c r="S166" t="s">
        <v>731</v>
      </c>
      <c r="T166" t="s">
        <v>1276</v>
      </c>
      <c r="U166" s="4">
        <v>460.21</v>
      </c>
      <c r="V166" s="4">
        <f>Table1[[#This Row],[UnitCost]]*(1+WhatIf!$B$3)</f>
        <v>483.22050000000002</v>
      </c>
      <c r="W166" s="4">
        <f t="shared" si="34"/>
        <v>6442.94</v>
      </c>
      <c r="X166" s="4">
        <f>Table1[[#This Row],[ScenarioRev]]-Table1[[#This Row],[ScenarioUnitCost]]</f>
        <v>15042.254850000003</v>
      </c>
      <c r="Y166" s="4">
        <v>1139.1500000000001</v>
      </c>
      <c r="Z166" s="4">
        <f t="shared" si="35"/>
        <v>14114.068500000001</v>
      </c>
      <c r="AA166" s="4">
        <f>Table1[[#This Row],[ScenarioQuanity]]*Table1[[#This Row],[UnitPrice]]*(1-Table1[[#This Row],[ScenarioDiscPct]])</f>
        <v>15525.475350000002</v>
      </c>
      <c r="AB166" s="4">
        <f t="shared" si="36"/>
        <v>7671.1285000000016</v>
      </c>
      <c r="AC166" s="4">
        <f>Table1[[#This Row],[ScenarioRev]] - Table1[[#This Row],[ScenarioCostOfGoods]]</f>
        <v>483.22049999999945</v>
      </c>
      <c r="AD166" s="6">
        <v>0.115</v>
      </c>
      <c r="AE166" s="6">
        <f>MIN(Table1[[#This Row],[DiscountPct]], WhatIf!$B$2)</f>
        <v>0.115</v>
      </c>
      <c r="AF166" s="6">
        <f>IF(Table1[[#This Row],[DiscountPct]]&gt;0.2, 1, 0)</f>
        <v>0</v>
      </c>
      <c r="AG166" s="6" t="str">
        <f t="shared" si="37"/>
        <v>High</v>
      </c>
      <c r="AH166" s="6">
        <f t="shared" si="38"/>
        <v>0.54350937151821255</v>
      </c>
      <c r="AI166" s="5">
        <v>14</v>
      </c>
      <c r="AJ166" s="6">
        <f>Table1[[#This Row],[Quantity]]*(1+WhatIf!$B$4)</f>
        <v>15.400000000000002</v>
      </c>
    </row>
    <row r="167" spans="1:36" x14ac:dyDescent="0.3">
      <c r="A167" t="s">
        <v>422</v>
      </c>
      <c r="B167" s="3">
        <v>45724</v>
      </c>
      <c r="C167" s="3">
        <v>45731</v>
      </c>
      <c r="D167" s="3">
        <f t="shared" si="27"/>
        <v>45731</v>
      </c>
      <c r="E167" s="4">
        <f t="shared" si="26"/>
        <v>7</v>
      </c>
      <c r="F167" s="4">
        <f t="shared" si="28"/>
        <v>7</v>
      </c>
      <c r="G167" s="4">
        <f>IF(Table1[[#This Row],[CorrectedLeadTimeDays]]&lt;=7, 1, 0)</f>
        <v>1</v>
      </c>
      <c r="H167" s="4" t="str">
        <f t="shared" si="29"/>
        <v>March</v>
      </c>
      <c r="I167" s="4" t="str">
        <f t="shared" si="30"/>
        <v>Q1-2025</v>
      </c>
      <c r="J167" s="4" t="str">
        <f t="shared" si="31"/>
        <v>2023-01</v>
      </c>
      <c r="K167" s="3">
        <f t="shared" si="32"/>
        <v>44955</v>
      </c>
      <c r="L167" t="s">
        <v>647</v>
      </c>
      <c r="M167" t="s">
        <v>654</v>
      </c>
      <c r="N167" t="s">
        <v>668</v>
      </c>
      <c r="O167" t="s">
        <v>701</v>
      </c>
      <c r="P167" t="s">
        <v>710</v>
      </c>
      <c r="Q167" t="s">
        <v>723</v>
      </c>
      <c r="R167">
        <f t="shared" si="33"/>
        <v>25</v>
      </c>
      <c r="S167" t="s">
        <v>731</v>
      </c>
      <c r="T167" t="s">
        <v>1141</v>
      </c>
      <c r="U167" s="4">
        <v>475.66</v>
      </c>
      <c r="V167" s="4">
        <f>Table1[[#This Row],[UnitCost]]*(1+WhatIf!$B$3)</f>
        <v>499.44300000000004</v>
      </c>
      <c r="W167" s="4">
        <f t="shared" si="34"/>
        <v>5232.26</v>
      </c>
      <c r="X167" s="4">
        <f>Table1[[#This Row],[ScenarioRev]]-Table1[[#This Row],[ScenarioUnitCost]]</f>
        <v>4648.2425760000006</v>
      </c>
      <c r="Y167" s="4">
        <v>529.14</v>
      </c>
      <c r="Z167" s="4">
        <f t="shared" si="35"/>
        <v>4679.7141600000004</v>
      </c>
      <c r="AA167" s="4">
        <f>Table1[[#This Row],[ScenarioQuanity]]*Table1[[#This Row],[UnitPrice]]*(1-Table1[[#This Row],[ScenarioDiscPct]])</f>
        <v>5147.6855760000008</v>
      </c>
      <c r="AB167" s="4">
        <f t="shared" si="36"/>
        <v>-552.54583999999977</v>
      </c>
      <c r="AC167" s="4">
        <f>Table1[[#This Row],[ScenarioRev]] - Table1[[#This Row],[ScenarioCostOfGoods]]</f>
        <v>499.44300000000021</v>
      </c>
      <c r="AD167" s="6">
        <v>0.19600000000000001</v>
      </c>
      <c r="AE167" s="6">
        <f>MIN(Table1[[#This Row],[DiscountPct]], WhatIf!$B$2)</f>
        <v>0.19600000000000001</v>
      </c>
      <c r="AF167" s="6">
        <f>IF(Table1[[#This Row],[DiscountPct]]&gt;0.2, 1, 0)</f>
        <v>0</v>
      </c>
      <c r="AG167" s="6" t="str">
        <f t="shared" si="37"/>
        <v>Low</v>
      </c>
      <c r="AH167" s="6">
        <f t="shared" si="38"/>
        <v>-0.11807256193613323</v>
      </c>
      <c r="AI167" s="5">
        <v>11</v>
      </c>
      <c r="AJ167" s="6">
        <f>Table1[[#This Row],[Quantity]]*(1+WhatIf!$B$4)</f>
        <v>12.100000000000001</v>
      </c>
    </row>
    <row r="168" spans="1:36" x14ac:dyDescent="0.3">
      <c r="A168" t="s">
        <v>128</v>
      </c>
      <c r="B168" s="3">
        <v>45674</v>
      </c>
      <c r="C168" s="3">
        <v>45681</v>
      </c>
      <c r="D168" s="3">
        <f t="shared" si="27"/>
        <v>45681</v>
      </c>
      <c r="E168" s="4">
        <f t="shared" si="26"/>
        <v>7</v>
      </c>
      <c r="F168" s="4">
        <f t="shared" si="28"/>
        <v>7</v>
      </c>
      <c r="G168" s="4">
        <f>IF(Table1[[#This Row],[CorrectedLeadTimeDays]]&lt;=7, 1, 0)</f>
        <v>1</v>
      </c>
      <c r="H168" s="4" t="str">
        <f t="shared" si="29"/>
        <v>January</v>
      </c>
      <c r="I168" s="4" t="str">
        <f t="shared" si="30"/>
        <v>Q1-2025</v>
      </c>
      <c r="J168" s="4" t="str">
        <f t="shared" si="31"/>
        <v>2023-01</v>
      </c>
      <c r="K168" s="3">
        <f t="shared" si="32"/>
        <v>44939</v>
      </c>
      <c r="L168" t="s">
        <v>648</v>
      </c>
      <c r="M168" t="s">
        <v>660</v>
      </c>
      <c r="N168" t="s">
        <v>697</v>
      </c>
      <c r="O168" t="s">
        <v>706</v>
      </c>
      <c r="P168" t="s">
        <v>708</v>
      </c>
      <c r="Q168" t="s">
        <v>715</v>
      </c>
      <c r="R168">
        <f t="shared" si="33"/>
        <v>24</v>
      </c>
      <c r="S168" t="s">
        <v>733</v>
      </c>
      <c r="T168" t="s">
        <v>847</v>
      </c>
      <c r="U168" s="4">
        <v>142.09</v>
      </c>
      <c r="V168" s="4">
        <f>Table1[[#This Row],[UnitCost]]*(1+WhatIf!$B$3)</f>
        <v>149.19450000000001</v>
      </c>
      <c r="W168" s="4">
        <f t="shared" si="34"/>
        <v>1562.99</v>
      </c>
      <c r="X168" s="4">
        <f>Table1[[#This Row],[ScenarioRev]]-Table1[[#This Row],[ScenarioUnitCost]]</f>
        <v>2180.0373500000001</v>
      </c>
      <c r="Y168" s="4">
        <v>218.5</v>
      </c>
      <c r="Z168" s="4">
        <f t="shared" si="35"/>
        <v>2117.4834999999998</v>
      </c>
      <c r="AA168" s="4">
        <f>Table1[[#This Row],[ScenarioQuanity]]*Table1[[#This Row],[UnitPrice]]*(1-Table1[[#This Row],[ScenarioDiscPct]])</f>
        <v>2329.2318500000001</v>
      </c>
      <c r="AB168" s="4">
        <f t="shared" si="36"/>
        <v>554.49349999999981</v>
      </c>
      <c r="AC168" s="4">
        <f>Table1[[#This Row],[ScenarioRev]] - Table1[[#This Row],[ScenarioCostOfGoods]]</f>
        <v>149.19450000000006</v>
      </c>
      <c r="AD168" s="6">
        <v>0.11899999999999999</v>
      </c>
      <c r="AE168" s="6">
        <f>MIN(Table1[[#This Row],[DiscountPct]], WhatIf!$B$2)</f>
        <v>0.11899999999999999</v>
      </c>
      <c r="AF168" s="6">
        <f>IF(Table1[[#This Row],[DiscountPct]]&gt;0.2, 1, 0)</f>
        <v>0</v>
      </c>
      <c r="AG168" s="6" t="str">
        <f t="shared" si="37"/>
        <v>Low</v>
      </c>
      <c r="AH168" s="6">
        <f t="shared" si="38"/>
        <v>0.26186437816398561</v>
      </c>
      <c r="AI168" s="5">
        <v>11</v>
      </c>
      <c r="AJ168" s="6">
        <f>Table1[[#This Row],[Quantity]]*(1+WhatIf!$B$4)</f>
        <v>12.100000000000001</v>
      </c>
    </row>
    <row r="169" spans="1:36" x14ac:dyDescent="0.3">
      <c r="A169" t="s">
        <v>522</v>
      </c>
      <c r="B169" s="3">
        <v>45029</v>
      </c>
      <c r="C169" s="3">
        <v>45036</v>
      </c>
      <c r="D169" s="3">
        <f t="shared" si="27"/>
        <v>45036</v>
      </c>
      <c r="E169" s="4">
        <f t="shared" si="26"/>
        <v>7</v>
      </c>
      <c r="F169" s="4">
        <f t="shared" si="28"/>
        <v>7</v>
      </c>
      <c r="G169" s="4">
        <f>IF(Table1[[#This Row],[CorrectedLeadTimeDays]]&lt;=7, 1, 0)</f>
        <v>1</v>
      </c>
      <c r="H169" s="4" t="str">
        <f t="shared" si="29"/>
        <v>April</v>
      </c>
      <c r="I169" s="4" t="str">
        <f t="shared" si="30"/>
        <v>Q2-2023</v>
      </c>
      <c r="J169" s="4" t="str">
        <f t="shared" si="31"/>
        <v>2023-01</v>
      </c>
      <c r="K169" s="3">
        <f t="shared" si="32"/>
        <v>44936</v>
      </c>
      <c r="L169" t="s">
        <v>649</v>
      </c>
      <c r="M169" t="s">
        <v>657</v>
      </c>
      <c r="N169" t="s">
        <v>679</v>
      </c>
      <c r="O169" t="s">
        <v>705</v>
      </c>
      <c r="P169" t="s">
        <v>708</v>
      </c>
      <c r="Q169" t="s">
        <v>720</v>
      </c>
      <c r="R169">
        <f t="shared" si="33"/>
        <v>3</v>
      </c>
      <c r="S169" t="s">
        <v>731</v>
      </c>
      <c r="T169" t="s">
        <v>1241</v>
      </c>
      <c r="U169" s="4">
        <v>227.02</v>
      </c>
      <c r="V169" s="4">
        <f>Table1[[#This Row],[UnitCost]]*(1+WhatIf!$B$3)</f>
        <v>238.37100000000001</v>
      </c>
      <c r="W169" s="4">
        <f t="shared" si="34"/>
        <v>2270.2000000000003</v>
      </c>
      <c r="X169" s="4">
        <f>Table1[[#This Row],[ScenarioRev]]-Table1[[#This Row],[ScenarioUnitCost]]</f>
        <v>4074.9208399999998</v>
      </c>
      <c r="Y169" s="4">
        <v>434.72</v>
      </c>
      <c r="Z169" s="4">
        <f t="shared" si="35"/>
        <v>3921.1744000000008</v>
      </c>
      <c r="AA169" s="4">
        <f>Table1[[#This Row],[ScenarioQuanity]]*Table1[[#This Row],[UnitPrice]]*(1-Table1[[#This Row],[ScenarioDiscPct]])</f>
        <v>4313.2918399999999</v>
      </c>
      <c r="AB169" s="4">
        <f t="shared" si="36"/>
        <v>1650.9744000000005</v>
      </c>
      <c r="AC169" s="4">
        <f>Table1[[#This Row],[ScenarioRev]] - Table1[[#This Row],[ScenarioCostOfGoods]]</f>
        <v>238.37100000000009</v>
      </c>
      <c r="AD169" s="6">
        <v>9.8000000000000004E-2</v>
      </c>
      <c r="AE169" s="6">
        <f>MIN(Table1[[#This Row],[DiscountPct]], WhatIf!$B$2)</f>
        <v>9.8000000000000004E-2</v>
      </c>
      <c r="AF169" s="6">
        <f>IF(Table1[[#This Row],[DiscountPct]]&gt;0.2, 1, 0)</f>
        <v>0</v>
      </c>
      <c r="AG169" s="6" t="str">
        <f t="shared" si="37"/>
        <v>Low</v>
      </c>
      <c r="AH169" s="6">
        <f t="shared" si="38"/>
        <v>0.42104079838938052</v>
      </c>
      <c r="AI169" s="5">
        <v>10</v>
      </c>
      <c r="AJ169" s="6">
        <f>Table1[[#This Row],[Quantity]]*(1+WhatIf!$B$4)</f>
        <v>11</v>
      </c>
    </row>
    <row r="170" spans="1:36" x14ac:dyDescent="0.3">
      <c r="A170" t="s">
        <v>54</v>
      </c>
      <c r="B170" s="3">
        <v>45094</v>
      </c>
      <c r="C170" s="3">
        <v>45101</v>
      </c>
      <c r="D170" s="3">
        <f t="shared" si="27"/>
        <v>45101</v>
      </c>
      <c r="E170" s="4">
        <f t="shared" si="26"/>
        <v>7</v>
      </c>
      <c r="F170" s="4">
        <f t="shared" si="28"/>
        <v>7</v>
      </c>
      <c r="G170" s="4">
        <f>IF(Table1[[#This Row],[CorrectedLeadTimeDays]]&lt;=7, 1, 0)</f>
        <v>1</v>
      </c>
      <c r="H170" s="4" t="str">
        <f t="shared" si="29"/>
        <v>June</v>
      </c>
      <c r="I170" s="4" t="str">
        <f t="shared" si="30"/>
        <v>Q2-2023</v>
      </c>
      <c r="J170" s="4" t="str">
        <f t="shared" si="31"/>
        <v>2023-01</v>
      </c>
      <c r="K170" s="3">
        <f t="shared" si="32"/>
        <v>44939</v>
      </c>
      <c r="L170" t="s">
        <v>648</v>
      </c>
      <c r="M170" t="s">
        <v>660</v>
      </c>
      <c r="N170" t="s">
        <v>686</v>
      </c>
      <c r="O170" t="s">
        <v>701</v>
      </c>
      <c r="P170" t="s">
        <v>707</v>
      </c>
      <c r="Q170" t="s">
        <v>714</v>
      </c>
      <c r="R170">
        <f t="shared" si="33"/>
        <v>5</v>
      </c>
      <c r="S170" t="s">
        <v>728</v>
      </c>
      <c r="T170" t="s">
        <v>773</v>
      </c>
      <c r="U170" s="4">
        <v>313.99</v>
      </c>
      <c r="V170" s="4">
        <f>Table1[[#This Row],[UnitCost]]*(1+WhatIf!$B$3)</f>
        <v>329.68950000000001</v>
      </c>
      <c r="W170" s="4">
        <f t="shared" si="34"/>
        <v>2825.91</v>
      </c>
      <c r="X170" s="4">
        <f>Table1[[#This Row],[ScenarioRev]]-Table1[[#This Row],[ScenarioUnitCost]]</f>
        <v>3588.7287180000008</v>
      </c>
      <c r="Y170" s="4">
        <v>454.42</v>
      </c>
      <c r="Z170" s="4">
        <f t="shared" si="35"/>
        <v>3562.1983800000003</v>
      </c>
      <c r="AA170" s="4">
        <f>Table1[[#This Row],[ScenarioQuanity]]*Table1[[#This Row],[UnitPrice]]*(1-Table1[[#This Row],[ScenarioDiscPct]])</f>
        <v>3918.4182180000007</v>
      </c>
      <c r="AB170" s="4">
        <f t="shared" si="36"/>
        <v>736.28838000000042</v>
      </c>
      <c r="AC170" s="4">
        <f>Table1[[#This Row],[ScenarioRev]] - Table1[[#This Row],[ScenarioCostOfGoods]]</f>
        <v>329.68949999999995</v>
      </c>
      <c r="AD170" s="6">
        <v>0.129</v>
      </c>
      <c r="AE170" s="6">
        <f>MIN(Table1[[#This Row],[DiscountPct]], WhatIf!$B$2)</f>
        <v>0.129</v>
      </c>
      <c r="AF170" s="6">
        <f>IF(Table1[[#This Row],[DiscountPct]]&gt;0.2, 1, 0)</f>
        <v>0</v>
      </c>
      <c r="AG170" s="6" t="str">
        <f t="shared" si="37"/>
        <v>Low</v>
      </c>
      <c r="AH170" s="6">
        <f t="shared" si="38"/>
        <v>0.20669493988147858</v>
      </c>
      <c r="AI170" s="5">
        <v>9</v>
      </c>
      <c r="AJ170" s="6">
        <f>Table1[[#This Row],[Quantity]]*(1+WhatIf!$B$4)</f>
        <v>9.9</v>
      </c>
    </row>
    <row r="171" spans="1:36" x14ac:dyDescent="0.3">
      <c r="A171" t="s">
        <v>624</v>
      </c>
      <c r="B171" s="3">
        <v>45032</v>
      </c>
      <c r="C171" s="3">
        <v>45039</v>
      </c>
      <c r="D171" s="3">
        <f t="shared" si="27"/>
        <v>45039</v>
      </c>
      <c r="E171" s="4">
        <f t="shared" si="26"/>
        <v>7</v>
      </c>
      <c r="F171" s="4">
        <f t="shared" si="28"/>
        <v>7</v>
      </c>
      <c r="G171" s="4">
        <f>IF(Table1[[#This Row],[CorrectedLeadTimeDays]]&lt;=7, 1, 0)</f>
        <v>1</v>
      </c>
      <c r="H171" s="4" t="str">
        <f t="shared" si="29"/>
        <v>April</v>
      </c>
      <c r="I171" s="4" t="str">
        <f t="shared" si="30"/>
        <v>Q2-2023</v>
      </c>
      <c r="J171" s="4" t="str">
        <f t="shared" si="31"/>
        <v>2023-01</v>
      </c>
      <c r="K171" s="3">
        <f t="shared" si="32"/>
        <v>44939</v>
      </c>
      <c r="L171" t="s">
        <v>648</v>
      </c>
      <c r="M171" t="s">
        <v>660</v>
      </c>
      <c r="N171" t="s">
        <v>697</v>
      </c>
      <c r="O171" t="s">
        <v>701</v>
      </c>
      <c r="P171" t="s">
        <v>710</v>
      </c>
      <c r="Q171" t="s">
        <v>719</v>
      </c>
      <c r="R171">
        <f t="shared" si="33"/>
        <v>3</v>
      </c>
      <c r="S171" t="s">
        <v>728</v>
      </c>
      <c r="T171" t="s">
        <v>1342</v>
      </c>
      <c r="U171" s="4">
        <v>1099.1500000000001</v>
      </c>
      <c r="V171" s="4">
        <f>Table1[[#This Row],[UnitCost]]*(1+WhatIf!$B$3)</f>
        <v>1154.1075000000001</v>
      </c>
      <c r="W171" s="4">
        <f t="shared" si="34"/>
        <v>8793.2000000000007</v>
      </c>
      <c r="X171" s="4">
        <f>Table1[[#This Row],[ScenarioRev]]-Table1[[#This Row],[ScenarioUnitCost]]</f>
        <v>10131.958676</v>
      </c>
      <c r="Y171" s="4">
        <v>1431.37</v>
      </c>
      <c r="Z171" s="4">
        <f t="shared" si="35"/>
        <v>10260.060159999999</v>
      </c>
      <c r="AA171" s="4">
        <f>Table1[[#This Row],[ScenarioQuanity]]*Table1[[#This Row],[UnitPrice]]*(1-Table1[[#This Row],[ScenarioDiscPct]])</f>
        <v>11286.066176</v>
      </c>
      <c r="AB171" s="4">
        <f t="shared" si="36"/>
        <v>1466.8601599999984</v>
      </c>
      <c r="AC171" s="4">
        <f>Table1[[#This Row],[ScenarioRev]] - Table1[[#This Row],[ScenarioCostOfGoods]]</f>
        <v>1154.1075000000001</v>
      </c>
      <c r="AD171" s="6">
        <v>0.104</v>
      </c>
      <c r="AE171" s="6">
        <f>MIN(Table1[[#This Row],[DiscountPct]], WhatIf!$B$2)</f>
        <v>0.104</v>
      </c>
      <c r="AF171" s="6">
        <f>IF(Table1[[#This Row],[DiscountPct]]&gt;0.2, 1, 0)</f>
        <v>0</v>
      </c>
      <c r="AG171" s="6" t="str">
        <f t="shared" si="37"/>
        <v>High</v>
      </c>
      <c r="AH171" s="6">
        <f t="shared" si="38"/>
        <v>0.14296798821109433</v>
      </c>
      <c r="AI171" s="5">
        <v>8</v>
      </c>
      <c r="AJ171" s="6">
        <f>Table1[[#This Row],[Quantity]]*(1+WhatIf!$B$4)</f>
        <v>8.8000000000000007</v>
      </c>
    </row>
    <row r="172" spans="1:36" x14ac:dyDescent="0.3">
      <c r="A172" t="s">
        <v>527</v>
      </c>
      <c r="B172" s="3">
        <v>45078</v>
      </c>
      <c r="C172" s="3">
        <v>45085</v>
      </c>
      <c r="D172" s="3">
        <f t="shared" si="27"/>
        <v>45085</v>
      </c>
      <c r="E172" s="4">
        <f t="shared" si="26"/>
        <v>7</v>
      </c>
      <c r="F172" s="4">
        <f t="shared" si="28"/>
        <v>7</v>
      </c>
      <c r="G172" s="4">
        <f>IF(Table1[[#This Row],[CorrectedLeadTimeDays]]&lt;=7, 1, 0)</f>
        <v>1</v>
      </c>
      <c r="H172" s="4" t="str">
        <f t="shared" si="29"/>
        <v>June</v>
      </c>
      <c r="I172" s="4" t="str">
        <f t="shared" si="30"/>
        <v>Q2-2023</v>
      </c>
      <c r="J172" s="4" t="str">
        <f t="shared" si="31"/>
        <v>2023-01</v>
      </c>
      <c r="K172" s="3">
        <f t="shared" si="32"/>
        <v>44948</v>
      </c>
      <c r="L172" t="s">
        <v>649</v>
      </c>
      <c r="M172" t="s">
        <v>656</v>
      </c>
      <c r="N172" t="s">
        <v>698</v>
      </c>
      <c r="O172" t="s">
        <v>704</v>
      </c>
      <c r="P172" t="s">
        <v>708</v>
      </c>
      <c r="Q172" t="s">
        <v>720</v>
      </c>
      <c r="R172">
        <f t="shared" si="33"/>
        <v>4</v>
      </c>
      <c r="S172" t="s">
        <v>730</v>
      </c>
      <c r="T172" t="s">
        <v>1246</v>
      </c>
      <c r="U172" s="4">
        <v>804.17</v>
      </c>
      <c r="V172" s="4">
        <f>Table1[[#This Row],[UnitCost]]*(1+WhatIf!$B$3)</f>
        <v>844.37850000000003</v>
      </c>
      <c r="W172" s="4">
        <f t="shared" si="34"/>
        <v>4020.85</v>
      </c>
      <c r="X172" s="4">
        <f>Table1[[#This Row],[ScenarioRev]]-Table1[[#This Row],[ScenarioUnitCost]]</f>
        <v>4864.4934599999997</v>
      </c>
      <c r="Y172" s="4">
        <v>1072.29</v>
      </c>
      <c r="Z172" s="4">
        <f t="shared" si="35"/>
        <v>5189.8836000000001</v>
      </c>
      <c r="AA172" s="4">
        <f>Table1[[#This Row],[ScenarioQuanity]]*Table1[[#This Row],[UnitPrice]]*(1-Table1[[#This Row],[ScenarioDiscPct]])</f>
        <v>5708.8719599999995</v>
      </c>
      <c r="AB172" s="4">
        <f t="shared" si="36"/>
        <v>1169.0336000000002</v>
      </c>
      <c r="AC172" s="4">
        <f>Table1[[#This Row],[ScenarioRev]] - Table1[[#This Row],[ScenarioCostOfGoods]]</f>
        <v>844.3784999999998</v>
      </c>
      <c r="AD172" s="6">
        <v>3.2000000000000001E-2</v>
      </c>
      <c r="AE172" s="6">
        <f>MIN(Table1[[#This Row],[DiscountPct]], WhatIf!$B$2)</f>
        <v>3.2000000000000001E-2</v>
      </c>
      <c r="AF172" s="6">
        <f>IF(Table1[[#This Row],[DiscountPct]]&gt;0.2, 1, 0)</f>
        <v>0</v>
      </c>
      <c r="AG172" s="6" t="str">
        <f t="shared" si="37"/>
        <v>High</v>
      </c>
      <c r="AH172" s="6">
        <f t="shared" si="38"/>
        <v>0.2252523736755869</v>
      </c>
      <c r="AI172" s="5">
        <v>5</v>
      </c>
      <c r="AJ172" s="6">
        <f>Table1[[#This Row],[Quantity]]*(1+WhatIf!$B$4)</f>
        <v>5.5</v>
      </c>
    </row>
    <row r="173" spans="1:36" x14ac:dyDescent="0.3">
      <c r="A173" t="s">
        <v>235</v>
      </c>
      <c r="B173" s="3">
        <v>45194</v>
      </c>
      <c r="C173" s="3">
        <v>45201</v>
      </c>
      <c r="D173" s="3">
        <f t="shared" si="27"/>
        <v>45201</v>
      </c>
      <c r="E173" s="4">
        <f t="shared" si="26"/>
        <v>7</v>
      </c>
      <c r="F173" s="4">
        <f t="shared" si="28"/>
        <v>7</v>
      </c>
      <c r="G173" s="4">
        <f>IF(Table1[[#This Row],[CorrectedLeadTimeDays]]&lt;=7, 1, 0)</f>
        <v>1</v>
      </c>
      <c r="H173" s="4" t="str">
        <f t="shared" si="29"/>
        <v>September</v>
      </c>
      <c r="I173" s="4" t="str">
        <f t="shared" si="30"/>
        <v>Q3-2023</v>
      </c>
      <c r="J173" s="4" t="str">
        <f t="shared" si="31"/>
        <v>2023-01</v>
      </c>
      <c r="K173" s="3">
        <f t="shared" si="32"/>
        <v>44939</v>
      </c>
      <c r="L173" t="s">
        <v>648</v>
      </c>
      <c r="M173" t="s">
        <v>660</v>
      </c>
      <c r="N173" t="s">
        <v>700</v>
      </c>
      <c r="O173" t="s">
        <v>702</v>
      </c>
      <c r="P173" t="s">
        <v>709</v>
      </c>
      <c r="Q173" t="s">
        <v>714</v>
      </c>
      <c r="R173">
        <f t="shared" si="33"/>
        <v>8</v>
      </c>
      <c r="S173" t="s">
        <v>733</v>
      </c>
      <c r="T173" t="s">
        <v>955</v>
      </c>
      <c r="U173" s="4">
        <v>145.58000000000001</v>
      </c>
      <c r="V173" s="4">
        <f>Table1[[#This Row],[UnitCost]]*(1+WhatIf!$B$3)</f>
        <v>152.85900000000001</v>
      </c>
      <c r="W173" s="4">
        <f t="shared" si="34"/>
        <v>727.90000000000009</v>
      </c>
      <c r="X173" s="4">
        <f>Table1[[#This Row],[ScenarioRev]]-Table1[[#This Row],[ScenarioUnitCost]]</f>
        <v>851.00100000000009</v>
      </c>
      <c r="Y173" s="4">
        <v>228.15</v>
      </c>
      <c r="Z173" s="4">
        <f t="shared" si="35"/>
        <v>908.03700000000003</v>
      </c>
      <c r="AA173" s="4">
        <f>Table1[[#This Row],[ScenarioQuanity]]*Table1[[#This Row],[UnitPrice]]*(1-Table1[[#This Row],[ScenarioDiscPct]])</f>
        <v>1003.8600000000001</v>
      </c>
      <c r="AB173" s="4">
        <f t="shared" si="36"/>
        <v>180.13699999999994</v>
      </c>
      <c r="AC173" s="4">
        <f>Table1[[#This Row],[ScenarioRev]] - Table1[[#This Row],[ScenarioCostOfGoods]]</f>
        <v>152.85900000000004</v>
      </c>
      <c r="AD173" s="6">
        <v>0.20399999999999999</v>
      </c>
      <c r="AE173" s="6">
        <f>MIN(Table1[[#This Row],[DiscountPct]], WhatIf!$B$2)</f>
        <v>0.2</v>
      </c>
      <c r="AF173" s="6">
        <f>IF(Table1[[#This Row],[DiscountPct]]&gt;0.2, 1, 0)</f>
        <v>1</v>
      </c>
      <c r="AG173" s="6" t="str">
        <f t="shared" si="37"/>
        <v>Low</v>
      </c>
      <c r="AH173" s="6">
        <f t="shared" si="38"/>
        <v>0.19838068272548359</v>
      </c>
      <c r="AI173" s="5">
        <v>5</v>
      </c>
      <c r="AJ173" s="6">
        <f>Table1[[#This Row],[Quantity]]*(1+WhatIf!$B$4)</f>
        <v>5.5</v>
      </c>
    </row>
    <row r="174" spans="1:36" x14ac:dyDescent="0.3">
      <c r="A174" t="s">
        <v>360</v>
      </c>
      <c r="B174" s="3">
        <v>45498</v>
      </c>
      <c r="C174" s="3">
        <v>45506</v>
      </c>
      <c r="D174" s="3">
        <f t="shared" si="27"/>
        <v>45506</v>
      </c>
      <c r="E174" s="4">
        <f t="shared" si="26"/>
        <v>8</v>
      </c>
      <c r="F174" s="4">
        <f t="shared" si="28"/>
        <v>8</v>
      </c>
      <c r="G174" s="4">
        <f>IF(Table1[[#This Row],[CorrectedLeadTimeDays]]&lt;=7, 1, 0)</f>
        <v>0</v>
      </c>
      <c r="H174" s="4" t="str">
        <f t="shared" si="29"/>
        <v>July</v>
      </c>
      <c r="I174" s="4" t="str">
        <f t="shared" si="30"/>
        <v>Q3-2024</v>
      </c>
      <c r="J174" s="4" t="str">
        <f t="shared" si="31"/>
        <v>2023-01</v>
      </c>
      <c r="K174" s="3">
        <f t="shared" si="32"/>
        <v>44928</v>
      </c>
      <c r="L174" t="s">
        <v>648</v>
      </c>
      <c r="M174" t="s">
        <v>653</v>
      </c>
      <c r="N174" t="s">
        <v>681</v>
      </c>
      <c r="O174" t="s">
        <v>704</v>
      </c>
      <c r="P174" t="s">
        <v>711</v>
      </c>
      <c r="Q174" t="s">
        <v>713</v>
      </c>
      <c r="R174">
        <f t="shared" si="33"/>
        <v>18</v>
      </c>
      <c r="S174" t="s">
        <v>733</v>
      </c>
      <c r="T174" t="s">
        <v>1080</v>
      </c>
      <c r="U174" s="4">
        <v>986.81</v>
      </c>
      <c r="V174" s="4">
        <f>Table1[[#This Row],[UnitCost]]*(1+WhatIf!$B$3)</f>
        <v>1036.1505</v>
      </c>
      <c r="W174" s="4">
        <f t="shared" si="34"/>
        <v>42432.829999999994</v>
      </c>
      <c r="X174" s="4">
        <f>Table1[[#This Row],[ScenarioRev]]-Table1[[#This Row],[ScenarioUnitCost]]</f>
        <v>85954.607210999995</v>
      </c>
      <c r="Y174" s="4">
        <v>2050.31</v>
      </c>
      <c r="Z174" s="4">
        <f t="shared" si="35"/>
        <v>79082.507010000001</v>
      </c>
      <c r="AA174" s="4">
        <f>Table1[[#This Row],[ScenarioQuanity]]*Table1[[#This Row],[UnitPrice]]*(1-Table1[[#This Row],[ScenarioDiscPct]])</f>
        <v>86990.757710999998</v>
      </c>
      <c r="AB174" s="4">
        <f t="shared" si="36"/>
        <v>36649.677010000007</v>
      </c>
      <c r="AC174" s="4">
        <f>Table1[[#This Row],[ScenarioRev]] - Table1[[#This Row],[ScenarioCostOfGoods]]</f>
        <v>1036.1505000000034</v>
      </c>
      <c r="AD174" s="6">
        <v>0.10299999999999999</v>
      </c>
      <c r="AE174" s="6">
        <f>MIN(Table1[[#This Row],[DiscountPct]], WhatIf!$B$2)</f>
        <v>0.10299999999999999</v>
      </c>
      <c r="AF174" s="6">
        <f>IF(Table1[[#This Row],[DiscountPct]]&gt;0.2, 1, 0)</f>
        <v>0</v>
      </c>
      <c r="AG174" s="6" t="str">
        <f t="shared" si="37"/>
        <v>High</v>
      </c>
      <c r="AH174" s="6">
        <f t="shared" si="38"/>
        <v>0.46343595310358138</v>
      </c>
      <c r="AI174" s="5">
        <v>43</v>
      </c>
      <c r="AJ174" s="6">
        <f>Table1[[#This Row],[Quantity]]*(1+WhatIf!$B$4)</f>
        <v>47.300000000000004</v>
      </c>
    </row>
    <row r="175" spans="1:36" x14ac:dyDescent="0.3">
      <c r="A175" t="s">
        <v>596</v>
      </c>
      <c r="B175" s="3">
        <v>44955</v>
      </c>
      <c r="C175" s="3">
        <v>44963</v>
      </c>
      <c r="D175" s="3">
        <f t="shared" si="27"/>
        <v>44963</v>
      </c>
      <c r="E175" s="4">
        <f t="shared" si="26"/>
        <v>8</v>
      </c>
      <c r="F175" s="4">
        <f t="shared" si="28"/>
        <v>8</v>
      </c>
      <c r="G175" s="4">
        <f>IF(Table1[[#This Row],[CorrectedLeadTimeDays]]&lt;=7, 1, 0)</f>
        <v>0</v>
      </c>
      <c r="H175" s="4" t="str">
        <f t="shared" si="29"/>
        <v>January</v>
      </c>
      <c r="I175" s="4" t="str">
        <f t="shared" si="30"/>
        <v>Q1-2023</v>
      </c>
      <c r="J175" s="4" t="str">
        <f t="shared" si="31"/>
        <v>2023-01</v>
      </c>
      <c r="K175" s="3">
        <f t="shared" si="32"/>
        <v>44955</v>
      </c>
      <c r="L175" t="s">
        <v>648</v>
      </c>
      <c r="M175" t="s">
        <v>655</v>
      </c>
      <c r="N175" t="s">
        <v>672</v>
      </c>
      <c r="O175" t="s">
        <v>701</v>
      </c>
      <c r="P175" t="s">
        <v>709</v>
      </c>
      <c r="Q175" t="s">
        <v>726</v>
      </c>
      <c r="R175">
        <f t="shared" si="33"/>
        <v>0</v>
      </c>
      <c r="S175" t="s">
        <v>732</v>
      </c>
      <c r="T175" t="s">
        <v>1314</v>
      </c>
      <c r="U175" s="4">
        <v>41.84</v>
      </c>
      <c r="V175" s="4">
        <f>Table1[[#This Row],[UnitCost]]*(1+WhatIf!$B$3)</f>
        <v>43.932000000000002</v>
      </c>
      <c r="W175" s="4">
        <f t="shared" si="34"/>
        <v>1129.68</v>
      </c>
      <c r="X175" s="4">
        <f>Table1[[#This Row],[ScenarioRev]]-Table1[[#This Row],[ScenarioUnitCost]]</f>
        <v>2004.1800000000005</v>
      </c>
      <c r="Y175" s="4">
        <v>86.2</v>
      </c>
      <c r="Z175" s="4">
        <f t="shared" si="35"/>
        <v>1801.4076000000002</v>
      </c>
      <c r="AA175" s="4">
        <f>Table1[[#This Row],[ScenarioQuanity]]*Table1[[#This Row],[UnitPrice]]*(1-Table1[[#This Row],[ScenarioDiscPct]])</f>
        <v>2048.1120000000005</v>
      </c>
      <c r="AB175" s="4">
        <f t="shared" si="36"/>
        <v>671.72760000000017</v>
      </c>
      <c r="AC175" s="4">
        <f>Table1[[#This Row],[ScenarioRev]] - Table1[[#This Row],[ScenarioCostOfGoods]]</f>
        <v>43.932000000000016</v>
      </c>
      <c r="AD175" s="6">
        <v>0.22600000000000001</v>
      </c>
      <c r="AE175" s="6">
        <f>MIN(Table1[[#This Row],[DiscountPct]], WhatIf!$B$2)</f>
        <v>0.2</v>
      </c>
      <c r="AF175" s="6">
        <f>IF(Table1[[#This Row],[DiscountPct]]&gt;0.2, 1, 0)</f>
        <v>1</v>
      </c>
      <c r="AG175" s="6" t="str">
        <f t="shared" si="37"/>
        <v>Low</v>
      </c>
      <c r="AH175" s="6">
        <f t="shared" si="38"/>
        <v>0.37289039970742882</v>
      </c>
      <c r="AI175" s="5">
        <v>27</v>
      </c>
      <c r="AJ175" s="6">
        <f>Table1[[#This Row],[Quantity]]*(1+WhatIf!$B$4)</f>
        <v>29.700000000000003</v>
      </c>
    </row>
    <row r="176" spans="1:36" x14ac:dyDescent="0.3">
      <c r="A176" t="s">
        <v>330</v>
      </c>
      <c r="B176" s="3">
        <v>45052</v>
      </c>
      <c r="C176" s="3">
        <v>45060</v>
      </c>
      <c r="D176" s="3">
        <f t="shared" si="27"/>
        <v>45060</v>
      </c>
      <c r="E176" s="4">
        <f t="shared" si="26"/>
        <v>8</v>
      </c>
      <c r="F176" s="4">
        <f t="shared" si="28"/>
        <v>8</v>
      </c>
      <c r="G176" s="4">
        <f>IF(Table1[[#This Row],[CorrectedLeadTimeDays]]&lt;=7, 1, 0)</f>
        <v>0</v>
      </c>
      <c r="H176" s="4" t="str">
        <f t="shared" si="29"/>
        <v>May</v>
      </c>
      <c r="I176" s="4" t="str">
        <f t="shared" si="30"/>
        <v>Q2-2023</v>
      </c>
      <c r="J176" s="4" t="str">
        <f t="shared" si="31"/>
        <v>2023-03</v>
      </c>
      <c r="K176" s="3">
        <f t="shared" si="32"/>
        <v>44988</v>
      </c>
      <c r="L176" t="s">
        <v>647</v>
      </c>
      <c r="M176" t="s">
        <v>652</v>
      </c>
      <c r="N176" t="s">
        <v>666</v>
      </c>
      <c r="O176" t="s">
        <v>706</v>
      </c>
      <c r="P176" t="s">
        <v>709</v>
      </c>
      <c r="Q176" t="s">
        <v>717</v>
      </c>
      <c r="R176">
        <f t="shared" si="33"/>
        <v>2</v>
      </c>
      <c r="S176" t="s">
        <v>730</v>
      </c>
      <c r="T176" t="s">
        <v>1050</v>
      </c>
      <c r="U176" s="4">
        <v>291.18</v>
      </c>
      <c r="V176" s="4">
        <f>Table1[[#This Row],[UnitCost]]*(1+WhatIf!$B$3)</f>
        <v>305.73900000000003</v>
      </c>
      <c r="W176" s="4">
        <f t="shared" si="34"/>
        <v>6405.96</v>
      </c>
      <c r="X176" s="4">
        <f>Table1[[#This Row],[ScenarioRev]]-Table1[[#This Row],[ScenarioUnitCost]]</f>
        <v>9662.8426120000022</v>
      </c>
      <c r="Y176" s="4">
        <v>479.54</v>
      </c>
      <c r="Z176" s="4">
        <f t="shared" si="35"/>
        <v>9062.34692</v>
      </c>
      <c r="AA176" s="4">
        <f>Table1[[#This Row],[ScenarioQuanity]]*Table1[[#This Row],[UnitPrice]]*(1-Table1[[#This Row],[ScenarioDiscPct]])</f>
        <v>9968.5816120000018</v>
      </c>
      <c r="AB176" s="4">
        <f t="shared" si="36"/>
        <v>2656.3869199999999</v>
      </c>
      <c r="AC176" s="4">
        <f>Table1[[#This Row],[ScenarioRev]] - Table1[[#This Row],[ScenarioCostOfGoods]]</f>
        <v>305.73899999999958</v>
      </c>
      <c r="AD176" s="6">
        <v>0.14099999999999999</v>
      </c>
      <c r="AE176" s="6">
        <f>MIN(Table1[[#This Row],[DiscountPct]], WhatIf!$B$2)</f>
        <v>0.14099999999999999</v>
      </c>
      <c r="AF176" s="6">
        <f>IF(Table1[[#This Row],[DiscountPct]]&gt;0.2, 1, 0)</f>
        <v>0</v>
      </c>
      <c r="AG176" s="6" t="str">
        <f t="shared" si="37"/>
        <v>Low</v>
      </c>
      <c r="AH176" s="6">
        <f t="shared" si="38"/>
        <v>0.29312350801066001</v>
      </c>
      <c r="AI176" s="5">
        <v>22</v>
      </c>
      <c r="AJ176" s="6">
        <f>Table1[[#This Row],[Quantity]]*(1+WhatIf!$B$4)</f>
        <v>24.200000000000003</v>
      </c>
    </row>
    <row r="177" spans="1:36" x14ac:dyDescent="0.3">
      <c r="A177" t="s">
        <v>440</v>
      </c>
      <c r="B177" s="3">
        <v>45897</v>
      </c>
      <c r="C177" s="3">
        <v>45905</v>
      </c>
      <c r="D177" s="3">
        <f t="shared" si="27"/>
        <v>45905</v>
      </c>
      <c r="E177" s="4">
        <f t="shared" si="26"/>
        <v>8</v>
      </c>
      <c r="F177" s="4">
        <f t="shared" si="28"/>
        <v>8</v>
      </c>
      <c r="G177" s="4">
        <f>IF(Table1[[#This Row],[CorrectedLeadTimeDays]]&lt;=7, 1, 0)</f>
        <v>0</v>
      </c>
      <c r="H177" s="4" t="str">
        <f t="shared" si="29"/>
        <v>August</v>
      </c>
      <c r="I177" s="4" t="str">
        <f t="shared" si="30"/>
        <v>Q3-2025</v>
      </c>
      <c r="J177" s="4" t="str">
        <f t="shared" si="31"/>
        <v>2023-01</v>
      </c>
      <c r="K177" s="3">
        <f t="shared" si="32"/>
        <v>44941</v>
      </c>
      <c r="L177" t="s">
        <v>646</v>
      </c>
      <c r="M177" t="s">
        <v>651</v>
      </c>
      <c r="N177" t="s">
        <v>663</v>
      </c>
      <c r="O177" t="s">
        <v>705</v>
      </c>
      <c r="P177" t="s">
        <v>709</v>
      </c>
      <c r="Q177" t="s">
        <v>718</v>
      </c>
      <c r="R177">
        <f t="shared" si="33"/>
        <v>31</v>
      </c>
      <c r="S177" t="s">
        <v>731</v>
      </c>
      <c r="T177" t="s">
        <v>1159</v>
      </c>
      <c r="U177" s="4">
        <v>1271.0999999999999</v>
      </c>
      <c r="V177" s="4">
        <f>Table1[[#This Row],[UnitCost]]*(1+WhatIf!$B$3)</f>
        <v>1334.655</v>
      </c>
      <c r="W177" s="4">
        <f t="shared" si="34"/>
        <v>26693.1</v>
      </c>
      <c r="X177" s="4">
        <f>Table1[[#This Row],[ScenarioRev]]-Table1[[#This Row],[ScenarioUnitCost]]</f>
        <v>34376.466600000007</v>
      </c>
      <c r="Y177" s="4">
        <v>1932.42</v>
      </c>
      <c r="Z177" s="4">
        <f t="shared" si="35"/>
        <v>30435.614999999998</v>
      </c>
      <c r="AA177" s="4">
        <f>Table1[[#This Row],[ScenarioQuanity]]*Table1[[#This Row],[UnitPrice]]*(1-Table1[[#This Row],[ScenarioDiscPct]])</f>
        <v>35711.121600000006</v>
      </c>
      <c r="AB177" s="4">
        <f t="shared" si="36"/>
        <v>3742.5149999999994</v>
      </c>
      <c r="AC177" s="4">
        <f>Table1[[#This Row],[ScenarioRev]] - Table1[[#This Row],[ScenarioCostOfGoods]]</f>
        <v>1334.6549999999988</v>
      </c>
      <c r="AD177" s="6">
        <v>0.25</v>
      </c>
      <c r="AE177" s="6">
        <f>MIN(Table1[[#This Row],[DiscountPct]], WhatIf!$B$2)</f>
        <v>0.2</v>
      </c>
      <c r="AF177" s="6">
        <f>IF(Table1[[#This Row],[DiscountPct]]&gt;0.2, 1, 0)</f>
        <v>1</v>
      </c>
      <c r="AG177" s="6" t="str">
        <f t="shared" si="37"/>
        <v>High</v>
      </c>
      <c r="AH177" s="6">
        <f t="shared" si="38"/>
        <v>0.12296498690760807</v>
      </c>
      <c r="AI177" s="5">
        <v>21</v>
      </c>
      <c r="AJ177" s="6">
        <f>Table1[[#This Row],[Quantity]]*(1+WhatIf!$B$4)</f>
        <v>23.1</v>
      </c>
    </row>
    <row r="178" spans="1:36" x14ac:dyDescent="0.3">
      <c r="A178" t="s">
        <v>458</v>
      </c>
      <c r="B178" s="3">
        <v>45560</v>
      </c>
      <c r="C178" s="3">
        <v>45568</v>
      </c>
      <c r="D178" s="3">
        <f t="shared" si="27"/>
        <v>45568</v>
      </c>
      <c r="E178" s="4">
        <f t="shared" si="26"/>
        <v>8</v>
      </c>
      <c r="F178" s="4">
        <f t="shared" si="28"/>
        <v>8</v>
      </c>
      <c r="G178" s="4">
        <f>IF(Table1[[#This Row],[CorrectedLeadTimeDays]]&lt;=7, 1, 0)</f>
        <v>0</v>
      </c>
      <c r="H178" s="4" t="str">
        <f t="shared" si="29"/>
        <v>September</v>
      </c>
      <c r="I178" s="4" t="str">
        <f t="shared" si="30"/>
        <v>Q3-2024</v>
      </c>
      <c r="J178" s="4" t="str">
        <f t="shared" si="31"/>
        <v>2023-01</v>
      </c>
      <c r="K178" s="3">
        <f t="shared" si="32"/>
        <v>44928</v>
      </c>
      <c r="L178" t="s">
        <v>648</v>
      </c>
      <c r="M178" t="s">
        <v>653</v>
      </c>
      <c r="N178" t="s">
        <v>667</v>
      </c>
      <c r="O178" t="s">
        <v>704</v>
      </c>
      <c r="P178" t="s">
        <v>708</v>
      </c>
      <c r="Q178" t="s">
        <v>718</v>
      </c>
      <c r="R178">
        <f t="shared" si="33"/>
        <v>20</v>
      </c>
      <c r="S178" t="s">
        <v>728</v>
      </c>
      <c r="T178" t="s">
        <v>1177</v>
      </c>
      <c r="U178" s="4">
        <v>558.19000000000005</v>
      </c>
      <c r="V178" s="4">
        <f>Table1[[#This Row],[UnitCost]]*(1+WhatIf!$B$3)</f>
        <v>586.09950000000003</v>
      </c>
      <c r="W178" s="4">
        <f t="shared" si="34"/>
        <v>11721.990000000002</v>
      </c>
      <c r="X178" s="4">
        <f>Table1[[#This Row],[ScenarioRev]]-Table1[[#This Row],[ScenarioUnitCost]]</f>
        <v>23244.784500000005</v>
      </c>
      <c r="Y178" s="4">
        <v>1031.6400000000001</v>
      </c>
      <c r="Z178" s="4">
        <f t="shared" si="35"/>
        <v>21664.440000000002</v>
      </c>
      <c r="AA178" s="4">
        <f>Table1[[#This Row],[ScenarioQuanity]]*Table1[[#This Row],[UnitPrice]]*(1-Table1[[#This Row],[ScenarioDiscPct]])</f>
        <v>23830.884000000005</v>
      </c>
      <c r="AB178" s="4">
        <f t="shared" si="36"/>
        <v>9942.4500000000007</v>
      </c>
      <c r="AC178" s="4">
        <f>Table1[[#This Row],[ScenarioRev]] - Table1[[#This Row],[ScenarioCostOfGoods]]</f>
        <v>586.09950000000026</v>
      </c>
      <c r="AD178" s="6">
        <v>0</v>
      </c>
      <c r="AE178" s="6">
        <f>MIN(Table1[[#This Row],[DiscountPct]], WhatIf!$B$2)</f>
        <v>0</v>
      </c>
      <c r="AF178" s="6">
        <f>IF(Table1[[#This Row],[DiscountPct]]&gt;0.2, 1, 0)</f>
        <v>0</v>
      </c>
      <c r="AG178" s="6" t="str">
        <f t="shared" si="37"/>
        <v>High</v>
      </c>
      <c r="AH178" s="6">
        <f t="shared" si="38"/>
        <v>0.45892947152107322</v>
      </c>
      <c r="AI178" s="5">
        <v>21</v>
      </c>
      <c r="AJ178" s="6">
        <f>Table1[[#This Row],[Quantity]]*(1+WhatIf!$B$4)</f>
        <v>23.1</v>
      </c>
    </row>
    <row r="179" spans="1:36" x14ac:dyDescent="0.3">
      <c r="A179" t="s">
        <v>196</v>
      </c>
      <c r="B179" s="3">
        <v>45568</v>
      </c>
      <c r="C179" s="3">
        <v>45576</v>
      </c>
      <c r="D179" s="3">
        <f t="shared" si="27"/>
        <v>45576</v>
      </c>
      <c r="E179" s="4">
        <f t="shared" si="26"/>
        <v>8</v>
      </c>
      <c r="F179" s="4">
        <f t="shared" si="28"/>
        <v>8</v>
      </c>
      <c r="G179" s="4">
        <f>IF(Table1[[#This Row],[CorrectedLeadTimeDays]]&lt;=7, 1, 0)</f>
        <v>0</v>
      </c>
      <c r="H179" s="4" t="str">
        <f t="shared" si="29"/>
        <v>October</v>
      </c>
      <c r="I179" s="4" t="str">
        <f t="shared" si="30"/>
        <v>Q4-2024</v>
      </c>
      <c r="J179" s="4" t="str">
        <f t="shared" si="31"/>
        <v>2023-01</v>
      </c>
      <c r="K179" s="3">
        <f t="shared" si="32"/>
        <v>44938</v>
      </c>
      <c r="L179" t="s">
        <v>647</v>
      </c>
      <c r="M179" t="s">
        <v>659</v>
      </c>
      <c r="N179" t="s">
        <v>699</v>
      </c>
      <c r="O179" t="s">
        <v>706</v>
      </c>
      <c r="P179" t="s">
        <v>711</v>
      </c>
      <c r="Q179" t="s">
        <v>717</v>
      </c>
      <c r="R179">
        <f t="shared" si="33"/>
        <v>20</v>
      </c>
      <c r="S179" t="s">
        <v>730</v>
      </c>
      <c r="T179" t="s">
        <v>915</v>
      </c>
      <c r="U179" s="4">
        <v>1132.6099999999999</v>
      </c>
      <c r="V179" s="4">
        <f>Table1[[#This Row],[UnitCost]]*(1+WhatIf!$B$3)</f>
        <v>1189.2404999999999</v>
      </c>
      <c r="W179" s="4">
        <f t="shared" si="34"/>
        <v>22652.199999999997</v>
      </c>
      <c r="X179" s="4">
        <f>Table1[[#This Row],[ScenarioRev]]-Table1[[#This Row],[ScenarioUnitCost]]</f>
        <v>44298.230320000002</v>
      </c>
      <c r="Y179" s="4">
        <v>2206.63</v>
      </c>
      <c r="Z179" s="4">
        <f t="shared" si="35"/>
        <v>41352.246200000009</v>
      </c>
      <c r="AA179" s="4">
        <f>Table1[[#This Row],[ScenarioQuanity]]*Table1[[#This Row],[UnitPrice]]*(1-Table1[[#This Row],[ScenarioDiscPct]])</f>
        <v>45487.470820000002</v>
      </c>
      <c r="AB179" s="4">
        <f t="shared" si="36"/>
        <v>18700.046200000012</v>
      </c>
      <c r="AC179" s="4">
        <f>Table1[[#This Row],[ScenarioRev]] - Table1[[#This Row],[ScenarioCostOfGoods]]</f>
        <v>1189.2404999999999</v>
      </c>
      <c r="AD179" s="6">
        <v>6.3E-2</v>
      </c>
      <c r="AE179" s="6">
        <f>MIN(Table1[[#This Row],[DiscountPct]], WhatIf!$B$2)</f>
        <v>6.3E-2</v>
      </c>
      <c r="AF179" s="6">
        <f>IF(Table1[[#This Row],[DiscountPct]]&gt;0.2, 1, 0)</f>
        <v>0</v>
      </c>
      <c r="AG179" s="6" t="str">
        <f t="shared" si="37"/>
        <v>High</v>
      </c>
      <c r="AH179" s="6">
        <f t="shared" si="38"/>
        <v>0.45221355351671338</v>
      </c>
      <c r="AI179" s="5">
        <v>20</v>
      </c>
      <c r="AJ179" s="6">
        <f>Table1[[#This Row],[Quantity]]*(1+WhatIf!$B$4)</f>
        <v>22</v>
      </c>
    </row>
    <row r="180" spans="1:36" x14ac:dyDescent="0.3">
      <c r="A180" t="s">
        <v>144</v>
      </c>
      <c r="B180" s="3">
        <v>44948</v>
      </c>
      <c r="C180" s="3">
        <v>44956</v>
      </c>
      <c r="D180" s="3">
        <f t="shared" si="27"/>
        <v>44956</v>
      </c>
      <c r="E180" s="4">
        <f t="shared" si="26"/>
        <v>8</v>
      </c>
      <c r="F180" s="4">
        <f t="shared" si="28"/>
        <v>8</v>
      </c>
      <c r="G180" s="4">
        <f>IF(Table1[[#This Row],[CorrectedLeadTimeDays]]&lt;=7, 1, 0)</f>
        <v>0</v>
      </c>
      <c r="H180" s="4" t="str">
        <f t="shared" si="29"/>
        <v>January</v>
      </c>
      <c r="I180" s="4" t="str">
        <f t="shared" si="30"/>
        <v>Q1-2023</v>
      </c>
      <c r="J180" s="4" t="str">
        <f t="shared" si="31"/>
        <v>2023-01</v>
      </c>
      <c r="K180" s="3">
        <f t="shared" si="32"/>
        <v>44939</v>
      </c>
      <c r="L180" t="s">
        <v>648</v>
      </c>
      <c r="M180" t="s">
        <v>660</v>
      </c>
      <c r="N180" t="s">
        <v>686</v>
      </c>
      <c r="O180" t="s">
        <v>705</v>
      </c>
      <c r="P180" t="s">
        <v>708</v>
      </c>
      <c r="Q180" t="s">
        <v>720</v>
      </c>
      <c r="R180">
        <f t="shared" si="33"/>
        <v>0</v>
      </c>
      <c r="S180" t="s">
        <v>729</v>
      </c>
      <c r="T180" t="s">
        <v>863</v>
      </c>
      <c r="U180" s="4">
        <v>413.52</v>
      </c>
      <c r="V180" s="4">
        <f>Table1[[#This Row],[UnitCost]]*(1+WhatIf!$B$3)</f>
        <v>434.19600000000003</v>
      </c>
      <c r="W180" s="4">
        <f t="shared" si="34"/>
        <v>7443.36</v>
      </c>
      <c r="X180" s="4">
        <f>Table1[[#This Row],[ScenarioRev]]-Table1[[#This Row],[ScenarioUnitCost]]</f>
        <v>17244.397548000001</v>
      </c>
      <c r="Y180" s="4">
        <v>1004.34</v>
      </c>
      <c r="Z180" s="4">
        <f t="shared" si="35"/>
        <v>16071.44868</v>
      </c>
      <c r="AA180" s="4">
        <f>Table1[[#This Row],[ScenarioQuanity]]*Table1[[#This Row],[UnitPrice]]*(1-Table1[[#This Row],[ScenarioDiscPct]])</f>
        <v>17678.593548000001</v>
      </c>
      <c r="AB180" s="4">
        <f t="shared" si="36"/>
        <v>8628.0886800000007</v>
      </c>
      <c r="AC180" s="4">
        <f>Table1[[#This Row],[ScenarioRev]] - Table1[[#This Row],[ScenarioCostOfGoods]]</f>
        <v>434.19599999999991</v>
      </c>
      <c r="AD180" s="6">
        <v>0.111</v>
      </c>
      <c r="AE180" s="6">
        <f>MIN(Table1[[#This Row],[DiscountPct]], WhatIf!$B$2)</f>
        <v>0.111</v>
      </c>
      <c r="AF180" s="6">
        <f>IF(Table1[[#This Row],[DiscountPct]]&gt;0.2, 1, 0)</f>
        <v>0</v>
      </c>
      <c r="AG180" s="6" t="str">
        <f t="shared" si="37"/>
        <v>High</v>
      </c>
      <c r="AH180" s="6">
        <f t="shared" si="38"/>
        <v>0.53685817948304593</v>
      </c>
      <c r="AI180" s="5">
        <v>18</v>
      </c>
      <c r="AJ180" s="6">
        <f>Table1[[#This Row],[Quantity]]*(1+WhatIf!$B$4)</f>
        <v>19.8</v>
      </c>
    </row>
    <row r="181" spans="1:36" x14ac:dyDescent="0.3">
      <c r="A181" t="s">
        <v>411</v>
      </c>
      <c r="B181" s="3">
        <v>45638</v>
      </c>
      <c r="C181" s="3">
        <v>45646</v>
      </c>
      <c r="D181" s="3">
        <f t="shared" si="27"/>
        <v>45646</v>
      </c>
      <c r="E181" s="4">
        <f t="shared" si="26"/>
        <v>8</v>
      </c>
      <c r="F181" s="4">
        <f t="shared" si="28"/>
        <v>8</v>
      </c>
      <c r="G181" s="4">
        <f>IF(Table1[[#This Row],[CorrectedLeadTimeDays]]&lt;=7, 1, 0)</f>
        <v>0</v>
      </c>
      <c r="H181" s="4" t="str">
        <f t="shared" si="29"/>
        <v>December</v>
      </c>
      <c r="I181" s="4" t="str">
        <f t="shared" si="30"/>
        <v>Q4-2024</v>
      </c>
      <c r="J181" s="4" t="str">
        <f t="shared" si="31"/>
        <v>2023-03</v>
      </c>
      <c r="K181" s="3">
        <f t="shared" si="32"/>
        <v>44988</v>
      </c>
      <c r="L181" t="s">
        <v>647</v>
      </c>
      <c r="M181" t="s">
        <v>652</v>
      </c>
      <c r="N181" t="s">
        <v>689</v>
      </c>
      <c r="O181" t="s">
        <v>701</v>
      </c>
      <c r="P181" t="s">
        <v>707</v>
      </c>
      <c r="Q181" t="s">
        <v>717</v>
      </c>
      <c r="R181">
        <f t="shared" si="33"/>
        <v>21</v>
      </c>
      <c r="S181" t="s">
        <v>731</v>
      </c>
      <c r="T181" t="s">
        <v>1130</v>
      </c>
      <c r="U181" s="4">
        <v>1202.47</v>
      </c>
      <c r="V181" s="4">
        <f>Table1[[#This Row],[UnitCost]]*(1+WhatIf!$B$3)</f>
        <v>1262.5935000000002</v>
      </c>
      <c r="W181" s="4">
        <f t="shared" si="34"/>
        <v>20441.990000000002</v>
      </c>
      <c r="X181" s="4">
        <f>Table1[[#This Row],[ScenarioRev]]-Table1[[#This Row],[ScenarioUnitCost]]</f>
        <v>20350.417700000005</v>
      </c>
      <c r="Y181" s="4">
        <v>1444.72</v>
      </c>
      <c r="Z181" s="4">
        <f t="shared" si="35"/>
        <v>18641.222160000001</v>
      </c>
      <c r="AA181" s="4">
        <f>Table1[[#This Row],[ScenarioQuanity]]*Table1[[#This Row],[UnitPrice]]*(1-Table1[[#This Row],[ScenarioDiscPct]])</f>
        <v>21613.011200000004</v>
      </c>
      <c r="AB181" s="4">
        <f t="shared" si="36"/>
        <v>-1800.7678400000004</v>
      </c>
      <c r="AC181" s="4">
        <f>Table1[[#This Row],[ScenarioRev]] - Table1[[#This Row],[ScenarioCostOfGoods]]</f>
        <v>1262.593499999999</v>
      </c>
      <c r="AD181" s="6">
        <v>0.24099999999999999</v>
      </c>
      <c r="AE181" s="6">
        <f>MIN(Table1[[#This Row],[DiscountPct]], WhatIf!$B$2)</f>
        <v>0.2</v>
      </c>
      <c r="AF181" s="6">
        <f>IF(Table1[[#This Row],[DiscountPct]]&gt;0.2, 1, 0)</f>
        <v>1</v>
      </c>
      <c r="AG181" s="6" t="str">
        <f t="shared" si="37"/>
        <v>High</v>
      </c>
      <c r="AH181" s="6">
        <f t="shared" si="38"/>
        <v>-9.6601382921343834E-2</v>
      </c>
      <c r="AI181" s="5">
        <v>17</v>
      </c>
      <c r="AJ181" s="6">
        <f>Table1[[#This Row],[Quantity]]*(1+WhatIf!$B$4)</f>
        <v>18.700000000000003</v>
      </c>
    </row>
    <row r="182" spans="1:36" x14ac:dyDescent="0.3">
      <c r="A182" t="s">
        <v>32</v>
      </c>
      <c r="B182" s="3">
        <v>45908</v>
      </c>
      <c r="C182" s="3">
        <v>45916</v>
      </c>
      <c r="D182" s="3">
        <f t="shared" si="27"/>
        <v>45916</v>
      </c>
      <c r="E182" s="4">
        <f t="shared" si="26"/>
        <v>8</v>
      </c>
      <c r="F182" s="4">
        <f t="shared" si="28"/>
        <v>8</v>
      </c>
      <c r="G182" s="4">
        <f>IF(Table1[[#This Row],[CorrectedLeadTimeDays]]&lt;=7, 1, 0)</f>
        <v>0</v>
      </c>
      <c r="H182" s="4" t="str">
        <f t="shared" si="29"/>
        <v>September</v>
      </c>
      <c r="I182" s="4" t="str">
        <f t="shared" si="30"/>
        <v>Q3-2025</v>
      </c>
      <c r="J182" s="4" t="str">
        <f t="shared" si="31"/>
        <v>2023-03</v>
      </c>
      <c r="K182" s="3">
        <f t="shared" si="32"/>
        <v>44988</v>
      </c>
      <c r="L182" t="s">
        <v>647</v>
      </c>
      <c r="M182" t="s">
        <v>652</v>
      </c>
      <c r="N182" t="s">
        <v>666</v>
      </c>
      <c r="O182" t="s">
        <v>701</v>
      </c>
      <c r="P182" t="s">
        <v>710</v>
      </c>
      <c r="Q182" t="s">
        <v>712</v>
      </c>
      <c r="R182">
        <f t="shared" si="33"/>
        <v>30</v>
      </c>
      <c r="S182" t="s">
        <v>730</v>
      </c>
      <c r="T182" t="s">
        <v>751</v>
      </c>
      <c r="U182" s="4">
        <v>1225.57</v>
      </c>
      <c r="V182" s="4">
        <f>Table1[[#This Row],[UnitCost]]*(1+WhatIf!$B$3)</f>
        <v>1286.8485000000001</v>
      </c>
      <c r="W182" s="4">
        <f t="shared" si="34"/>
        <v>19609.12</v>
      </c>
      <c r="X182" s="4">
        <f>Table1[[#This Row],[ScenarioRev]]-Table1[[#This Row],[ScenarioUnitCost]]</f>
        <v>37617.083644000006</v>
      </c>
      <c r="Y182" s="4">
        <v>2705.57</v>
      </c>
      <c r="Z182" s="4">
        <f t="shared" si="35"/>
        <v>35367.211040000002</v>
      </c>
      <c r="AA182" s="4">
        <f>Table1[[#This Row],[ScenarioQuanity]]*Table1[[#This Row],[UnitPrice]]*(1-Table1[[#This Row],[ScenarioDiscPct]])</f>
        <v>38903.932144000006</v>
      </c>
      <c r="AB182" s="4">
        <f t="shared" si="36"/>
        <v>15758.091040000003</v>
      </c>
      <c r="AC182" s="4">
        <f>Table1[[#This Row],[ScenarioRev]] - Table1[[#This Row],[ScenarioCostOfGoods]]</f>
        <v>1286.8485000000001</v>
      </c>
      <c r="AD182" s="6">
        <v>0.183</v>
      </c>
      <c r="AE182" s="6">
        <f>MIN(Table1[[#This Row],[DiscountPct]], WhatIf!$B$2)</f>
        <v>0.183</v>
      </c>
      <c r="AF182" s="6">
        <f>IF(Table1[[#This Row],[DiscountPct]]&gt;0.2, 1, 0)</f>
        <v>0</v>
      </c>
      <c r="AG182" s="6" t="str">
        <f t="shared" si="37"/>
        <v>High</v>
      </c>
      <c r="AH182" s="6">
        <f t="shared" si="38"/>
        <v>0.44555650775453404</v>
      </c>
      <c r="AI182" s="5">
        <v>16</v>
      </c>
      <c r="AJ182" s="6">
        <f>Table1[[#This Row],[Quantity]]*(1+WhatIf!$B$4)</f>
        <v>17.600000000000001</v>
      </c>
    </row>
    <row r="183" spans="1:36" x14ac:dyDescent="0.3">
      <c r="A183" t="s">
        <v>282</v>
      </c>
      <c r="B183" s="3">
        <v>45284</v>
      </c>
      <c r="C183" s="3">
        <v>45292</v>
      </c>
      <c r="D183" s="3">
        <f t="shared" si="27"/>
        <v>45292</v>
      </c>
      <c r="E183" s="4">
        <f t="shared" si="26"/>
        <v>8</v>
      </c>
      <c r="F183" s="4">
        <f t="shared" si="28"/>
        <v>8</v>
      </c>
      <c r="G183" s="4">
        <f>IF(Table1[[#This Row],[CorrectedLeadTimeDays]]&lt;=7, 1, 0)</f>
        <v>0</v>
      </c>
      <c r="H183" s="4" t="str">
        <f t="shared" si="29"/>
        <v>December</v>
      </c>
      <c r="I183" s="4" t="str">
        <f t="shared" si="30"/>
        <v>Q4-2023</v>
      </c>
      <c r="J183" s="4" t="str">
        <f t="shared" si="31"/>
        <v>2023-01</v>
      </c>
      <c r="K183" s="3">
        <f t="shared" si="32"/>
        <v>44955</v>
      </c>
      <c r="L183" t="s">
        <v>648</v>
      </c>
      <c r="M183" t="s">
        <v>655</v>
      </c>
      <c r="N183" t="s">
        <v>670</v>
      </c>
      <c r="O183" t="s">
        <v>702</v>
      </c>
      <c r="P183" t="s">
        <v>711</v>
      </c>
      <c r="Q183" t="s">
        <v>712</v>
      </c>
      <c r="R183">
        <f t="shared" si="33"/>
        <v>10</v>
      </c>
      <c r="S183" t="s">
        <v>730</v>
      </c>
      <c r="T183" t="s">
        <v>1002</v>
      </c>
      <c r="U183" s="4">
        <v>526.49</v>
      </c>
      <c r="V183" s="4">
        <f>Table1[[#This Row],[UnitCost]]*(1+WhatIf!$B$3)</f>
        <v>552.81450000000007</v>
      </c>
      <c r="W183" s="4">
        <f t="shared" si="34"/>
        <v>7370.8600000000006</v>
      </c>
      <c r="X183" s="4">
        <f>Table1[[#This Row],[ScenarioRev]]-Table1[[#This Row],[ScenarioUnitCost]]</f>
        <v>7088.6655000000001</v>
      </c>
      <c r="Y183" s="4">
        <v>496.2</v>
      </c>
      <c r="Z183" s="4">
        <f t="shared" si="35"/>
        <v>6946.8</v>
      </c>
      <c r="AA183" s="4">
        <f>Table1[[#This Row],[ScenarioQuanity]]*Table1[[#This Row],[UnitPrice]]*(1-Table1[[#This Row],[ScenarioDiscPct]])</f>
        <v>7641.4800000000005</v>
      </c>
      <c r="AB183" s="4">
        <f t="shared" si="36"/>
        <v>-424.0600000000004</v>
      </c>
      <c r="AC183" s="4">
        <f>Table1[[#This Row],[ScenarioRev]] - Table1[[#This Row],[ScenarioCostOfGoods]]</f>
        <v>552.81450000000041</v>
      </c>
      <c r="AD183" s="6">
        <v>0</v>
      </c>
      <c r="AE183" s="6">
        <f>MIN(Table1[[#This Row],[DiscountPct]], WhatIf!$B$2)</f>
        <v>0</v>
      </c>
      <c r="AF183" s="6">
        <f>IF(Table1[[#This Row],[DiscountPct]]&gt;0.2, 1, 0)</f>
        <v>0</v>
      </c>
      <c r="AG183" s="6" t="str">
        <f t="shared" si="37"/>
        <v>Low</v>
      </c>
      <c r="AH183" s="6">
        <f t="shared" si="38"/>
        <v>-6.1043933897621985E-2</v>
      </c>
      <c r="AI183" s="5">
        <v>14</v>
      </c>
      <c r="AJ183" s="6">
        <f>Table1[[#This Row],[Quantity]]*(1+WhatIf!$B$4)</f>
        <v>15.400000000000002</v>
      </c>
    </row>
    <row r="184" spans="1:36" x14ac:dyDescent="0.3">
      <c r="A184" t="s">
        <v>240</v>
      </c>
      <c r="B184" s="3">
        <v>45137</v>
      </c>
      <c r="C184" s="3">
        <v>45145</v>
      </c>
      <c r="D184" s="3">
        <f t="shared" si="27"/>
        <v>45145</v>
      </c>
      <c r="E184" s="4">
        <f t="shared" si="26"/>
        <v>8</v>
      </c>
      <c r="F184" s="4">
        <f t="shared" si="28"/>
        <v>8</v>
      </c>
      <c r="G184" s="4">
        <f>IF(Table1[[#This Row],[CorrectedLeadTimeDays]]&lt;=7, 1, 0)</f>
        <v>0</v>
      </c>
      <c r="H184" s="4" t="str">
        <f t="shared" si="29"/>
        <v>July</v>
      </c>
      <c r="I184" s="4" t="str">
        <f t="shared" si="30"/>
        <v>Q3-2023</v>
      </c>
      <c r="J184" s="4" t="str">
        <f t="shared" si="31"/>
        <v>2023-03</v>
      </c>
      <c r="K184" s="3">
        <f t="shared" si="32"/>
        <v>44988</v>
      </c>
      <c r="L184" t="s">
        <v>647</v>
      </c>
      <c r="M184" t="s">
        <v>652</v>
      </c>
      <c r="N184" t="s">
        <v>694</v>
      </c>
      <c r="O184" t="s">
        <v>702</v>
      </c>
      <c r="P184" t="s">
        <v>709</v>
      </c>
      <c r="Q184" t="s">
        <v>720</v>
      </c>
      <c r="R184">
        <f t="shared" si="33"/>
        <v>4</v>
      </c>
      <c r="S184" t="s">
        <v>729</v>
      </c>
      <c r="T184" t="s">
        <v>960</v>
      </c>
      <c r="U184" s="4">
        <v>1352.44</v>
      </c>
      <c r="V184" s="4">
        <f>Table1[[#This Row],[UnitCost]]*(1+WhatIf!$B$3)</f>
        <v>1420.0620000000001</v>
      </c>
      <c r="W184" s="4">
        <f t="shared" si="34"/>
        <v>17581.72</v>
      </c>
      <c r="X184" s="4">
        <f>Table1[[#This Row],[ScenarioRev]]-Table1[[#This Row],[ScenarioUnitCost]]</f>
        <v>32107.298867000001</v>
      </c>
      <c r="Y184" s="4">
        <v>2698.01</v>
      </c>
      <c r="Z184" s="4">
        <f t="shared" si="35"/>
        <v>30479.418970000002</v>
      </c>
      <c r="AA184" s="4">
        <f>Table1[[#This Row],[ScenarioQuanity]]*Table1[[#This Row],[UnitPrice]]*(1-Table1[[#This Row],[ScenarioDiscPct]])</f>
        <v>33527.360867000003</v>
      </c>
      <c r="AB184" s="4">
        <f t="shared" si="36"/>
        <v>12897.698970000001</v>
      </c>
      <c r="AC184" s="4">
        <f>Table1[[#This Row],[ScenarioRev]] - Table1[[#This Row],[ScenarioCostOfGoods]]</f>
        <v>1420.0620000000017</v>
      </c>
      <c r="AD184" s="6">
        <v>0.13100000000000001</v>
      </c>
      <c r="AE184" s="6">
        <f>MIN(Table1[[#This Row],[DiscountPct]], WhatIf!$B$2)</f>
        <v>0.13100000000000001</v>
      </c>
      <c r="AF184" s="6">
        <f>IF(Table1[[#This Row],[DiscountPct]]&gt;0.2, 1, 0)</f>
        <v>0</v>
      </c>
      <c r="AG184" s="6" t="str">
        <f t="shared" si="37"/>
        <v>High</v>
      </c>
      <c r="AH184" s="6">
        <f t="shared" si="38"/>
        <v>0.42316091992090887</v>
      </c>
      <c r="AI184" s="5">
        <v>13</v>
      </c>
      <c r="AJ184" s="6">
        <f>Table1[[#This Row],[Quantity]]*(1+WhatIf!$B$4)</f>
        <v>14.3</v>
      </c>
    </row>
    <row r="185" spans="1:36" x14ac:dyDescent="0.3">
      <c r="A185" t="s">
        <v>484</v>
      </c>
      <c r="B185" s="3">
        <v>45060</v>
      </c>
      <c r="C185" s="3">
        <v>45068</v>
      </c>
      <c r="D185" s="3">
        <f t="shared" si="27"/>
        <v>45068</v>
      </c>
      <c r="E185" s="4">
        <f t="shared" si="26"/>
        <v>8</v>
      </c>
      <c r="F185" s="4">
        <f t="shared" si="28"/>
        <v>8</v>
      </c>
      <c r="G185" s="4">
        <f>IF(Table1[[#This Row],[CorrectedLeadTimeDays]]&lt;=7, 1, 0)</f>
        <v>0</v>
      </c>
      <c r="H185" s="4" t="str">
        <f t="shared" si="29"/>
        <v>May</v>
      </c>
      <c r="I185" s="4" t="str">
        <f t="shared" si="30"/>
        <v>Q2-2023</v>
      </c>
      <c r="J185" s="4" t="str">
        <f t="shared" si="31"/>
        <v>2023-01</v>
      </c>
      <c r="K185" s="3">
        <f t="shared" si="32"/>
        <v>44946</v>
      </c>
      <c r="L185" t="s">
        <v>646</v>
      </c>
      <c r="M185" t="s">
        <v>650</v>
      </c>
      <c r="N185" t="s">
        <v>675</v>
      </c>
      <c r="O185" t="s">
        <v>705</v>
      </c>
      <c r="P185" t="s">
        <v>710</v>
      </c>
      <c r="Q185" t="s">
        <v>721</v>
      </c>
      <c r="R185">
        <f t="shared" si="33"/>
        <v>3</v>
      </c>
      <c r="S185" t="s">
        <v>728</v>
      </c>
      <c r="T185" t="s">
        <v>1203</v>
      </c>
      <c r="U185" s="4">
        <v>432.01</v>
      </c>
      <c r="V185" s="4">
        <f>Table1[[#This Row],[UnitCost]]*(1+WhatIf!$B$3)</f>
        <v>453.6105</v>
      </c>
      <c r="W185" s="4">
        <f t="shared" si="34"/>
        <v>5184.12</v>
      </c>
      <c r="X185" s="4">
        <f>Table1[[#This Row],[ScenarioRev]]-Table1[[#This Row],[ScenarioUnitCost]]</f>
        <v>11017.252596</v>
      </c>
      <c r="Y185" s="4">
        <v>913.78</v>
      </c>
      <c r="Z185" s="4">
        <f t="shared" si="35"/>
        <v>10428.057360000001</v>
      </c>
      <c r="AA185" s="4">
        <f>Table1[[#This Row],[ScenarioQuanity]]*Table1[[#This Row],[UnitPrice]]*(1-Table1[[#This Row],[ScenarioDiscPct]])</f>
        <v>11470.863096000001</v>
      </c>
      <c r="AB185" s="4">
        <f t="shared" si="36"/>
        <v>5243.9373600000008</v>
      </c>
      <c r="AC185" s="4">
        <f>Table1[[#This Row],[ScenarioRev]] - Table1[[#This Row],[ScenarioCostOfGoods]]</f>
        <v>453.61050000000068</v>
      </c>
      <c r="AD185" s="6">
        <v>4.9000000000000002E-2</v>
      </c>
      <c r="AE185" s="6">
        <f>MIN(Table1[[#This Row],[DiscountPct]], WhatIf!$B$2)</f>
        <v>4.9000000000000002E-2</v>
      </c>
      <c r="AF185" s="6">
        <f>IF(Table1[[#This Row],[DiscountPct]]&gt;0.2, 1, 0)</f>
        <v>0</v>
      </c>
      <c r="AG185" s="6" t="str">
        <f t="shared" si="37"/>
        <v>High</v>
      </c>
      <c r="AH185" s="6">
        <f t="shared" si="38"/>
        <v>0.50286809699711899</v>
      </c>
      <c r="AI185" s="5">
        <v>12</v>
      </c>
      <c r="AJ185" s="6">
        <f>Table1[[#This Row],[Quantity]]*(1+WhatIf!$B$4)</f>
        <v>13.200000000000001</v>
      </c>
    </row>
    <row r="186" spans="1:36" x14ac:dyDescent="0.3">
      <c r="A186" t="s">
        <v>456</v>
      </c>
      <c r="B186" s="3">
        <v>45189</v>
      </c>
      <c r="C186" s="3">
        <v>45197</v>
      </c>
      <c r="D186" s="3">
        <f t="shared" si="27"/>
        <v>45197</v>
      </c>
      <c r="E186" s="4">
        <f t="shared" si="26"/>
        <v>8</v>
      </c>
      <c r="F186" s="4">
        <f t="shared" si="28"/>
        <v>8</v>
      </c>
      <c r="G186" s="4">
        <f>IF(Table1[[#This Row],[CorrectedLeadTimeDays]]&lt;=7, 1, 0)</f>
        <v>0</v>
      </c>
      <c r="H186" s="4" t="str">
        <f t="shared" si="29"/>
        <v>September</v>
      </c>
      <c r="I186" s="4" t="str">
        <f t="shared" si="30"/>
        <v>Q3-2023</v>
      </c>
      <c r="J186" s="4" t="str">
        <f t="shared" si="31"/>
        <v>2023-01</v>
      </c>
      <c r="K186" s="3">
        <f t="shared" si="32"/>
        <v>44955</v>
      </c>
      <c r="L186" t="s">
        <v>647</v>
      </c>
      <c r="M186" t="s">
        <v>654</v>
      </c>
      <c r="O186" t="s">
        <v>701</v>
      </c>
      <c r="Q186" t="s">
        <v>717</v>
      </c>
      <c r="R186">
        <f t="shared" si="33"/>
        <v>7</v>
      </c>
      <c r="S186" t="s">
        <v>733</v>
      </c>
      <c r="T186" t="s">
        <v>1175</v>
      </c>
      <c r="U186" s="4">
        <v>1362.06</v>
      </c>
      <c r="V186" s="4">
        <f>Table1[[#This Row],[UnitCost]]*(1+WhatIf!$B$3)</f>
        <v>1430.163</v>
      </c>
      <c r="W186" s="4">
        <f t="shared" si="34"/>
        <v>14982.66</v>
      </c>
      <c r="X186" s="4">
        <f>Table1[[#This Row],[ScenarioRev]]-Table1[[#This Row],[ScenarioUnitCost]]</f>
        <v>33234.230511000002</v>
      </c>
      <c r="Y186" s="4">
        <v>3398.37</v>
      </c>
      <c r="Z186" s="4">
        <f t="shared" si="35"/>
        <v>31513.085009999999</v>
      </c>
      <c r="AA186" s="4">
        <f>Table1[[#This Row],[ScenarioQuanity]]*Table1[[#This Row],[UnitPrice]]*(1-Table1[[#This Row],[ScenarioDiscPct]])</f>
        <v>34664.393511000002</v>
      </c>
      <c r="AB186" s="4">
        <f t="shared" si="36"/>
        <v>16530.425009999999</v>
      </c>
      <c r="AC186" s="4">
        <f>Table1[[#This Row],[ScenarioRev]] - Table1[[#This Row],[ScenarioCostOfGoods]]</f>
        <v>1430.1630000000005</v>
      </c>
      <c r="AD186" s="6">
        <v>0.157</v>
      </c>
      <c r="AE186" s="6">
        <f>MIN(Table1[[#This Row],[DiscountPct]], WhatIf!$B$2)</f>
        <v>0.157</v>
      </c>
      <c r="AF186" s="6">
        <f>IF(Table1[[#This Row],[DiscountPct]]&gt;0.2, 1, 0)</f>
        <v>0</v>
      </c>
      <c r="AG186" s="6" t="str">
        <f t="shared" si="37"/>
        <v>High</v>
      </c>
      <c r="AH186" s="6">
        <f t="shared" si="38"/>
        <v>0.52455749745714919</v>
      </c>
      <c r="AI186" s="5">
        <v>11</v>
      </c>
      <c r="AJ186" s="6">
        <f>Table1[[#This Row],[Quantity]]*(1+WhatIf!$B$4)</f>
        <v>12.100000000000001</v>
      </c>
    </row>
    <row r="187" spans="1:36" x14ac:dyDescent="0.3">
      <c r="A187" t="s">
        <v>305</v>
      </c>
      <c r="B187" s="3">
        <v>45746</v>
      </c>
      <c r="C187" s="3">
        <v>45754</v>
      </c>
      <c r="D187" s="3">
        <f t="shared" si="27"/>
        <v>45754</v>
      </c>
      <c r="E187" s="4">
        <f t="shared" si="26"/>
        <v>8</v>
      </c>
      <c r="F187" s="4">
        <f t="shared" si="28"/>
        <v>8</v>
      </c>
      <c r="G187" s="4">
        <f>IF(Table1[[#This Row],[CorrectedLeadTimeDays]]&lt;=7, 1, 0)</f>
        <v>0</v>
      </c>
      <c r="H187" s="4" t="str">
        <f t="shared" si="29"/>
        <v>March</v>
      </c>
      <c r="I187" s="4" t="str">
        <f t="shared" si="30"/>
        <v>Q1-2025</v>
      </c>
      <c r="J187" s="4" t="str">
        <f t="shared" si="31"/>
        <v>2023-01</v>
      </c>
      <c r="K187" s="3">
        <f t="shared" si="32"/>
        <v>44955</v>
      </c>
      <c r="L187" t="s">
        <v>648</v>
      </c>
      <c r="M187" t="s">
        <v>655</v>
      </c>
      <c r="N187" t="s">
        <v>670</v>
      </c>
      <c r="O187" t="s">
        <v>703</v>
      </c>
      <c r="P187" t="s">
        <v>711</v>
      </c>
      <c r="Q187" t="s">
        <v>716</v>
      </c>
      <c r="R187">
        <f t="shared" si="33"/>
        <v>26</v>
      </c>
      <c r="S187" t="s">
        <v>728</v>
      </c>
      <c r="T187" t="s">
        <v>1025</v>
      </c>
      <c r="U187" s="4">
        <v>71.62</v>
      </c>
      <c r="V187" s="4">
        <f>Table1[[#This Row],[UnitCost]]*(1+WhatIf!$B$3)</f>
        <v>75.201000000000008</v>
      </c>
      <c r="W187" s="4">
        <f t="shared" si="34"/>
        <v>787.82</v>
      </c>
      <c r="X187" s="4">
        <f>Table1[[#This Row],[ScenarioRev]]-Table1[[#This Row],[ScenarioUnitCost]]</f>
        <v>1133.6407880000002</v>
      </c>
      <c r="Y187" s="4">
        <v>118.37</v>
      </c>
      <c r="Z187" s="4">
        <f t="shared" si="35"/>
        <v>1098.9470800000001</v>
      </c>
      <c r="AA187" s="4">
        <f>Table1[[#This Row],[ScenarioQuanity]]*Table1[[#This Row],[UnitPrice]]*(1-Table1[[#This Row],[ScenarioDiscPct]])</f>
        <v>1208.8417880000002</v>
      </c>
      <c r="AB187" s="4">
        <f t="shared" si="36"/>
        <v>311.12708000000009</v>
      </c>
      <c r="AC187" s="4">
        <f>Table1[[#This Row],[ScenarioRev]] - Table1[[#This Row],[ScenarioCostOfGoods]]</f>
        <v>75.201000000000022</v>
      </c>
      <c r="AD187" s="6">
        <v>0.156</v>
      </c>
      <c r="AE187" s="6">
        <f>MIN(Table1[[#This Row],[DiscountPct]], WhatIf!$B$2)</f>
        <v>0.156</v>
      </c>
      <c r="AF187" s="6">
        <f>IF(Table1[[#This Row],[DiscountPct]]&gt;0.2, 1, 0)</f>
        <v>0</v>
      </c>
      <c r="AG187" s="6" t="str">
        <f t="shared" si="37"/>
        <v>Low</v>
      </c>
      <c r="AH187" s="6">
        <f t="shared" si="38"/>
        <v>0.28311379652603474</v>
      </c>
      <c r="AI187" s="5">
        <v>11</v>
      </c>
      <c r="AJ187" s="6">
        <f>Table1[[#This Row],[Quantity]]*(1+WhatIf!$B$4)</f>
        <v>12.100000000000001</v>
      </c>
    </row>
    <row r="188" spans="1:36" x14ac:dyDescent="0.3">
      <c r="A188" t="s">
        <v>227</v>
      </c>
      <c r="B188" s="3">
        <v>45686</v>
      </c>
      <c r="C188" s="3">
        <v>45694</v>
      </c>
      <c r="D188" s="3">
        <f t="shared" si="27"/>
        <v>45694</v>
      </c>
      <c r="E188" s="4">
        <f t="shared" si="26"/>
        <v>8</v>
      </c>
      <c r="F188" s="4">
        <f t="shared" si="28"/>
        <v>8</v>
      </c>
      <c r="G188" s="4">
        <f>IF(Table1[[#This Row],[CorrectedLeadTimeDays]]&lt;=7, 1, 0)</f>
        <v>0</v>
      </c>
      <c r="H188" s="4" t="str">
        <f t="shared" si="29"/>
        <v>January</v>
      </c>
      <c r="I188" s="4" t="str">
        <f t="shared" si="30"/>
        <v>Q1-2025</v>
      </c>
      <c r="J188" s="4" t="str">
        <f t="shared" si="31"/>
        <v>2023-01</v>
      </c>
      <c r="K188" s="3">
        <f t="shared" si="32"/>
        <v>44946</v>
      </c>
      <c r="L188" t="s">
        <v>646</v>
      </c>
      <c r="M188" t="s">
        <v>650</v>
      </c>
      <c r="N188" t="s">
        <v>662</v>
      </c>
      <c r="O188" t="s">
        <v>702</v>
      </c>
      <c r="P188" t="s">
        <v>707</v>
      </c>
      <c r="Q188" t="s">
        <v>717</v>
      </c>
      <c r="R188">
        <f t="shared" si="33"/>
        <v>24</v>
      </c>
      <c r="S188" t="s">
        <v>730</v>
      </c>
      <c r="T188" t="s">
        <v>947</v>
      </c>
      <c r="U188" s="4">
        <v>1445.27</v>
      </c>
      <c r="V188" s="4">
        <f>Table1[[#This Row],[UnitCost]]*(1+WhatIf!$B$3)</f>
        <v>1517.5335</v>
      </c>
      <c r="W188" s="4">
        <f t="shared" si="34"/>
        <v>13007.43</v>
      </c>
      <c r="X188" s="4">
        <f>Table1[[#This Row],[ScenarioRev]]-Table1[[#This Row],[ScenarioUnitCost]]</f>
        <v>25127.821499999998</v>
      </c>
      <c r="Y188" s="4">
        <v>2691.45</v>
      </c>
      <c r="Z188" s="4">
        <f t="shared" si="35"/>
        <v>24223.05</v>
      </c>
      <c r="AA188" s="4">
        <f>Table1[[#This Row],[ScenarioQuanity]]*Table1[[#This Row],[UnitPrice]]*(1-Table1[[#This Row],[ScenarioDiscPct]])</f>
        <v>26645.355</v>
      </c>
      <c r="AB188" s="4">
        <f t="shared" si="36"/>
        <v>11215.619999999999</v>
      </c>
      <c r="AC188" s="4">
        <f>Table1[[#This Row],[ScenarioRev]] - Table1[[#This Row],[ScenarioCostOfGoods]]</f>
        <v>1517.5335000000014</v>
      </c>
      <c r="AD188" s="6">
        <v>0</v>
      </c>
      <c r="AE188" s="6">
        <f>MIN(Table1[[#This Row],[DiscountPct]], WhatIf!$B$2)</f>
        <v>0</v>
      </c>
      <c r="AF188" s="6">
        <f>IF(Table1[[#This Row],[DiscountPct]]&gt;0.2, 1, 0)</f>
        <v>0</v>
      </c>
      <c r="AG188" s="6" t="str">
        <f t="shared" si="37"/>
        <v>High</v>
      </c>
      <c r="AH188" s="6">
        <f t="shared" si="38"/>
        <v>0.46301436028906351</v>
      </c>
      <c r="AI188" s="5">
        <v>9</v>
      </c>
      <c r="AJ188" s="6">
        <f>Table1[[#This Row],[Quantity]]*(1+WhatIf!$B$4)</f>
        <v>9.9</v>
      </c>
    </row>
    <row r="189" spans="1:36" x14ac:dyDescent="0.3">
      <c r="A189" t="s">
        <v>294</v>
      </c>
      <c r="B189" s="3">
        <v>45092</v>
      </c>
      <c r="C189" s="3">
        <v>45100</v>
      </c>
      <c r="D189" s="3">
        <f t="shared" si="27"/>
        <v>45100</v>
      </c>
      <c r="E189" s="4">
        <f t="shared" si="26"/>
        <v>8</v>
      </c>
      <c r="F189" s="4">
        <f t="shared" si="28"/>
        <v>8</v>
      </c>
      <c r="G189" s="4">
        <f>IF(Table1[[#This Row],[CorrectedLeadTimeDays]]&lt;=7, 1, 0)</f>
        <v>0</v>
      </c>
      <c r="H189" s="4" t="str">
        <f t="shared" si="29"/>
        <v>June</v>
      </c>
      <c r="I189" s="4" t="str">
        <f t="shared" si="30"/>
        <v>Q2-2023</v>
      </c>
      <c r="J189" s="4" t="str">
        <f t="shared" si="31"/>
        <v>2023-01</v>
      </c>
      <c r="K189" s="3">
        <f t="shared" si="32"/>
        <v>44939</v>
      </c>
      <c r="L189" t="s">
        <v>648</v>
      </c>
      <c r="M189" t="s">
        <v>660</v>
      </c>
      <c r="N189" t="s">
        <v>686</v>
      </c>
      <c r="O189" t="s">
        <v>704</v>
      </c>
      <c r="P189" t="s">
        <v>710</v>
      </c>
      <c r="Q189" t="s">
        <v>719</v>
      </c>
      <c r="R189">
        <f t="shared" si="33"/>
        <v>5</v>
      </c>
      <c r="S189" t="s">
        <v>732</v>
      </c>
      <c r="T189" t="s">
        <v>1014</v>
      </c>
      <c r="U189" s="4">
        <v>1097.0899999999999</v>
      </c>
      <c r="V189" s="4">
        <f>Table1[[#This Row],[UnitCost]]*(1+WhatIf!$B$3)</f>
        <v>1151.9445000000001</v>
      </c>
      <c r="W189" s="4">
        <f t="shared" si="34"/>
        <v>9873.81</v>
      </c>
      <c r="X189" s="4">
        <f>Table1[[#This Row],[ScenarioRev]]-Table1[[#This Row],[ScenarioUnitCost]]</f>
        <v>18033.179171999996</v>
      </c>
      <c r="Y189" s="4">
        <v>2182.31</v>
      </c>
      <c r="Z189" s="4">
        <f t="shared" si="35"/>
        <v>17441.021520000002</v>
      </c>
      <c r="AA189" s="4">
        <f>Table1[[#This Row],[ScenarioQuanity]]*Table1[[#This Row],[UnitPrice]]*(1-Table1[[#This Row],[ScenarioDiscPct]])</f>
        <v>19185.123671999998</v>
      </c>
      <c r="AB189" s="4">
        <f t="shared" si="36"/>
        <v>7567.2115200000026</v>
      </c>
      <c r="AC189" s="4">
        <f>Table1[[#This Row],[ScenarioRev]] - Table1[[#This Row],[ScenarioCostOfGoods]]</f>
        <v>1151.9445000000014</v>
      </c>
      <c r="AD189" s="6">
        <v>0.112</v>
      </c>
      <c r="AE189" s="6">
        <f>MIN(Table1[[#This Row],[DiscountPct]], WhatIf!$B$2)</f>
        <v>0.112</v>
      </c>
      <c r="AF189" s="6">
        <f>IF(Table1[[#This Row],[DiscountPct]]&gt;0.2, 1, 0)</f>
        <v>0</v>
      </c>
      <c r="AG189" s="6" t="str">
        <f t="shared" si="37"/>
        <v>High</v>
      </c>
      <c r="AH189" s="6">
        <f t="shared" si="38"/>
        <v>0.43387432962699546</v>
      </c>
      <c r="AI189" s="5">
        <v>9</v>
      </c>
      <c r="AJ189" s="6">
        <f>Table1[[#This Row],[Quantity]]*(1+WhatIf!$B$4)</f>
        <v>9.9</v>
      </c>
    </row>
    <row r="190" spans="1:36" x14ac:dyDescent="0.3">
      <c r="A190" t="s">
        <v>272</v>
      </c>
      <c r="B190" s="3">
        <v>45835</v>
      </c>
      <c r="C190" s="3">
        <v>45843</v>
      </c>
      <c r="D190" s="3">
        <f t="shared" si="27"/>
        <v>45843</v>
      </c>
      <c r="E190" s="4">
        <f t="shared" si="26"/>
        <v>8</v>
      </c>
      <c r="F190" s="4">
        <f t="shared" si="28"/>
        <v>8</v>
      </c>
      <c r="G190" s="4">
        <f>IF(Table1[[#This Row],[CorrectedLeadTimeDays]]&lt;=7, 1, 0)</f>
        <v>0</v>
      </c>
      <c r="H190" s="4" t="str">
        <f t="shared" si="29"/>
        <v>June</v>
      </c>
      <c r="I190" s="4" t="str">
        <f t="shared" si="30"/>
        <v>Q2-2025</v>
      </c>
      <c r="J190" s="4" t="str">
        <f t="shared" si="31"/>
        <v>2023-01</v>
      </c>
      <c r="K190" s="3">
        <f t="shared" si="32"/>
        <v>44948</v>
      </c>
      <c r="L190" t="s">
        <v>649</v>
      </c>
      <c r="M190" t="s">
        <v>656</v>
      </c>
      <c r="N190" t="s">
        <v>684</v>
      </c>
      <c r="O190" t="s">
        <v>705</v>
      </c>
      <c r="P190" t="s">
        <v>711</v>
      </c>
      <c r="Q190" t="s">
        <v>715</v>
      </c>
      <c r="R190">
        <f t="shared" si="33"/>
        <v>29</v>
      </c>
      <c r="S190" t="s">
        <v>732</v>
      </c>
      <c r="T190" t="s">
        <v>992</v>
      </c>
      <c r="U190" s="4">
        <v>314.93</v>
      </c>
      <c r="V190" s="4">
        <f>Table1[[#This Row],[UnitCost]]*(1+WhatIf!$B$3)</f>
        <v>330.67650000000003</v>
      </c>
      <c r="W190" s="4">
        <f t="shared" si="34"/>
        <v>2519.44</v>
      </c>
      <c r="X190" s="4">
        <f>Table1[[#This Row],[ScenarioRev]]-Table1[[#This Row],[ScenarioUnitCost]]</f>
        <v>4512.4915000000001</v>
      </c>
      <c r="Y190" s="4">
        <v>687.95</v>
      </c>
      <c r="Z190" s="4">
        <f t="shared" si="35"/>
        <v>4375.3620000000001</v>
      </c>
      <c r="AA190" s="4">
        <f>Table1[[#This Row],[ScenarioQuanity]]*Table1[[#This Row],[UnitPrice]]*(1-Table1[[#This Row],[ScenarioDiscPct]])</f>
        <v>4843.1680000000006</v>
      </c>
      <c r="AB190" s="4">
        <f t="shared" si="36"/>
        <v>1855.922</v>
      </c>
      <c r="AC190" s="4">
        <f>Table1[[#This Row],[ScenarioRev]] - Table1[[#This Row],[ScenarioCostOfGoods]]</f>
        <v>330.67650000000049</v>
      </c>
      <c r="AD190" s="6">
        <v>0.20499999999999999</v>
      </c>
      <c r="AE190" s="6">
        <f>MIN(Table1[[#This Row],[DiscountPct]], WhatIf!$B$2)</f>
        <v>0.2</v>
      </c>
      <c r="AF190" s="6">
        <f>IF(Table1[[#This Row],[DiscountPct]]&gt;0.2, 1, 0)</f>
        <v>1</v>
      </c>
      <c r="AG190" s="6" t="str">
        <f t="shared" si="37"/>
        <v>Low</v>
      </c>
      <c r="AH190" s="6">
        <f t="shared" si="38"/>
        <v>0.424175645352316</v>
      </c>
      <c r="AI190" s="5">
        <v>8</v>
      </c>
      <c r="AJ190" s="6">
        <f>Table1[[#This Row],[Quantity]]*(1+WhatIf!$B$4)</f>
        <v>8.8000000000000007</v>
      </c>
    </row>
    <row r="191" spans="1:36" x14ac:dyDescent="0.3">
      <c r="A191" t="s">
        <v>257</v>
      </c>
      <c r="B191" s="3">
        <v>45630</v>
      </c>
      <c r="C191" s="3">
        <v>45638</v>
      </c>
      <c r="D191" s="3">
        <f t="shared" si="27"/>
        <v>45638</v>
      </c>
      <c r="E191" s="4">
        <f t="shared" si="26"/>
        <v>8</v>
      </c>
      <c r="F191" s="4">
        <f t="shared" si="28"/>
        <v>8</v>
      </c>
      <c r="G191" s="4">
        <f>IF(Table1[[#This Row],[CorrectedLeadTimeDays]]&lt;=7, 1, 0)</f>
        <v>0</v>
      </c>
      <c r="H191" s="4" t="str">
        <f t="shared" si="29"/>
        <v>December</v>
      </c>
      <c r="I191" s="4" t="str">
        <f t="shared" si="30"/>
        <v>Q4-2024</v>
      </c>
      <c r="J191" s="4" t="str">
        <f t="shared" si="31"/>
        <v>2023-01</v>
      </c>
      <c r="K191" s="3">
        <f t="shared" si="32"/>
        <v>44948</v>
      </c>
      <c r="L191" t="s">
        <v>649</v>
      </c>
      <c r="M191" t="s">
        <v>656</v>
      </c>
      <c r="N191" t="s">
        <v>698</v>
      </c>
      <c r="O191" t="s">
        <v>706</v>
      </c>
      <c r="P191" t="s">
        <v>709</v>
      </c>
      <c r="Q191" t="s">
        <v>717</v>
      </c>
      <c r="R191">
        <f t="shared" si="33"/>
        <v>22</v>
      </c>
      <c r="S191" t="s">
        <v>728</v>
      </c>
      <c r="T191" t="s">
        <v>977</v>
      </c>
      <c r="U191" s="4">
        <v>72.06</v>
      </c>
      <c r="V191" s="4">
        <f>Table1[[#This Row],[UnitCost]]*(1+WhatIf!$B$3)</f>
        <v>75.663000000000011</v>
      </c>
      <c r="W191" s="4">
        <f t="shared" si="34"/>
        <v>576.48</v>
      </c>
      <c r="X191" s="4">
        <f>Table1[[#This Row],[ScenarioRev]]-Table1[[#This Row],[ScenarioUnitCost]]</f>
        <v>788.42660000000012</v>
      </c>
      <c r="Y191" s="4">
        <v>122.74</v>
      </c>
      <c r="Z191" s="4">
        <f t="shared" si="35"/>
        <v>748.22303999999997</v>
      </c>
      <c r="AA191" s="4">
        <f>Table1[[#This Row],[ScenarioQuanity]]*Table1[[#This Row],[UnitPrice]]*(1-Table1[[#This Row],[ScenarioDiscPct]])</f>
        <v>864.08960000000013</v>
      </c>
      <c r="AB191" s="4">
        <f t="shared" si="36"/>
        <v>171.74303999999995</v>
      </c>
      <c r="AC191" s="4">
        <f>Table1[[#This Row],[ScenarioRev]] - Table1[[#This Row],[ScenarioCostOfGoods]]</f>
        <v>75.663000000000011</v>
      </c>
      <c r="AD191" s="6">
        <v>0.23799999999999999</v>
      </c>
      <c r="AE191" s="6">
        <f>MIN(Table1[[#This Row],[DiscountPct]], WhatIf!$B$2)</f>
        <v>0.2</v>
      </c>
      <c r="AF191" s="6">
        <f>IF(Table1[[#This Row],[DiscountPct]]&gt;0.2, 1, 0)</f>
        <v>1</v>
      </c>
      <c r="AG191" s="6" t="str">
        <f t="shared" si="37"/>
        <v>Low</v>
      </c>
      <c r="AH191" s="6">
        <f t="shared" si="38"/>
        <v>0.22953455162246802</v>
      </c>
      <c r="AI191" s="5">
        <v>8</v>
      </c>
      <c r="AJ191" s="6">
        <f>Table1[[#This Row],[Quantity]]*(1+WhatIf!$B$4)</f>
        <v>8.8000000000000007</v>
      </c>
    </row>
    <row r="192" spans="1:36" x14ac:dyDescent="0.3">
      <c r="A192" t="s">
        <v>384</v>
      </c>
      <c r="B192" s="3">
        <v>45286</v>
      </c>
      <c r="C192" s="3">
        <v>45294</v>
      </c>
      <c r="D192" s="3">
        <f t="shared" si="27"/>
        <v>45294</v>
      </c>
      <c r="E192" s="4">
        <f t="shared" si="26"/>
        <v>8</v>
      </c>
      <c r="F192" s="4">
        <f t="shared" si="28"/>
        <v>8</v>
      </c>
      <c r="G192" s="4">
        <f>IF(Table1[[#This Row],[CorrectedLeadTimeDays]]&lt;=7, 1, 0)</f>
        <v>0</v>
      </c>
      <c r="H192" s="4" t="str">
        <f t="shared" si="29"/>
        <v>December</v>
      </c>
      <c r="I192" s="4" t="str">
        <f t="shared" si="30"/>
        <v>Q4-2023</v>
      </c>
      <c r="J192" s="4" t="str">
        <f t="shared" si="31"/>
        <v>2023-01</v>
      </c>
      <c r="K192" s="3">
        <f t="shared" si="32"/>
        <v>44936</v>
      </c>
      <c r="L192" t="s">
        <v>649</v>
      </c>
      <c r="M192" t="s">
        <v>657</v>
      </c>
      <c r="N192" t="s">
        <v>679</v>
      </c>
      <c r="O192" t="s">
        <v>705</v>
      </c>
      <c r="P192" t="s">
        <v>707</v>
      </c>
      <c r="Q192" t="s">
        <v>724</v>
      </c>
      <c r="R192">
        <f t="shared" si="33"/>
        <v>11</v>
      </c>
      <c r="S192" t="s">
        <v>731</v>
      </c>
      <c r="T192" t="s">
        <v>1104</v>
      </c>
      <c r="U192" s="4">
        <v>492.75</v>
      </c>
      <c r="V192" s="4">
        <f>Table1[[#This Row],[UnitCost]]*(1+WhatIf!$B$3)</f>
        <v>517.38750000000005</v>
      </c>
      <c r="W192" s="4">
        <f t="shared" si="34"/>
        <v>2956.5</v>
      </c>
      <c r="X192" s="4">
        <f>Table1[[#This Row],[ScenarioRev]]-Table1[[#This Row],[ScenarioUnitCost]]</f>
        <v>4029.1886880000002</v>
      </c>
      <c r="Y192" s="4">
        <v>731.29</v>
      </c>
      <c r="Z192" s="4">
        <f t="shared" si="35"/>
        <v>4133.25108</v>
      </c>
      <c r="AA192" s="4">
        <f>Table1[[#This Row],[ScenarioQuanity]]*Table1[[#This Row],[UnitPrice]]*(1-Table1[[#This Row],[ScenarioDiscPct]])</f>
        <v>4546.576188</v>
      </c>
      <c r="AB192" s="4">
        <f t="shared" si="36"/>
        <v>1176.75108</v>
      </c>
      <c r="AC192" s="4">
        <f>Table1[[#This Row],[ScenarioRev]] - Table1[[#This Row],[ScenarioCostOfGoods]]</f>
        <v>517.38749999999982</v>
      </c>
      <c r="AD192" s="6">
        <v>5.8000000000000003E-2</v>
      </c>
      <c r="AE192" s="6">
        <f>MIN(Table1[[#This Row],[DiscountPct]], WhatIf!$B$2)</f>
        <v>5.8000000000000003E-2</v>
      </c>
      <c r="AF192" s="6">
        <f>IF(Table1[[#This Row],[DiscountPct]]&gt;0.2, 1, 0)</f>
        <v>0</v>
      </c>
      <c r="AG192" s="6" t="str">
        <f t="shared" si="37"/>
        <v>Low</v>
      </c>
      <c r="AH192" s="6">
        <f t="shared" si="38"/>
        <v>0.28470350753528384</v>
      </c>
      <c r="AI192" s="5">
        <v>6</v>
      </c>
      <c r="AJ192" s="6">
        <f>Table1[[#This Row],[Quantity]]*(1+WhatIf!$B$4)</f>
        <v>6.6000000000000005</v>
      </c>
    </row>
    <row r="193" spans="1:36" x14ac:dyDescent="0.3">
      <c r="A193" t="s">
        <v>341</v>
      </c>
      <c r="B193" s="3">
        <v>45087</v>
      </c>
      <c r="C193" s="3">
        <v>45095</v>
      </c>
      <c r="D193" s="3">
        <f t="shared" si="27"/>
        <v>45095</v>
      </c>
      <c r="E193" s="4">
        <f t="shared" si="26"/>
        <v>8</v>
      </c>
      <c r="F193" s="4">
        <f t="shared" si="28"/>
        <v>8</v>
      </c>
      <c r="G193" s="4">
        <f>IF(Table1[[#This Row],[CorrectedLeadTimeDays]]&lt;=7, 1, 0)</f>
        <v>0</v>
      </c>
      <c r="H193" s="4" t="str">
        <f t="shared" si="29"/>
        <v>June</v>
      </c>
      <c r="I193" s="4" t="str">
        <f t="shared" si="30"/>
        <v>Q2-2023</v>
      </c>
      <c r="J193" s="4" t="str">
        <f t="shared" si="31"/>
        <v>2023-01</v>
      </c>
      <c r="K193" s="3">
        <f t="shared" si="32"/>
        <v>44946</v>
      </c>
      <c r="L193" t="s">
        <v>646</v>
      </c>
      <c r="M193" t="s">
        <v>650</v>
      </c>
      <c r="N193" t="s">
        <v>678</v>
      </c>
      <c r="O193" t="s">
        <v>706</v>
      </c>
      <c r="P193" t="s">
        <v>711</v>
      </c>
      <c r="Q193" t="s">
        <v>722</v>
      </c>
      <c r="R193">
        <f t="shared" si="33"/>
        <v>4</v>
      </c>
      <c r="S193" t="s">
        <v>730</v>
      </c>
      <c r="T193" t="s">
        <v>1061</v>
      </c>
      <c r="U193" s="4">
        <v>894.23</v>
      </c>
      <c r="V193" s="4">
        <f>Table1[[#This Row],[UnitCost]]*(1+WhatIf!$B$3)</f>
        <v>938.94150000000002</v>
      </c>
      <c r="W193" s="4">
        <f t="shared" si="34"/>
        <v>2682.69</v>
      </c>
      <c r="X193" s="4">
        <f>Table1[[#This Row],[ScenarioRev]]-Table1[[#This Row],[ScenarioUnitCost]]</f>
        <v>3240.8419649999996</v>
      </c>
      <c r="Y193" s="4">
        <v>1421.55</v>
      </c>
      <c r="Z193" s="4">
        <f t="shared" si="35"/>
        <v>3799.8031499999997</v>
      </c>
      <c r="AA193" s="4">
        <f>Table1[[#This Row],[ScenarioQuanity]]*Table1[[#This Row],[UnitPrice]]*(1-Table1[[#This Row],[ScenarioDiscPct]])</f>
        <v>4179.7834649999995</v>
      </c>
      <c r="AB193" s="4">
        <f t="shared" si="36"/>
        <v>1117.1131499999997</v>
      </c>
      <c r="AC193" s="4">
        <f>Table1[[#This Row],[ScenarioRev]] - Table1[[#This Row],[ScenarioCostOfGoods]]</f>
        <v>938.94149999999991</v>
      </c>
      <c r="AD193" s="6">
        <v>0.109</v>
      </c>
      <c r="AE193" s="6">
        <f>MIN(Table1[[#This Row],[DiscountPct]], WhatIf!$B$2)</f>
        <v>0.109</v>
      </c>
      <c r="AF193" s="6">
        <f>IF(Table1[[#This Row],[DiscountPct]]&gt;0.2, 1, 0)</f>
        <v>0</v>
      </c>
      <c r="AG193" s="6" t="str">
        <f t="shared" si="37"/>
        <v>High</v>
      </c>
      <c r="AH193" s="6">
        <f t="shared" si="38"/>
        <v>0.29399237431549574</v>
      </c>
      <c r="AI193" s="5">
        <v>3</v>
      </c>
      <c r="AJ193" s="6">
        <f>Table1[[#This Row],[Quantity]]*(1+WhatIf!$B$4)</f>
        <v>3.3000000000000003</v>
      </c>
    </row>
    <row r="194" spans="1:36" x14ac:dyDescent="0.3">
      <c r="A194" t="s">
        <v>73</v>
      </c>
      <c r="B194" s="3">
        <v>45817</v>
      </c>
      <c r="C194" s="3">
        <v>45826</v>
      </c>
      <c r="D194" s="3">
        <f t="shared" si="27"/>
        <v>45826</v>
      </c>
      <c r="E194" s="4">
        <f t="shared" ref="E194:E257" si="39">C194-B194</f>
        <v>9</v>
      </c>
      <c r="F194" s="4">
        <f t="shared" si="28"/>
        <v>9</v>
      </c>
      <c r="G194" s="4">
        <f>IF(Table1[[#This Row],[CorrectedLeadTimeDays]]&lt;=7, 1, 0)</f>
        <v>0</v>
      </c>
      <c r="H194" s="4" t="str">
        <f t="shared" si="29"/>
        <v>June</v>
      </c>
      <c r="I194" s="4" t="str">
        <f t="shared" si="30"/>
        <v>Q2-2025</v>
      </c>
      <c r="J194" s="4" t="str">
        <f t="shared" si="31"/>
        <v>2023-01</v>
      </c>
      <c r="K194" s="3">
        <f t="shared" si="32"/>
        <v>44936</v>
      </c>
      <c r="L194" t="s">
        <v>649</v>
      </c>
      <c r="M194" t="s">
        <v>657</v>
      </c>
      <c r="N194" t="s">
        <v>673</v>
      </c>
      <c r="O194" t="s">
        <v>705</v>
      </c>
      <c r="P194" t="s">
        <v>709</v>
      </c>
      <c r="Q194" t="s">
        <v>722</v>
      </c>
      <c r="R194">
        <f t="shared" si="33"/>
        <v>28</v>
      </c>
      <c r="S194" t="s">
        <v>733</v>
      </c>
      <c r="T194" t="s">
        <v>792</v>
      </c>
      <c r="U194" s="4">
        <v>1225.5</v>
      </c>
      <c r="V194" s="4">
        <f>Table1[[#This Row],[UnitCost]]*(1+WhatIf!$B$3)</f>
        <v>1286.7750000000001</v>
      </c>
      <c r="W194" s="4">
        <f t="shared" si="34"/>
        <v>68628</v>
      </c>
      <c r="X194" s="4">
        <f>Table1[[#This Row],[ScenarioRev]]-Table1[[#This Row],[ScenarioUnitCost]]</f>
        <v>-986.49040000000014</v>
      </c>
      <c r="Y194" s="4">
        <v>5.27</v>
      </c>
      <c r="Z194" s="4">
        <f t="shared" si="35"/>
        <v>272.98599999999999</v>
      </c>
      <c r="AA194" s="4">
        <f>Table1[[#This Row],[ScenarioQuanity]]*Table1[[#This Row],[UnitPrice]]*(1-Table1[[#This Row],[ScenarioDiscPct]])</f>
        <v>300.28460000000001</v>
      </c>
      <c r="AB194" s="4">
        <f t="shared" si="36"/>
        <v>-68355.013999999996</v>
      </c>
      <c r="AC194" s="4">
        <f>Table1[[#This Row],[ScenarioRev]] - Table1[[#This Row],[ScenarioCostOfGoods]]</f>
        <v>1286.7750000000001</v>
      </c>
      <c r="AD194" s="6">
        <v>7.4999999999999997E-2</v>
      </c>
      <c r="AE194" s="6">
        <f>MIN(Table1[[#This Row],[DiscountPct]], WhatIf!$B$2)</f>
        <v>7.4999999999999997E-2</v>
      </c>
      <c r="AF194" s="6">
        <f>IF(Table1[[#This Row],[DiscountPct]]&gt;0.2, 1, 0)</f>
        <v>0</v>
      </c>
      <c r="AG194" s="6" t="str">
        <f t="shared" si="37"/>
        <v>Low</v>
      </c>
      <c r="AH194" s="6">
        <f t="shared" si="38"/>
        <v>-250.39750756449047</v>
      </c>
      <c r="AI194" s="5">
        <v>56</v>
      </c>
      <c r="AJ194" s="6">
        <f>Table1[[#This Row],[Quantity]]*(1+WhatIf!$B$4)</f>
        <v>61.600000000000009</v>
      </c>
    </row>
    <row r="195" spans="1:36" x14ac:dyDescent="0.3">
      <c r="A195" t="s">
        <v>159</v>
      </c>
      <c r="B195" s="3">
        <v>45112</v>
      </c>
      <c r="C195" s="3">
        <v>45121</v>
      </c>
      <c r="D195" s="3">
        <f t="shared" ref="D195:D258" si="40">IF(C195&lt;B195, B195+14, C195)</f>
        <v>45121</v>
      </c>
      <c r="E195" s="4">
        <f t="shared" si="39"/>
        <v>9</v>
      </c>
      <c r="F195" s="4">
        <f t="shared" ref="F195:F258" si="41">D195-B195</f>
        <v>9</v>
      </c>
      <c r="G195" s="4">
        <f>IF(Table1[[#This Row],[CorrectedLeadTimeDays]]&lt;=7, 1, 0)</f>
        <v>0</v>
      </c>
      <c r="H195" s="4" t="str">
        <f t="shared" ref="H195:H258" si="42">TEXT(B195, "mmmm")</f>
        <v>July</v>
      </c>
      <c r="I195" s="4" t="str">
        <f t="shared" ref="I195:I258" si="43">"Q"&amp;ROUNDUP(MONTH(B195)/3,0)&amp;"-"&amp;YEAR(B195)</f>
        <v>Q3-2023</v>
      </c>
      <c r="J195" s="4" t="str">
        <f t="shared" ref="J195:J258" si="44">TEXT(K195, "yyyy-mm")</f>
        <v>2023-01</v>
      </c>
      <c r="K195" s="3">
        <f t="shared" ref="K195:K258" si="45">_xlfn.MINIFS($B:$B,$M:$M,M195)</f>
        <v>44955</v>
      </c>
      <c r="L195" t="s">
        <v>648</v>
      </c>
      <c r="M195" t="s">
        <v>655</v>
      </c>
      <c r="N195" t="s">
        <v>672</v>
      </c>
      <c r="O195" t="s">
        <v>706</v>
      </c>
      <c r="P195" t="s">
        <v>711</v>
      </c>
      <c r="Q195" t="s">
        <v>717</v>
      </c>
      <c r="R195">
        <f t="shared" ref="R195:R258" si="46">DATEDIF(K195,B195,"m")</f>
        <v>5</v>
      </c>
      <c r="S195" t="s">
        <v>729</v>
      </c>
      <c r="T195" t="s">
        <v>878</v>
      </c>
      <c r="U195" s="4">
        <v>578.85</v>
      </c>
      <c r="V195" s="4">
        <f>Table1[[#This Row],[UnitCost]]*(1+WhatIf!$B$3)</f>
        <v>607.79250000000002</v>
      </c>
      <c r="W195" s="4">
        <f t="shared" ref="W195:W258" si="47">U195*AI195</f>
        <v>16207.800000000001</v>
      </c>
      <c r="X195" s="4">
        <f>Table1[[#This Row],[ScenarioRev]]-Table1[[#This Row],[ScenarioUnitCost]]</f>
        <v>27631.547244000005</v>
      </c>
      <c r="Y195" s="4">
        <v>998.76</v>
      </c>
      <c r="Z195" s="4">
        <f t="shared" ref="Z195:Z258" si="48">Y195*AI195*(1-AD195)</f>
        <v>25672.127039999999</v>
      </c>
      <c r="AA195" s="4">
        <f>Table1[[#This Row],[ScenarioQuanity]]*Table1[[#This Row],[UnitPrice]]*(1-Table1[[#This Row],[ScenarioDiscPct]])</f>
        <v>28239.339744000004</v>
      </c>
      <c r="AB195" s="4">
        <f t="shared" ref="AB195:AB258" si="49">Z195-W195</f>
        <v>9464.3270399999983</v>
      </c>
      <c r="AC195" s="4">
        <f>Table1[[#This Row],[ScenarioRev]] - Table1[[#This Row],[ScenarioCostOfGoods]]</f>
        <v>607.79249999999956</v>
      </c>
      <c r="AD195" s="6">
        <v>8.2000000000000003E-2</v>
      </c>
      <c r="AE195" s="6">
        <f>MIN(Table1[[#This Row],[DiscountPct]], WhatIf!$B$2)</f>
        <v>8.2000000000000003E-2</v>
      </c>
      <c r="AF195" s="6">
        <f>IF(Table1[[#This Row],[DiscountPct]]&gt;0.2, 1, 0)</f>
        <v>0</v>
      </c>
      <c r="AG195" s="6" t="str">
        <f t="shared" ref="AG195:AG258" si="50">IF(Y195&lt;=_xlfn.PERCENTILE.INC($Y:$Y,0.33),"Low",
 IF(D195&lt;=_xlfn.PERCENTILE.INC($Y:$Y,0.66),"Medium",
 "High"))</f>
        <v>High</v>
      </c>
      <c r="AH195" s="6">
        <f t="shared" ref="AH195:AH258" si="51">IF(Z195=0, 0, AB195/Z195)</f>
        <v>0.36866158480960831</v>
      </c>
      <c r="AI195" s="5">
        <v>28</v>
      </c>
      <c r="AJ195" s="6">
        <f>Table1[[#This Row],[Quantity]]*(1+WhatIf!$B$4)</f>
        <v>30.800000000000004</v>
      </c>
    </row>
    <row r="196" spans="1:36" x14ac:dyDescent="0.3">
      <c r="A196" t="s">
        <v>452</v>
      </c>
      <c r="B196" s="3">
        <v>45290</v>
      </c>
      <c r="C196" s="3">
        <v>45299</v>
      </c>
      <c r="D196" s="3">
        <f t="shared" si="40"/>
        <v>45299</v>
      </c>
      <c r="E196" s="4">
        <f t="shared" si="39"/>
        <v>9</v>
      </c>
      <c r="F196" s="4">
        <f t="shared" si="41"/>
        <v>9</v>
      </c>
      <c r="G196" s="4">
        <f>IF(Table1[[#This Row],[CorrectedLeadTimeDays]]&lt;=7, 1, 0)</f>
        <v>0</v>
      </c>
      <c r="H196" s="4" t="str">
        <f t="shared" si="42"/>
        <v>December</v>
      </c>
      <c r="I196" s="4" t="str">
        <f t="shared" si="43"/>
        <v>Q4-2023</v>
      </c>
      <c r="J196" s="4" t="str">
        <f t="shared" si="44"/>
        <v>2023-01</v>
      </c>
      <c r="K196" s="3">
        <f t="shared" si="45"/>
        <v>44936</v>
      </c>
      <c r="L196" t="s">
        <v>649</v>
      </c>
      <c r="M196" t="s">
        <v>657</v>
      </c>
      <c r="N196" t="s">
        <v>673</v>
      </c>
      <c r="O196" t="s">
        <v>704</v>
      </c>
      <c r="P196" t="s">
        <v>709</v>
      </c>
      <c r="Q196" t="s">
        <v>716</v>
      </c>
      <c r="R196">
        <f t="shared" si="46"/>
        <v>11</v>
      </c>
      <c r="S196" t="s">
        <v>733</v>
      </c>
      <c r="T196" t="s">
        <v>1171</v>
      </c>
      <c r="U196" s="4">
        <v>861.1</v>
      </c>
      <c r="V196" s="4">
        <f>Table1[[#This Row],[UnitCost]]*(1+WhatIf!$B$3)</f>
        <v>904.15500000000009</v>
      </c>
      <c r="W196" s="4">
        <f t="shared" si="47"/>
        <v>20666.400000000001</v>
      </c>
      <c r="X196" s="4">
        <f>Table1[[#This Row],[ScenarioRev]]-Table1[[#This Row],[ScenarioUnitCost]]</f>
        <v>25802.579208000006</v>
      </c>
      <c r="Y196" s="4">
        <v>1224.72</v>
      </c>
      <c r="Z196" s="4">
        <f t="shared" si="48"/>
        <v>24278.849280000002</v>
      </c>
      <c r="AA196" s="4">
        <f>Table1[[#This Row],[ScenarioQuanity]]*Table1[[#This Row],[UnitPrice]]*(1-Table1[[#This Row],[ScenarioDiscPct]])</f>
        <v>26706.734208000005</v>
      </c>
      <c r="AB196" s="4">
        <f t="shared" si="49"/>
        <v>3612.4492800000007</v>
      </c>
      <c r="AC196" s="4">
        <f>Table1[[#This Row],[ScenarioRev]] - Table1[[#This Row],[ScenarioCostOfGoods]]</f>
        <v>904.15499999999884</v>
      </c>
      <c r="AD196" s="6">
        <v>0.17399999999999999</v>
      </c>
      <c r="AE196" s="6">
        <f>MIN(Table1[[#This Row],[DiscountPct]], WhatIf!$B$2)</f>
        <v>0.17399999999999999</v>
      </c>
      <c r="AF196" s="6">
        <f>IF(Table1[[#This Row],[DiscountPct]]&gt;0.2, 1, 0)</f>
        <v>0</v>
      </c>
      <c r="AG196" s="6" t="str">
        <f t="shared" si="50"/>
        <v>High</v>
      </c>
      <c r="AH196" s="6">
        <f t="shared" si="51"/>
        <v>0.14878997098827909</v>
      </c>
      <c r="AI196" s="5">
        <v>24</v>
      </c>
      <c r="AJ196" s="6">
        <f>Table1[[#This Row],[Quantity]]*(1+WhatIf!$B$4)</f>
        <v>26.400000000000002</v>
      </c>
    </row>
    <row r="197" spans="1:36" x14ac:dyDescent="0.3">
      <c r="A197" t="s">
        <v>142</v>
      </c>
      <c r="B197" s="3">
        <v>45874</v>
      </c>
      <c r="C197" s="3">
        <v>45883</v>
      </c>
      <c r="D197" s="3">
        <f t="shared" si="40"/>
        <v>45883</v>
      </c>
      <c r="E197" s="4">
        <f t="shared" si="39"/>
        <v>9</v>
      </c>
      <c r="F197" s="4">
        <f t="shared" si="41"/>
        <v>9</v>
      </c>
      <c r="G197" s="4">
        <f>IF(Table1[[#This Row],[CorrectedLeadTimeDays]]&lt;=7, 1, 0)</f>
        <v>0</v>
      </c>
      <c r="H197" s="4" t="str">
        <f t="shared" si="42"/>
        <v>August</v>
      </c>
      <c r="I197" s="4" t="str">
        <f t="shared" si="43"/>
        <v>Q3-2025</v>
      </c>
      <c r="J197" s="4" t="str">
        <f t="shared" si="44"/>
        <v>2023-01</v>
      </c>
      <c r="K197" s="3">
        <f t="shared" si="45"/>
        <v>44945</v>
      </c>
      <c r="L197" t="s">
        <v>649</v>
      </c>
      <c r="M197" t="s">
        <v>658</v>
      </c>
      <c r="N197" t="s">
        <v>683</v>
      </c>
      <c r="O197" t="s">
        <v>703</v>
      </c>
      <c r="P197" t="s">
        <v>711</v>
      </c>
      <c r="Q197" t="s">
        <v>718</v>
      </c>
      <c r="R197">
        <f t="shared" si="46"/>
        <v>30</v>
      </c>
      <c r="S197" t="s">
        <v>727</v>
      </c>
      <c r="T197" t="s">
        <v>861</v>
      </c>
      <c r="U197" s="4">
        <v>41.76</v>
      </c>
      <c r="V197" s="4">
        <f>Table1[[#This Row],[UnitCost]]*(1+WhatIf!$B$3)</f>
        <v>43.847999999999999</v>
      </c>
      <c r="W197" s="4">
        <f t="shared" si="47"/>
        <v>960.4799999999999</v>
      </c>
      <c r="X197" s="4">
        <f>Table1[[#This Row],[ScenarioRev]]-Table1[[#This Row],[ScenarioUnitCost]]</f>
        <v>894.80704700000001</v>
      </c>
      <c r="Y197" s="4">
        <v>45.19</v>
      </c>
      <c r="Z197" s="4">
        <f t="shared" si="48"/>
        <v>853.32276999999988</v>
      </c>
      <c r="AA197" s="4">
        <f>Table1[[#This Row],[ScenarioQuanity]]*Table1[[#This Row],[UnitPrice]]*(1-Table1[[#This Row],[ScenarioDiscPct]])</f>
        <v>938.65504699999997</v>
      </c>
      <c r="AB197" s="4">
        <f t="shared" si="49"/>
        <v>-107.15723000000003</v>
      </c>
      <c r="AC197" s="4">
        <f>Table1[[#This Row],[ScenarioRev]] - Table1[[#This Row],[ScenarioCostOfGoods]]</f>
        <v>43.847999999999956</v>
      </c>
      <c r="AD197" s="6">
        <v>0.17899999999999999</v>
      </c>
      <c r="AE197" s="6">
        <f>MIN(Table1[[#This Row],[DiscountPct]], WhatIf!$B$2)</f>
        <v>0.17899999999999999</v>
      </c>
      <c r="AF197" s="6">
        <f>IF(Table1[[#This Row],[DiscountPct]]&gt;0.2, 1, 0)</f>
        <v>0</v>
      </c>
      <c r="AG197" s="6" t="str">
        <f t="shared" si="50"/>
        <v>Low</v>
      </c>
      <c r="AH197" s="6">
        <f t="shared" si="51"/>
        <v>-0.12557643340514638</v>
      </c>
      <c r="AI197" s="5">
        <v>23</v>
      </c>
      <c r="AJ197" s="6">
        <f>Table1[[#This Row],[Quantity]]*(1+WhatIf!$B$4)</f>
        <v>25.3</v>
      </c>
    </row>
    <row r="198" spans="1:36" x14ac:dyDescent="0.3">
      <c r="A198" t="s">
        <v>116</v>
      </c>
      <c r="B198" s="3">
        <v>45304</v>
      </c>
      <c r="C198" s="3">
        <v>45313</v>
      </c>
      <c r="D198" s="3">
        <f t="shared" si="40"/>
        <v>45313</v>
      </c>
      <c r="E198" s="4">
        <f t="shared" si="39"/>
        <v>9</v>
      </c>
      <c r="F198" s="4">
        <f t="shared" si="41"/>
        <v>9</v>
      </c>
      <c r="G198" s="4">
        <f>IF(Table1[[#This Row],[CorrectedLeadTimeDays]]&lt;=7, 1, 0)</f>
        <v>0</v>
      </c>
      <c r="H198" s="4" t="str">
        <f t="shared" si="42"/>
        <v>January</v>
      </c>
      <c r="I198" s="4" t="str">
        <f t="shared" si="43"/>
        <v>Q1-2024</v>
      </c>
      <c r="J198" s="4" t="str">
        <f t="shared" si="44"/>
        <v>2023-01</v>
      </c>
      <c r="K198" s="3">
        <f t="shared" si="45"/>
        <v>44955</v>
      </c>
      <c r="L198" t="s">
        <v>647</v>
      </c>
      <c r="M198" t="s">
        <v>654</v>
      </c>
      <c r="N198" t="s">
        <v>691</v>
      </c>
      <c r="O198" t="s">
        <v>706</v>
      </c>
      <c r="P198" t="s">
        <v>709</v>
      </c>
      <c r="Q198" t="s">
        <v>713</v>
      </c>
      <c r="R198">
        <f t="shared" si="46"/>
        <v>11</v>
      </c>
      <c r="S198" t="s">
        <v>727</v>
      </c>
      <c r="T198" t="s">
        <v>835</v>
      </c>
      <c r="U198" s="4">
        <v>313.60000000000002</v>
      </c>
      <c r="V198" s="4">
        <f>Table1[[#This Row],[UnitCost]]*(1+WhatIf!$B$3)</f>
        <v>329.28000000000003</v>
      </c>
      <c r="W198" s="4">
        <f t="shared" si="47"/>
        <v>6899.2000000000007</v>
      </c>
      <c r="X198" s="4">
        <f>Table1[[#This Row],[ScenarioRev]]-Table1[[#This Row],[ScenarioUnitCost]]</f>
        <v>6627.7553600000001</v>
      </c>
      <c r="Y198" s="4">
        <v>334.28</v>
      </c>
      <c r="Z198" s="4">
        <f t="shared" si="48"/>
        <v>6324.5775999999996</v>
      </c>
      <c r="AA198" s="4">
        <f>Table1[[#This Row],[ScenarioQuanity]]*Table1[[#This Row],[UnitPrice]]*(1-Table1[[#This Row],[ScenarioDiscPct]])</f>
        <v>6957.0353599999999</v>
      </c>
      <c r="AB198" s="4">
        <f t="shared" si="49"/>
        <v>-574.62240000000111</v>
      </c>
      <c r="AC198" s="4">
        <f>Table1[[#This Row],[ScenarioRev]] - Table1[[#This Row],[ScenarioCostOfGoods]]</f>
        <v>329.27999999999975</v>
      </c>
      <c r="AD198" s="6">
        <v>0.14000000000000001</v>
      </c>
      <c r="AE198" s="6">
        <f>MIN(Table1[[#This Row],[DiscountPct]], WhatIf!$B$2)</f>
        <v>0.14000000000000001</v>
      </c>
      <c r="AF198" s="6">
        <f>IF(Table1[[#This Row],[DiscountPct]]&gt;0.2, 1, 0)</f>
        <v>0</v>
      </c>
      <c r="AG198" s="6" t="str">
        <f t="shared" si="50"/>
        <v>Low</v>
      </c>
      <c r="AH198" s="6">
        <f t="shared" si="51"/>
        <v>-9.0855458868905517E-2</v>
      </c>
      <c r="AI198" s="5">
        <v>22</v>
      </c>
      <c r="AJ198" s="6">
        <f>Table1[[#This Row],[Quantity]]*(1+WhatIf!$B$4)</f>
        <v>24.200000000000003</v>
      </c>
    </row>
    <row r="199" spans="1:36" x14ac:dyDescent="0.3">
      <c r="A199" t="s">
        <v>540</v>
      </c>
      <c r="B199" s="3">
        <v>45695</v>
      </c>
      <c r="C199" s="3">
        <v>45704</v>
      </c>
      <c r="D199" s="3">
        <f t="shared" si="40"/>
        <v>45704</v>
      </c>
      <c r="E199" s="4">
        <f t="shared" si="39"/>
        <v>9</v>
      </c>
      <c r="F199" s="4">
        <f t="shared" si="41"/>
        <v>9</v>
      </c>
      <c r="G199" s="4">
        <f>IF(Table1[[#This Row],[CorrectedLeadTimeDays]]&lt;=7, 1, 0)</f>
        <v>0</v>
      </c>
      <c r="H199" s="4" t="str">
        <f t="shared" si="42"/>
        <v>February</v>
      </c>
      <c r="I199" s="4" t="str">
        <f t="shared" si="43"/>
        <v>Q1-2025</v>
      </c>
      <c r="J199" s="4" t="str">
        <f t="shared" si="44"/>
        <v>2023-01</v>
      </c>
      <c r="K199" s="3">
        <f t="shared" si="45"/>
        <v>44941</v>
      </c>
      <c r="L199" t="s">
        <v>646</v>
      </c>
      <c r="M199" t="s">
        <v>651</v>
      </c>
      <c r="N199" t="s">
        <v>665</v>
      </c>
      <c r="O199" t="s">
        <v>705</v>
      </c>
      <c r="P199" t="s">
        <v>710</v>
      </c>
      <c r="Q199" t="s">
        <v>712</v>
      </c>
      <c r="R199">
        <f t="shared" si="46"/>
        <v>24</v>
      </c>
      <c r="S199" t="s">
        <v>728</v>
      </c>
      <c r="T199" t="s">
        <v>1259</v>
      </c>
      <c r="U199" s="4">
        <v>90.68</v>
      </c>
      <c r="V199" s="4">
        <f>Table1[[#This Row],[UnitCost]]*(1+WhatIf!$B$3)</f>
        <v>95.214000000000013</v>
      </c>
      <c r="W199" s="4">
        <f t="shared" si="47"/>
        <v>1904.2800000000002</v>
      </c>
      <c r="X199" s="4">
        <f>Table1[[#This Row],[ScenarioRev]]-Table1[[#This Row],[ScenarioUnitCost]]</f>
        <v>2265.9998550000005</v>
      </c>
      <c r="Y199" s="4">
        <v>118.17</v>
      </c>
      <c r="Z199" s="4">
        <f t="shared" si="48"/>
        <v>2146.5580500000001</v>
      </c>
      <c r="AA199" s="4">
        <f>Table1[[#This Row],[ScenarioQuanity]]*Table1[[#This Row],[UnitPrice]]*(1-Table1[[#This Row],[ScenarioDiscPct]])</f>
        <v>2361.2138550000004</v>
      </c>
      <c r="AB199" s="4">
        <f t="shared" si="49"/>
        <v>242.27804999999989</v>
      </c>
      <c r="AC199" s="4">
        <f>Table1[[#This Row],[ScenarioRev]] - Table1[[#This Row],[ScenarioCostOfGoods]]</f>
        <v>95.213999999999942</v>
      </c>
      <c r="AD199" s="6">
        <v>0.13500000000000001</v>
      </c>
      <c r="AE199" s="6">
        <f>MIN(Table1[[#This Row],[DiscountPct]], WhatIf!$B$2)</f>
        <v>0.13500000000000001</v>
      </c>
      <c r="AF199" s="6">
        <f>IF(Table1[[#This Row],[DiscountPct]]&gt;0.2, 1, 0)</f>
        <v>0</v>
      </c>
      <c r="AG199" s="6" t="str">
        <f t="shared" si="50"/>
        <v>Low</v>
      </c>
      <c r="AH199" s="6">
        <f t="shared" si="51"/>
        <v>0.11286815653552899</v>
      </c>
      <c r="AI199" s="5">
        <v>21</v>
      </c>
      <c r="AJ199" s="6">
        <f>Table1[[#This Row],[Quantity]]*(1+WhatIf!$B$4)</f>
        <v>23.1</v>
      </c>
    </row>
    <row r="200" spans="1:36" x14ac:dyDescent="0.3">
      <c r="A200" t="s">
        <v>209</v>
      </c>
      <c r="B200" s="3">
        <v>45557</v>
      </c>
      <c r="C200" s="3">
        <v>45566</v>
      </c>
      <c r="D200" s="3">
        <f t="shared" si="40"/>
        <v>45566</v>
      </c>
      <c r="E200" s="4">
        <f t="shared" si="39"/>
        <v>9</v>
      </c>
      <c r="F200" s="4">
        <f t="shared" si="41"/>
        <v>9</v>
      </c>
      <c r="G200" s="4">
        <f>IF(Table1[[#This Row],[CorrectedLeadTimeDays]]&lt;=7, 1, 0)</f>
        <v>0</v>
      </c>
      <c r="H200" s="4" t="str">
        <f t="shared" si="42"/>
        <v>September</v>
      </c>
      <c r="I200" s="4" t="str">
        <f t="shared" si="43"/>
        <v>Q3-2024</v>
      </c>
      <c r="J200" s="4" t="str">
        <f t="shared" si="44"/>
        <v>2023-01</v>
      </c>
      <c r="K200" s="3">
        <f t="shared" si="45"/>
        <v>44955</v>
      </c>
      <c r="L200" t="s">
        <v>648</v>
      </c>
      <c r="M200" t="s">
        <v>655</v>
      </c>
      <c r="N200" t="s">
        <v>670</v>
      </c>
      <c r="O200" t="s">
        <v>703</v>
      </c>
      <c r="P200" t="s">
        <v>708</v>
      </c>
      <c r="Q200" t="s">
        <v>723</v>
      </c>
      <c r="R200">
        <f t="shared" si="46"/>
        <v>19</v>
      </c>
      <c r="S200" t="s">
        <v>732</v>
      </c>
      <c r="T200" t="s">
        <v>929</v>
      </c>
      <c r="U200" s="4">
        <v>1378.8</v>
      </c>
      <c r="V200" s="4">
        <f>Table1[[#This Row],[UnitCost]]*(1+WhatIf!$B$3)</f>
        <v>1447.74</v>
      </c>
      <c r="W200" s="4">
        <f t="shared" si="47"/>
        <v>26197.200000000001</v>
      </c>
      <c r="X200" s="4">
        <f>Table1[[#This Row],[ScenarioRev]]-Table1[[#This Row],[ScenarioUnitCost]]</f>
        <v>32863.071876000009</v>
      </c>
      <c r="Y200" s="4">
        <v>1952.04</v>
      </c>
      <c r="Z200" s="4">
        <f t="shared" si="48"/>
        <v>31191.64716</v>
      </c>
      <c r="AA200" s="4">
        <f>Table1[[#This Row],[ScenarioQuanity]]*Table1[[#This Row],[UnitPrice]]*(1-Table1[[#This Row],[ScenarioDiscPct]])</f>
        <v>34310.811876000007</v>
      </c>
      <c r="AB200" s="4">
        <f t="shared" si="49"/>
        <v>4994.4471599999997</v>
      </c>
      <c r="AC200" s="4">
        <f>Table1[[#This Row],[ScenarioRev]] - Table1[[#This Row],[ScenarioCostOfGoods]]</f>
        <v>1447.739999999998</v>
      </c>
      <c r="AD200" s="6">
        <v>0.159</v>
      </c>
      <c r="AE200" s="6">
        <f>MIN(Table1[[#This Row],[DiscountPct]], WhatIf!$B$2)</f>
        <v>0.159</v>
      </c>
      <c r="AF200" s="6">
        <f>IF(Table1[[#This Row],[DiscountPct]]&gt;0.2, 1, 0)</f>
        <v>0</v>
      </c>
      <c r="AG200" s="6" t="str">
        <f t="shared" si="50"/>
        <v>High</v>
      </c>
      <c r="AH200" s="6">
        <f t="shared" si="51"/>
        <v>0.16012130216723058</v>
      </c>
      <c r="AI200" s="5">
        <v>19</v>
      </c>
      <c r="AJ200" s="6">
        <f>Table1[[#This Row],[Quantity]]*(1+WhatIf!$B$4)</f>
        <v>20.900000000000002</v>
      </c>
    </row>
    <row r="201" spans="1:36" x14ac:dyDescent="0.3">
      <c r="A201" t="s">
        <v>393</v>
      </c>
      <c r="B201" s="3">
        <v>45694</v>
      </c>
      <c r="C201" s="3">
        <v>45703</v>
      </c>
      <c r="D201" s="3">
        <f t="shared" si="40"/>
        <v>45703</v>
      </c>
      <c r="E201" s="4">
        <f t="shared" si="39"/>
        <v>9</v>
      </c>
      <c r="F201" s="4">
        <f t="shared" si="41"/>
        <v>9</v>
      </c>
      <c r="G201" s="4">
        <f>IF(Table1[[#This Row],[CorrectedLeadTimeDays]]&lt;=7, 1, 0)</f>
        <v>0</v>
      </c>
      <c r="H201" s="4" t="str">
        <f t="shared" si="42"/>
        <v>February</v>
      </c>
      <c r="I201" s="4" t="str">
        <f t="shared" si="43"/>
        <v>Q1-2025</v>
      </c>
      <c r="J201" s="4" t="str">
        <f t="shared" si="44"/>
        <v>2023-01</v>
      </c>
      <c r="K201" s="3">
        <f t="shared" si="45"/>
        <v>44955</v>
      </c>
      <c r="L201" t="s">
        <v>648</v>
      </c>
      <c r="M201" t="s">
        <v>655</v>
      </c>
      <c r="N201" t="s">
        <v>670</v>
      </c>
      <c r="O201" t="s">
        <v>703</v>
      </c>
      <c r="P201" t="s">
        <v>710</v>
      </c>
      <c r="Q201" t="s">
        <v>721</v>
      </c>
      <c r="R201">
        <f t="shared" si="46"/>
        <v>24</v>
      </c>
      <c r="S201" t="s">
        <v>729</v>
      </c>
      <c r="T201" t="s">
        <v>1113</v>
      </c>
      <c r="U201" s="4">
        <v>837.39</v>
      </c>
      <c r="V201" s="4">
        <f>Table1[[#This Row],[UnitCost]]*(1+WhatIf!$B$3)</f>
        <v>879.2595</v>
      </c>
      <c r="W201" s="4">
        <f t="shared" si="47"/>
        <v>15073.02</v>
      </c>
      <c r="X201" s="4">
        <f>Table1[[#This Row],[ScenarioRev]]-Table1[[#This Row],[ScenarioUnitCost]]</f>
        <v>35640.782388000007</v>
      </c>
      <c r="Y201" s="4">
        <v>1905.42</v>
      </c>
      <c r="Z201" s="4">
        <f t="shared" si="48"/>
        <v>33200.038079999998</v>
      </c>
      <c r="AA201" s="4">
        <f>Table1[[#This Row],[ScenarioQuanity]]*Table1[[#This Row],[UnitPrice]]*(1-Table1[[#This Row],[ScenarioDiscPct]])</f>
        <v>36520.041888000007</v>
      </c>
      <c r="AB201" s="4">
        <f t="shared" si="49"/>
        <v>18127.018079999998</v>
      </c>
      <c r="AC201" s="4">
        <f>Table1[[#This Row],[ScenarioRev]] - Table1[[#This Row],[ScenarioCostOfGoods]]</f>
        <v>879.25950000000012</v>
      </c>
      <c r="AD201" s="6">
        <v>3.2000000000000001E-2</v>
      </c>
      <c r="AE201" s="6">
        <f>MIN(Table1[[#This Row],[DiscountPct]], WhatIf!$B$2)</f>
        <v>3.2000000000000001E-2</v>
      </c>
      <c r="AF201" s="6">
        <f>IF(Table1[[#This Row],[DiscountPct]]&gt;0.2, 1, 0)</f>
        <v>0</v>
      </c>
      <c r="AG201" s="6" t="str">
        <f t="shared" si="50"/>
        <v>High</v>
      </c>
      <c r="AH201" s="6">
        <f t="shared" si="51"/>
        <v>0.54599389423350919</v>
      </c>
      <c r="AI201" s="5">
        <v>18</v>
      </c>
      <c r="AJ201" s="6">
        <f>Table1[[#This Row],[Quantity]]*(1+WhatIf!$B$4)</f>
        <v>19.8</v>
      </c>
    </row>
    <row r="202" spans="1:36" x14ac:dyDescent="0.3">
      <c r="A202" t="s">
        <v>279</v>
      </c>
      <c r="B202" s="3">
        <v>45902</v>
      </c>
      <c r="C202" s="3">
        <v>45911</v>
      </c>
      <c r="D202" s="3">
        <f t="shared" si="40"/>
        <v>45911</v>
      </c>
      <c r="E202" s="4">
        <f t="shared" si="39"/>
        <v>9</v>
      </c>
      <c r="F202" s="4">
        <f t="shared" si="41"/>
        <v>9</v>
      </c>
      <c r="G202" s="4">
        <f>IF(Table1[[#This Row],[CorrectedLeadTimeDays]]&lt;=7, 1, 0)</f>
        <v>0</v>
      </c>
      <c r="H202" s="4" t="str">
        <f t="shared" si="42"/>
        <v>September</v>
      </c>
      <c r="I202" s="4" t="str">
        <f t="shared" si="43"/>
        <v>Q3-2025</v>
      </c>
      <c r="J202" s="4" t="str">
        <f t="shared" si="44"/>
        <v>2023-01</v>
      </c>
      <c r="K202" s="3">
        <f t="shared" si="45"/>
        <v>44928</v>
      </c>
      <c r="L202" t="s">
        <v>648</v>
      </c>
      <c r="M202" t="s">
        <v>653</v>
      </c>
      <c r="N202" t="s">
        <v>667</v>
      </c>
      <c r="O202" t="s">
        <v>701</v>
      </c>
      <c r="P202" t="s">
        <v>710</v>
      </c>
      <c r="Q202" t="s">
        <v>724</v>
      </c>
      <c r="R202">
        <f t="shared" si="46"/>
        <v>32</v>
      </c>
      <c r="S202" t="s">
        <v>728</v>
      </c>
      <c r="T202" t="s">
        <v>999</v>
      </c>
      <c r="U202" s="4">
        <v>1207.6300000000001</v>
      </c>
      <c r="V202" s="4">
        <f>Table1[[#This Row],[UnitCost]]*(1+WhatIf!$B$3)</f>
        <v>1268.0115000000001</v>
      </c>
      <c r="W202" s="4">
        <f t="shared" si="47"/>
        <v>20529.710000000003</v>
      </c>
      <c r="X202" s="4">
        <f>Table1[[#This Row],[ScenarioRev]]-Table1[[#This Row],[ScenarioUnitCost]]</f>
        <v>12589.262964000001</v>
      </c>
      <c r="Y202" s="4">
        <v>921.68</v>
      </c>
      <c r="Z202" s="4">
        <f t="shared" si="48"/>
        <v>12597.52224</v>
      </c>
      <c r="AA202" s="4">
        <f>Table1[[#This Row],[ScenarioQuanity]]*Table1[[#This Row],[UnitPrice]]*(1-Table1[[#This Row],[ScenarioDiscPct]])</f>
        <v>13857.274464000002</v>
      </c>
      <c r="AB202" s="4">
        <f t="shared" si="49"/>
        <v>-7932.1877600000025</v>
      </c>
      <c r="AC202" s="4">
        <f>Table1[[#This Row],[ScenarioRev]] - Table1[[#This Row],[ScenarioCostOfGoods]]</f>
        <v>1268.0115000000005</v>
      </c>
      <c r="AD202" s="6">
        <v>0.19600000000000001</v>
      </c>
      <c r="AE202" s="6">
        <f>MIN(Table1[[#This Row],[DiscountPct]], WhatIf!$B$2)</f>
        <v>0.19600000000000001</v>
      </c>
      <c r="AF202" s="6">
        <f>IF(Table1[[#This Row],[DiscountPct]]&gt;0.2, 1, 0)</f>
        <v>0</v>
      </c>
      <c r="AG202" s="6" t="str">
        <f t="shared" si="50"/>
        <v>High</v>
      </c>
      <c r="AH202" s="6">
        <f t="shared" si="51"/>
        <v>-0.62966253274897988</v>
      </c>
      <c r="AI202" s="5">
        <v>17</v>
      </c>
      <c r="AJ202" s="6">
        <f>Table1[[#This Row],[Quantity]]*(1+WhatIf!$B$4)</f>
        <v>18.700000000000003</v>
      </c>
    </row>
    <row r="203" spans="1:36" x14ac:dyDescent="0.3">
      <c r="A203" t="s">
        <v>258</v>
      </c>
      <c r="B203" s="3">
        <v>45035</v>
      </c>
      <c r="C203" s="3">
        <v>45044</v>
      </c>
      <c r="D203" s="3">
        <f t="shared" si="40"/>
        <v>45044</v>
      </c>
      <c r="E203" s="4">
        <f t="shared" si="39"/>
        <v>9</v>
      </c>
      <c r="F203" s="4">
        <f t="shared" si="41"/>
        <v>9</v>
      </c>
      <c r="G203" s="4">
        <f>IF(Table1[[#This Row],[CorrectedLeadTimeDays]]&lt;=7, 1, 0)</f>
        <v>0</v>
      </c>
      <c r="H203" s="4" t="str">
        <f t="shared" si="42"/>
        <v>April</v>
      </c>
      <c r="I203" s="4" t="str">
        <f t="shared" si="43"/>
        <v>Q2-2023</v>
      </c>
      <c r="J203" s="4" t="str">
        <f t="shared" si="44"/>
        <v>2023-01</v>
      </c>
      <c r="K203" s="3">
        <f t="shared" si="45"/>
        <v>44955</v>
      </c>
      <c r="L203" t="s">
        <v>648</v>
      </c>
      <c r="M203" t="s">
        <v>655</v>
      </c>
      <c r="N203" t="s">
        <v>692</v>
      </c>
      <c r="O203" t="s">
        <v>701</v>
      </c>
      <c r="P203" t="s">
        <v>710</v>
      </c>
      <c r="Q203" t="s">
        <v>724</v>
      </c>
      <c r="R203">
        <f t="shared" si="46"/>
        <v>2</v>
      </c>
      <c r="S203" t="s">
        <v>730</v>
      </c>
      <c r="T203" t="s">
        <v>978</v>
      </c>
      <c r="U203" s="4">
        <v>1013.54</v>
      </c>
      <c r="V203" s="4">
        <f>Table1[[#This Row],[UnitCost]]*(1+WhatIf!$B$3)</f>
        <v>1064.2170000000001</v>
      </c>
      <c r="W203" s="4">
        <f t="shared" si="47"/>
        <v>16216.64</v>
      </c>
      <c r="X203" s="4">
        <f>Table1[[#This Row],[ScenarioRev]]-Table1[[#This Row],[ScenarioUnitCost]]</f>
        <v>12409.3266</v>
      </c>
      <c r="Y203" s="4">
        <v>927.93</v>
      </c>
      <c r="Z203" s="4">
        <f t="shared" si="48"/>
        <v>12248.675999999999</v>
      </c>
      <c r="AA203" s="4">
        <f>Table1[[#This Row],[ScenarioQuanity]]*Table1[[#This Row],[UnitPrice]]*(1-Table1[[#This Row],[ScenarioDiscPct]])</f>
        <v>13473.543600000001</v>
      </c>
      <c r="AB203" s="4">
        <f t="shared" si="49"/>
        <v>-3967.9639999999999</v>
      </c>
      <c r="AC203" s="4">
        <f>Table1[[#This Row],[ScenarioRev]] - Table1[[#This Row],[ScenarioCostOfGoods]]</f>
        <v>1064.2170000000006</v>
      </c>
      <c r="AD203" s="6">
        <v>0.17499999999999999</v>
      </c>
      <c r="AE203" s="6">
        <f>MIN(Table1[[#This Row],[DiscountPct]], WhatIf!$B$2)</f>
        <v>0.17499999999999999</v>
      </c>
      <c r="AF203" s="6">
        <f>IF(Table1[[#This Row],[DiscountPct]]&gt;0.2, 1, 0)</f>
        <v>0</v>
      </c>
      <c r="AG203" s="6" t="str">
        <f t="shared" si="50"/>
        <v>High</v>
      </c>
      <c r="AH203" s="6">
        <f t="shared" si="51"/>
        <v>-0.32395044166406234</v>
      </c>
      <c r="AI203" s="5">
        <v>16</v>
      </c>
      <c r="AJ203" s="6">
        <f>Table1[[#This Row],[Quantity]]*(1+WhatIf!$B$4)</f>
        <v>17.600000000000001</v>
      </c>
    </row>
    <row r="204" spans="1:36" x14ac:dyDescent="0.3">
      <c r="A204" t="s">
        <v>447</v>
      </c>
      <c r="B204" s="3">
        <v>45636</v>
      </c>
      <c r="C204" s="3">
        <v>45645</v>
      </c>
      <c r="D204" s="3">
        <f t="shared" si="40"/>
        <v>45645</v>
      </c>
      <c r="E204" s="4">
        <f t="shared" si="39"/>
        <v>9</v>
      </c>
      <c r="F204" s="4">
        <f t="shared" si="41"/>
        <v>9</v>
      </c>
      <c r="G204" s="4">
        <f>IF(Table1[[#This Row],[CorrectedLeadTimeDays]]&lt;=7, 1, 0)</f>
        <v>0</v>
      </c>
      <c r="H204" s="4" t="str">
        <f t="shared" si="42"/>
        <v>December</v>
      </c>
      <c r="I204" s="4" t="str">
        <f t="shared" si="43"/>
        <v>Q4-2024</v>
      </c>
      <c r="J204" s="4" t="str">
        <f t="shared" si="44"/>
        <v>2023-01</v>
      </c>
      <c r="K204" s="3">
        <f t="shared" si="45"/>
        <v>44941</v>
      </c>
      <c r="L204" t="s">
        <v>646</v>
      </c>
      <c r="M204" t="s">
        <v>651</v>
      </c>
      <c r="N204" t="s">
        <v>665</v>
      </c>
      <c r="O204" t="s">
        <v>701</v>
      </c>
      <c r="P204" t="s">
        <v>707</v>
      </c>
      <c r="Q204" t="s">
        <v>719</v>
      </c>
      <c r="R204">
        <f t="shared" si="46"/>
        <v>22</v>
      </c>
      <c r="S204" t="s">
        <v>732</v>
      </c>
      <c r="T204" t="s">
        <v>1166</v>
      </c>
      <c r="U204" s="4">
        <v>488.68</v>
      </c>
      <c r="V204" s="4">
        <f>Table1[[#This Row],[UnitCost]]*(1+WhatIf!$B$3)</f>
        <v>513.11400000000003</v>
      </c>
      <c r="W204" s="4">
        <f t="shared" si="47"/>
        <v>6841.52</v>
      </c>
      <c r="X204" s="4">
        <f>Table1[[#This Row],[ScenarioRev]]-Table1[[#This Row],[ScenarioUnitCost]]</f>
        <v>13751.640504000003</v>
      </c>
      <c r="Y204" s="4">
        <v>984.36</v>
      </c>
      <c r="Z204" s="4">
        <f t="shared" si="48"/>
        <v>12967.958640000001</v>
      </c>
      <c r="AA204" s="4">
        <f>Table1[[#This Row],[ScenarioQuanity]]*Table1[[#This Row],[UnitPrice]]*(1-Table1[[#This Row],[ScenarioDiscPct]])</f>
        <v>14264.754504000002</v>
      </c>
      <c r="AB204" s="4">
        <f t="shared" si="49"/>
        <v>6126.4386400000003</v>
      </c>
      <c r="AC204" s="4">
        <f>Table1[[#This Row],[ScenarioRev]] - Table1[[#This Row],[ScenarioCostOfGoods]]</f>
        <v>513.11399999999958</v>
      </c>
      <c r="AD204" s="6">
        <v>5.8999999999999997E-2</v>
      </c>
      <c r="AE204" s="6">
        <f>MIN(Table1[[#This Row],[DiscountPct]], WhatIf!$B$2)</f>
        <v>5.8999999999999997E-2</v>
      </c>
      <c r="AF204" s="6">
        <f>IF(Table1[[#This Row],[DiscountPct]]&gt;0.2, 1, 0)</f>
        <v>0</v>
      </c>
      <c r="AG204" s="6" t="str">
        <f t="shared" si="50"/>
        <v>High</v>
      </c>
      <c r="AH204" s="6">
        <f t="shared" si="51"/>
        <v>0.47242891576649876</v>
      </c>
      <c r="AI204" s="5">
        <v>14</v>
      </c>
      <c r="AJ204" s="6">
        <f>Table1[[#This Row],[Quantity]]*(1+WhatIf!$B$4)</f>
        <v>15.400000000000002</v>
      </c>
    </row>
    <row r="205" spans="1:36" x14ac:dyDescent="0.3">
      <c r="A205" t="s">
        <v>300</v>
      </c>
      <c r="B205" s="3">
        <v>45751</v>
      </c>
      <c r="C205" s="3">
        <v>45760</v>
      </c>
      <c r="D205" s="3">
        <f t="shared" si="40"/>
        <v>45760</v>
      </c>
      <c r="E205" s="4">
        <f t="shared" si="39"/>
        <v>9</v>
      </c>
      <c r="F205" s="4">
        <f t="shared" si="41"/>
        <v>9</v>
      </c>
      <c r="G205" s="4">
        <f>IF(Table1[[#This Row],[CorrectedLeadTimeDays]]&lt;=7, 1, 0)</f>
        <v>0</v>
      </c>
      <c r="H205" s="4" t="str">
        <f t="shared" si="42"/>
        <v>April</v>
      </c>
      <c r="I205" s="4" t="str">
        <f t="shared" si="43"/>
        <v>Q2-2025</v>
      </c>
      <c r="J205" s="4" t="str">
        <f t="shared" si="44"/>
        <v>2023-01</v>
      </c>
      <c r="K205" s="3">
        <f t="shared" si="45"/>
        <v>44948</v>
      </c>
      <c r="L205" t="s">
        <v>649</v>
      </c>
      <c r="M205" t="s">
        <v>656</v>
      </c>
      <c r="N205" t="s">
        <v>684</v>
      </c>
      <c r="O205" t="s">
        <v>704</v>
      </c>
      <c r="P205" t="s">
        <v>709</v>
      </c>
      <c r="Q205" t="s">
        <v>721</v>
      </c>
      <c r="R205">
        <f t="shared" si="46"/>
        <v>26</v>
      </c>
      <c r="S205" t="s">
        <v>730</v>
      </c>
      <c r="T205" t="s">
        <v>1020</v>
      </c>
      <c r="U205" s="4">
        <v>7.02</v>
      </c>
      <c r="V205" s="4">
        <f>Table1[[#This Row],[UnitCost]]*(1+WhatIf!$B$3)</f>
        <v>7.3709999999999996</v>
      </c>
      <c r="W205" s="4">
        <f t="shared" si="47"/>
        <v>98.28</v>
      </c>
      <c r="X205" s="4">
        <f>Table1[[#This Row],[ScenarioRev]]-Table1[[#This Row],[ScenarioUnitCost]]</f>
        <v>76.381592000000026</v>
      </c>
      <c r="Y205" s="4">
        <v>6.28</v>
      </c>
      <c r="Z205" s="4">
        <f t="shared" si="48"/>
        <v>76.138720000000006</v>
      </c>
      <c r="AA205" s="4">
        <f>Table1[[#This Row],[ScenarioQuanity]]*Table1[[#This Row],[UnitPrice]]*(1-Table1[[#This Row],[ScenarioDiscPct]])</f>
        <v>83.752592000000021</v>
      </c>
      <c r="AB205" s="4">
        <f t="shared" si="49"/>
        <v>-22.141279999999995</v>
      </c>
      <c r="AC205" s="4">
        <f>Table1[[#This Row],[ScenarioRev]] - Table1[[#This Row],[ScenarioCostOfGoods]]</f>
        <v>7.3709999999999951</v>
      </c>
      <c r="AD205" s="6">
        <v>0.13400000000000001</v>
      </c>
      <c r="AE205" s="6">
        <f>MIN(Table1[[#This Row],[DiscountPct]], WhatIf!$B$2)</f>
        <v>0.13400000000000001</v>
      </c>
      <c r="AF205" s="6">
        <f>IF(Table1[[#This Row],[DiscountPct]]&gt;0.2, 1, 0)</f>
        <v>0</v>
      </c>
      <c r="AG205" s="6" t="str">
        <f t="shared" si="50"/>
        <v>Low</v>
      </c>
      <c r="AH205" s="6">
        <f t="shared" si="51"/>
        <v>-0.29080184169106066</v>
      </c>
      <c r="AI205" s="5">
        <v>14</v>
      </c>
      <c r="AJ205" s="6">
        <f>Table1[[#This Row],[Quantity]]*(1+WhatIf!$B$4)</f>
        <v>15.400000000000002</v>
      </c>
    </row>
    <row r="206" spans="1:36" x14ac:dyDescent="0.3">
      <c r="A206" t="s">
        <v>477</v>
      </c>
      <c r="B206" s="3">
        <v>45757</v>
      </c>
      <c r="C206" s="3">
        <v>45766</v>
      </c>
      <c r="D206" s="3">
        <f t="shared" si="40"/>
        <v>45766</v>
      </c>
      <c r="E206" s="4">
        <f t="shared" si="39"/>
        <v>9</v>
      </c>
      <c r="F206" s="4">
        <f t="shared" si="41"/>
        <v>9</v>
      </c>
      <c r="G206" s="4">
        <f>IF(Table1[[#This Row],[CorrectedLeadTimeDays]]&lt;=7, 1, 0)</f>
        <v>0</v>
      </c>
      <c r="H206" s="4" t="str">
        <f t="shared" si="42"/>
        <v>April</v>
      </c>
      <c r="I206" s="4" t="str">
        <f t="shared" si="43"/>
        <v>Q2-2025</v>
      </c>
      <c r="J206" s="4" t="str">
        <f t="shared" si="44"/>
        <v>2023-01</v>
      </c>
      <c r="K206" s="3">
        <f t="shared" si="45"/>
        <v>44933</v>
      </c>
      <c r="L206" t="s">
        <v>646</v>
      </c>
      <c r="M206" t="s">
        <v>661</v>
      </c>
      <c r="N206" t="s">
        <v>687</v>
      </c>
      <c r="O206" t="s">
        <v>706</v>
      </c>
      <c r="Q206" t="s">
        <v>715</v>
      </c>
      <c r="R206">
        <f t="shared" si="46"/>
        <v>27</v>
      </c>
      <c r="S206" t="s">
        <v>729</v>
      </c>
      <c r="T206" t="s">
        <v>1196</v>
      </c>
      <c r="U206" s="4">
        <v>113.74</v>
      </c>
      <c r="V206" s="4">
        <f>Table1[[#This Row],[UnitCost]]*(1+WhatIf!$B$3)</f>
        <v>119.42700000000001</v>
      </c>
      <c r="W206" s="4">
        <f t="shared" si="47"/>
        <v>1478.62</v>
      </c>
      <c r="X206" s="4">
        <f>Table1[[#This Row],[ScenarioRev]]-Table1[[#This Row],[ScenarioUnitCost]]</f>
        <v>1956.26376</v>
      </c>
      <c r="Y206" s="4">
        <v>165.7</v>
      </c>
      <c r="Z206" s="4">
        <f t="shared" si="48"/>
        <v>1886.9915999999998</v>
      </c>
      <c r="AA206" s="4">
        <f>Table1[[#This Row],[ScenarioQuanity]]*Table1[[#This Row],[UnitPrice]]*(1-Table1[[#This Row],[ScenarioDiscPct]])</f>
        <v>2075.69076</v>
      </c>
      <c r="AB206" s="4">
        <f t="shared" si="49"/>
        <v>408.37159999999994</v>
      </c>
      <c r="AC206" s="4">
        <f>Table1[[#This Row],[ScenarioRev]] - Table1[[#This Row],[ScenarioCostOfGoods]]</f>
        <v>119.42699999999991</v>
      </c>
      <c r="AD206" s="6">
        <v>0.124</v>
      </c>
      <c r="AE206" s="6">
        <f>MIN(Table1[[#This Row],[DiscountPct]], WhatIf!$B$2)</f>
        <v>0.124</v>
      </c>
      <c r="AF206" s="6">
        <f>IF(Table1[[#This Row],[DiscountPct]]&gt;0.2, 1, 0)</f>
        <v>0</v>
      </c>
      <c r="AG206" s="6" t="str">
        <f t="shared" si="50"/>
        <v>Low</v>
      </c>
      <c r="AH206" s="6">
        <f t="shared" si="51"/>
        <v>0.21641410592394794</v>
      </c>
      <c r="AI206" s="5">
        <v>13</v>
      </c>
      <c r="AJ206" s="6">
        <f>Table1[[#This Row],[Quantity]]*(1+WhatIf!$B$4)</f>
        <v>14.3</v>
      </c>
    </row>
    <row r="207" spans="1:36" x14ac:dyDescent="0.3">
      <c r="A207" t="s">
        <v>219</v>
      </c>
      <c r="B207" s="3">
        <v>45035</v>
      </c>
      <c r="C207" s="3">
        <v>45044</v>
      </c>
      <c r="D207" s="3">
        <f t="shared" si="40"/>
        <v>45044</v>
      </c>
      <c r="E207" s="4">
        <f t="shared" si="39"/>
        <v>9</v>
      </c>
      <c r="F207" s="4">
        <f t="shared" si="41"/>
        <v>9</v>
      </c>
      <c r="G207" s="4">
        <f>IF(Table1[[#This Row],[CorrectedLeadTimeDays]]&lt;=7, 1, 0)</f>
        <v>0</v>
      </c>
      <c r="H207" s="4" t="str">
        <f t="shared" si="42"/>
        <v>April</v>
      </c>
      <c r="I207" s="4" t="str">
        <f t="shared" si="43"/>
        <v>Q2-2023</v>
      </c>
      <c r="J207" s="4" t="str">
        <f t="shared" si="44"/>
        <v>2023-01</v>
      </c>
      <c r="K207" s="3">
        <f t="shared" si="45"/>
        <v>44948</v>
      </c>
      <c r="L207" t="s">
        <v>649</v>
      </c>
      <c r="M207" t="s">
        <v>656</v>
      </c>
      <c r="N207" t="s">
        <v>671</v>
      </c>
      <c r="O207" t="s">
        <v>702</v>
      </c>
      <c r="P207" t="s">
        <v>708</v>
      </c>
      <c r="Q207" t="s">
        <v>718</v>
      </c>
      <c r="R207">
        <f t="shared" si="46"/>
        <v>2</v>
      </c>
      <c r="S207" t="s">
        <v>732</v>
      </c>
      <c r="T207" t="s">
        <v>939</v>
      </c>
      <c r="U207" s="4">
        <v>1178.42</v>
      </c>
      <c r="V207" s="4">
        <f>Table1[[#This Row],[UnitCost]]*(1+WhatIf!$B$3)</f>
        <v>1237.3410000000001</v>
      </c>
      <c r="W207" s="4">
        <f t="shared" si="47"/>
        <v>12962.62</v>
      </c>
      <c r="X207" s="4">
        <f>Table1[[#This Row],[ScenarioRev]]-Table1[[#This Row],[ScenarioUnitCost]]</f>
        <v>27507.537096000004</v>
      </c>
      <c r="Y207" s="4">
        <v>2446.56</v>
      </c>
      <c r="Z207" s="4">
        <f t="shared" si="48"/>
        <v>26131.70736</v>
      </c>
      <c r="AA207" s="4">
        <f>Table1[[#This Row],[ScenarioQuanity]]*Table1[[#This Row],[UnitPrice]]*(1-Table1[[#This Row],[ScenarioDiscPct]])</f>
        <v>28744.878096000004</v>
      </c>
      <c r="AB207" s="4">
        <f t="shared" si="49"/>
        <v>13169.08736</v>
      </c>
      <c r="AC207" s="4">
        <f>Table1[[#This Row],[ScenarioRev]] - Table1[[#This Row],[ScenarioCostOfGoods]]</f>
        <v>1237.3410000000003</v>
      </c>
      <c r="AD207" s="6">
        <v>2.9000000000000001E-2</v>
      </c>
      <c r="AE207" s="6">
        <f>MIN(Table1[[#This Row],[DiscountPct]], WhatIf!$B$2)</f>
        <v>2.9000000000000001E-2</v>
      </c>
      <c r="AF207" s="6">
        <f>IF(Table1[[#This Row],[DiscountPct]]&gt;0.2, 1, 0)</f>
        <v>0</v>
      </c>
      <c r="AG207" s="6" t="str">
        <f t="shared" si="50"/>
        <v>High</v>
      </c>
      <c r="AH207" s="6">
        <f t="shared" si="51"/>
        <v>0.5039505141618883</v>
      </c>
      <c r="AI207" s="5">
        <v>11</v>
      </c>
      <c r="AJ207" s="6">
        <f>Table1[[#This Row],[Quantity]]*(1+WhatIf!$B$4)</f>
        <v>12.100000000000001</v>
      </c>
    </row>
    <row r="208" spans="1:36" x14ac:dyDescent="0.3">
      <c r="A208" t="s">
        <v>431</v>
      </c>
      <c r="B208" s="3">
        <v>45813</v>
      </c>
      <c r="C208" s="3">
        <v>45822</v>
      </c>
      <c r="D208" s="3">
        <f t="shared" si="40"/>
        <v>45822</v>
      </c>
      <c r="E208" s="4">
        <f t="shared" si="39"/>
        <v>9</v>
      </c>
      <c r="F208" s="4">
        <f t="shared" si="41"/>
        <v>9</v>
      </c>
      <c r="G208" s="4">
        <f>IF(Table1[[#This Row],[CorrectedLeadTimeDays]]&lt;=7, 1, 0)</f>
        <v>0</v>
      </c>
      <c r="H208" s="4" t="str">
        <f t="shared" si="42"/>
        <v>June</v>
      </c>
      <c r="I208" s="4" t="str">
        <f t="shared" si="43"/>
        <v>Q2-2025</v>
      </c>
      <c r="J208" s="4" t="str">
        <f t="shared" si="44"/>
        <v>2023-01</v>
      </c>
      <c r="K208" s="3">
        <f t="shared" si="45"/>
        <v>44955</v>
      </c>
      <c r="L208" t="s">
        <v>647</v>
      </c>
      <c r="M208" t="s">
        <v>654</v>
      </c>
      <c r="N208" t="s">
        <v>680</v>
      </c>
      <c r="O208" t="s">
        <v>703</v>
      </c>
      <c r="P208" t="s">
        <v>707</v>
      </c>
      <c r="Q208" t="s">
        <v>720</v>
      </c>
      <c r="R208">
        <f t="shared" si="46"/>
        <v>28</v>
      </c>
      <c r="S208" t="s">
        <v>733</v>
      </c>
      <c r="T208" t="s">
        <v>1150</v>
      </c>
      <c r="U208" s="4">
        <v>618.69000000000005</v>
      </c>
      <c r="V208" s="4">
        <f>Table1[[#This Row],[UnitCost]]*(1+WhatIf!$B$3)</f>
        <v>649.62450000000013</v>
      </c>
      <c r="W208" s="4">
        <f t="shared" si="47"/>
        <v>6805.59</v>
      </c>
      <c r="X208" s="4">
        <f>Table1[[#This Row],[ScenarioRev]]-Table1[[#This Row],[ScenarioUnitCost]]</f>
        <v>8116.7831500000011</v>
      </c>
      <c r="Y208" s="4">
        <v>796.15</v>
      </c>
      <c r="Z208" s="4">
        <f t="shared" si="48"/>
        <v>7969.4615000000003</v>
      </c>
      <c r="AA208" s="4">
        <f>Table1[[#This Row],[ScenarioQuanity]]*Table1[[#This Row],[UnitPrice]]*(1-Table1[[#This Row],[ScenarioDiscPct]])</f>
        <v>8766.407650000001</v>
      </c>
      <c r="AB208" s="4">
        <f t="shared" si="49"/>
        <v>1163.8715000000002</v>
      </c>
      <c r="AC208" s="4">
        <f>Table1[[#This Row],[ScenarioRev]] - Table1[[#This Row],[ScenarioCostOfGoods]]</f>
        <v>649.6244999999999</v>
      </c>
      <c r="AD208" s="6">
        <v>0.09</v>
      </c>
      <c r="AE208" s="6">
        <f>MIN(Table1[[#This Row],[DiscountPct]], WhatIf!$B$2)</f>
        <v>0.09</v>
      </c>
      <c r="AF208" s="6">
        <f>IF(Table1[[#This Row],[DiscountPct]]&gt;0.2, 1, 0)</f>
        <v>0</v>
      </c>
      <c r="AG208" s="6" t="str">
        <f t="shared" si="50"/>
        <v>Low</v>
      </c>
      <c r="AH208" s="6">
        <f t="shared" si="51"/>
        <v>0.14604142325049191</v>
      </c>
      <c r="AI208" s="5">
        <v>11</v>
      </c>
      <c r="AJ208" s="6">
        <f>Table1[[#This Row],[Quantity]]*(1+WhatIf!$B$4)</f>
        <v>12.100000000000001</v>
      </c>
    </row>
    <row r="209" spans="1:36" x14ac:dyDescent="0.3">
      <c r="A209" t="s">
        <v>252</v>
      </c>
      <c r="B209" s="3">
        <v>45258</v>
      </c>
      <c r="C209" s="3">
        <v>45267</v>
      </c>
      <c r="D209" s="3">
        <f t="shared" si="40"/>
        <v>45267</v>
      </c>
      <c r="E209" s="4">
        <f t="shared" si="39"/>
        <v>9</v>
      </c>
      <c r="F209" s="4">
        <f t="shared" si="41"/>
        <v>9</v>
      </c>
      <c r="G209" s="4">
        <f>IF(Table1[[#This Row],[CorrectedLeadTimeDays]]&lt;=7, 1, 0)</f>
        <v>0</v>
      </c>
      <c r="H209" s="4" t="str">
        <f t="shared" si="42"/>
        <v>November</v>
      </c>
      <c r="I209" s="4" t="str">
        <f t="shared" si="43"/>
        <v>Q4-2023</v>
      </c>
      <c r="J209" s="4" t="str">
        <f t="shared" si="44"/>
        <v>2023-01</v>
      </c>
      <c r="K209" s="3">
        <f t="shared" si="45"/>
        <v>44955</v>
      </c>
      <c r="L209" t="s">
        <v>647</v>
      </c>
      <c r="M209" t="s">
        <v>654</v>
      </c>
      <c r="N209" t="s">
        <v>680</v>
      </c>
      <c r="O209" t="s">
        <v>706</v>
      </c>
      <c r="P209" t="s">
        <v>709</v>
      </c>
      <c r="Q209" t="s">
        <v>716</v>
      </c>
      <c r="R209">
        <f t="shared" si="46"/>
        <v>9</v>
      </c>
      <c r="S209" t="s">
        <v>730</v>
      </c>
      <c r="T209" t="s">
        <v>972</v>
      </c>
      <c r="U209" s="4">
        <v>699.33</v>
      </c>
      <c r="V209" s="4">
        <f>Table1[[#This Row],[UnitCost]]*(1+WhatIf!$B$3)</f>
        <v>734.29650000000004</v>
      </c>
      <c r="W209" s="4">
        <f t="shared" si="47"/>
        <v>6993.3</v>
      </c>
      <c r="X209" s="4">
        <f>Table1[[#This Row],[ScenarioRev]]-Table1[[#This Row],[ScenarioUnitCost]]</f>
        <v>6954.7034999999996</v>
      </c>
      <c r="Y209" s="4">
        <v>873.75</v>
      </c>
      <c r="Z209" s="4">
        <f t="shared" si="48"/>
        <v>6684.1875</v>
      </c>
      <c r="AA209" s="4">
        <f>Table1[[#This Row],[ScenarioQuanity]]*Table1[[#This Row],[UnitPrice]]*(1-Table1[[#This Row],[ScenarioDiscPct]])</f>
        <v>7689</v>
      </c>
      <c r="AB209" s="4">
        <f t="shared" si="49"/>
        <v>-309.11250000000018</v>
      </c>
      <c r="AC209" s="4">
        <f>Table1[[#This Row],[ScenarioRev]] - Table1[[#This Row],[ScenarioCostOfGoods]]</f>
        <v>734.29650000000038</v>
      </c>
      <c r="AD209" s="6">
        <v>0.23499999999999999</v>
      </c>
      <c r="AE209" s="6">
        <f>MIN(Table1[[#This Row],[DiscountPct]], WhatIf!$B$2)</f>
        <v>0.2</v>
      </c>
      <c r="AF209" s="6">
        <f>IF(Table1[[#This Row],[DiscountPct]]&gt;0.2, 1, 0)</f>
        <v>1</v>
      </c>
      <c r="AG209" s="6" t="str">
        <f t="shared" si="50"/>
        <v>High</v>
      </c>
      <c r="AH209" s="6">
        <f t="shared" si="51"/>
        <v>-4.6245336475076469E-2</v>
      </c>
      <c r="AI209" s="5">
        <v>10</v>
      </c>
      <c r="AJ209" s="6">
        <f>Table1[[#This Row],[Quantity]]*(1+WhatIf!$B$4)</f>
        <v>11</v>
      </c>
    </row>
    <row r="210" spans="1:36" x14ac:dyDescent="0.3">
      <c r="A210" t="s">
        <v>349</v>
      </c>
      <c r="B210" s="3">
        <v>45391</v>
      </c>
      <c r="C210" s="3">
        <v>45400</v>
      </c>
      <c r="D210" s="3">
        <f t="shared" si="40"/>
        <v>45400</v>
      </c>
      <c r="E210" s="4">
        <f t="shared" si="39"/>
        <v>9</v>
      </c>
      <c r="F210" s="4">
        <f t="shared" si="41"/>
        <v>9</v>
      </c>
      <c r="G210" s="4">
        <f>IF(Table1[[#This Row],[CorrectedLeadTimeDays]]&lt;=7, 1, 0)</f>
        <v>0</v>
      </c>
      <c r="H210" s="4" t="str">
        <f t="shared" si="42"/>
        <v>April</v>
      </c>
      <c r="I210" s="4" t="str">
        <f t="shared" si="43"/>
        <v>Q2-2024</v>
      </c>
      <c r="J210" s="4" t="str">
        <f t="shared" si="44"/>
        <v>2023-01</v>
      </c>
      <c r="K210" s="3">
        <f t="shared" si="45"/>
        <v>44936</v>
      </c>
      <c r="L210" t="s">
        <v>649</v>
      </c>
      <c r="M210" t="s">
        <v>657</v>
      </c>
      <c r="N210" t="s">
        <v>679</v>
      </c>
      <c r="O210" t="s">
        <v>704</v>
      </c>
      <c r="P210" t="s">
        <v>708</v>
      </c>
      <c r="Q210" t="s">
        <v>718</v>
      </c>
      <c r="R210">
        <f t="shared" si="46"/>
        <v>14</v>
      </c>
      <c r="S210" t="s">
        <v>728</v>
      </c>
      <c r="T210" t="s">
        <v>1069</v>
      </c>
      <c r="U210" s="4">
        <v>1288.8499999999999</v>
      </c>
      <c r="V210" s="4">
        <f>Table1[[#This Row],[UnitCost]]*(1+WhatIf!$B$3)</f>
        <v>1353.2925</v>
      </c>
      <c r="W210" s="4">
        <f t="shared" si="47"/>
        <v>9021.9499999999989</v>
      </c>
      <c r="X210" s="4">
        <f>Table1[[#This Row],[ScenarioRev]]-Table1[[#This Row],[ScenarioUnitCost]]</f>
        <v>16487.986956000004</v>
      </c>
      <c r="Y210" s="4">
        <v>2751.84</v>
      </c>
      <c r="Z210" s="4">
        <f t="shared" si="48"/>
        <v>16219.34496</v>
      </c>
      <c r="AA210" s="4">
        <f>Table1[[#This Row],[ScenarioQuanity]]*Table1[[#This Row],[UnitPrice]]*(1-Table1[[#This Row],[ScenarioDiscPct]])</f>
        <v>17841.279456000004</v>
      </c>
      <c r="AB210" s="4">
        <f t="shared" si="49"/>
        <v>7197.3949600000014</v>
      </c>
      <c r="AC210" s="4">
        <f>Table1[[#This Row],[ScenarioRev]] - Table1[[#This Row],[ScenarioCostOfGoods]]</f>
        <v>1353.2924999999996</v>
      </c>
      <c r="AD210" s="6">
        <v>0.158</v>
      </c>
      <c r="AE210" s="6">
        <f>MIN(Table1[[#This Row],[DiscountPct]], WhatIf!$B$2)</f>
        <v>0.158</v>
      </c>
      <c r="AF210" s="6">
        <f>IF(Table1[[#This Row],[DiscountPct]]&gt;0.2, 1, 0)</f>
        <v>0</v>
      </c>
      <c r="AG210" s="6" t="str">
        <f t="shared" si="50"/>
        <v>High</v>
      </c>
      <c r="AH210" s="6">
        <f t="shared" si="51"/>
        <v>0.44375373837538756</v>
      </c>
      <c r="AI210" s="5">
        <v>7</v>
      </c>
      <c r="AJ210" s="6">
        <f>Table1[[#This Row],[Quantity]]*(1+WhatIf!$B$4)</f>
        <v>7.7000000000000011</v>
      </c>
    </row>
    <row r="211" spans="1:36" x14ac:dyDescent="0.3">
      <c r="A211" t="s">
        <v>134</v>
      </c>
      <c r="B211" s="3">
        <v>45847</v>
      </c>
      <c r="C211" s="3">
        <v>45856</v>
      </c>
      <c r="D211" s="3">
        <f t="shared" si="40"/>
        <v>45856</v>
      </c>
      <c r="E211" s="4">
        <f t="shared" si="39"/>
        <v>9</v>
      </c>
      <c r="F211" s="4">
        <f t="shared" si="41"/>
        <v>9</v>
      </c>
      <c r="G211" s="4">
        <f>IF(Table1[[#This Row],[CorrectedLeadTimeDays]]&lt;=7, 1, 0)</f>
        <v>0</v>
      </c>
      <c r="H211" s="4" t="str">
        <f t="shared" si="42"/>
        <v>July</v>
      </c>
      <c r="I211" s="4" t="str">
        <f t="shared" si="43"/>
        <v>Q3-2025</v>
      </c>
      <c r="J211" s="4" t="str">
        <f t="shared" si="44"/>
        <v>2023-01</v>
      </c>
      <c r="K211" s="3">
        <f t="shared" si="45"/>
        <v>44928</v>
      </c>
      <c r="L211" t="s">
        <v>648</v>
      </c>
      <c r="M211" t="s">
        <v>653</v>
      </c>
      <c r="N211" t="s">
        <v>688</v>
      </c>
      <c r="O211" t="s">
        <v>702</v>
      </c>
      <c r="P211" t="s">
        <v>710</v>
      </c>
      <c r="Q211" t="s">
        <v>714</v>
      </c>
      <c r="R211">
        <f t="shared" si="46"/>
        <v>30</v>
      </c>
      <c r="S211" t="s">
        <v>731</v>
      </c>
      <c r="T211" t="s">
        <v>853</v>
      </c>
      <c r="U211" s="4">
        <v>57.96</v>
      </c>
      <c r="V211" s="4">
        <f>Table1[[#This Row],[UnitCost]]*(1+WhatIf!$B$3)</f>
        <v>60.858000000000004</v>
      </c>
      <c r="W211" s="4">
        <f t="shared" si="47"/>
        <v>405.72</v>
      </c>
      <c r="X211" s="4">
        <f>Table1[[#This Row],[ScenarioRev]]-Table1[[#This Row],[ScenarioUnitCost]]</f>
        <v>591.36333900000022</v>
      </c>
      <c r="Y211" s="4">
        <v>88.51</v>
      </c>
      <c r="Z211" s="4">
        <f t="shared" si="48"/>
        <v>592.92849000000001</v>
      </c>
      <c r="AA211" s="4">
        <f>Table1[[#This Row],[ScenarioQuanity]]*Table1[[#This Row],[UnitPrice]]*(1-Table1[[#This Row],[ScenarioDiscPct]])</f>
        <v>652.22133900000017</v>
      </c>
      <c r="AB211" s="4">
        <f t="shared" si="49"/>
        <v>187.20848999999998</v>
      </c>
      <c r="AC211" s="4">
        <f>Table1[[#This Row],[ScenarioRev]] - Table1[[#This Row],[ScenarioCostOfGoods]]</f>
        <v>60.857999999999947</v>
      </c>
      <c r="AD211" s="6">
        <v>4.2999999999999997E-2</v>
      </c>
      <c r="AE211" s="6">
        <f>MIN(Table1[[#This Row],[DiscountPct]], WhatIf!$B$2)</f>
        <v>4.2999999999999997E-2</v>
      </c>
      <c r="AF211" s="6">
        <f>IF(Table1[[#This Row],[DiscountPct]]&gt;0.2, 1, 0)</f>
        <v>0</v>
      </c>
      <c r="AG211" s="6" t="str">
        <f t="shared" si="50"/>
        <v>Low</v>
      </c>
      <c r="AH211" s="6">
        <f t="shared" si="51"/>
        <v>0.3157353595877978</v>
      </c>
      <c r="AI211" s="5">
        <v>7</v>
      </c>
      <c r="AJ211" s="6">
        <f>Table1[[#This Row],[Quantity]]*(1+WhatIf!$B$4)</f>
        <v>7.7000000000000011</v>
      </c>
    </row>
    <row r="212" spans="1:36" x14ac:dyDescent="0.3">
      <c r="A212" t="s">
        <v>412</v>
      </c>
      <c r="B212" s="3">
        <v>45914</v>
      </c>
      <c r="C212" s="3">
        <v>45923</v>
      </c>
      <c r="D212" s="3">
        <f t="shared" si="40"/>
        <v>45923</v>
      </c>
      <c r="E212" s="4">
        <f t="shared" si="39"/>
        <v>9</v>
      </c>
      <c r="F212" s="4">
        <f t="shared" si="41"/>
        <v>9</v>
      </c>
      <c r="G212" s="4">
        <f>IF(Table1[[#This Row],[CorrectedLeadTimeDays]]&lt;=7, 1, 0)</f>
        <v>0</v>
      </c>
      <c r="H212" s="4" t="str">
        <f t="shared" si="42"/>
        <v>September</v>
      </c>
      <c r="I212" s="4" t="str">
        <f t="shared" si="43"/>
        <v>Q3-2025</v>
      </c>
      <c r="J212" s="4" t="str">
        <f t="shared" si="44"/>
        <v>2023-01</v>
      </c>
      <c r="K212" s="3">
        <f t="shared" si="45"/>
        <v>44933</v>
      </c>
      <c r="L212" t="s">
        <v>646</v>
      </c>
      <c r="M212" t="s">
        <v>661</v>
      </c>
      <c r="N212" t="s">
        <v>687</v>
      </c>
      <c r="O212" t="s">
        <v>703</v>
      </c>
      <c r="P212" t="s">
        <v>708</v>
      </c>
      <c r="Q212" t="s">
        <v>726</v>
      </c>
      <c r="R212">
        <f t="shared" si="46"/>
        <v>32</v>
      </c>
      <c r="S212" t="s">
        <v>727</v>
      </c>
      <c r="T212" t="s">
        <v>1131</v>
      </c>
      <c r="U212" s="4">
        <v>1310.3</v>
      </c>
      <c r="V212" s="4">
        <f>Table1[[#This Row],[UnitCost]]*(1+WhatIf!$B$3)</f>
        <v>1375.8150000000001</v>
      </c>
      <c r="W212" s="4">
        <f t="shared" si="47"/>
        <v>6551.5</v>
      </c>
      <c r="X212" s="4">
        <f>Table1[[#This Row],[ScenarioRev]]-Table1[[#This Row],[ScenarioUnitCost]]</f>
        <v>13128.282300000001</v>
      </c>
      <c r="Y212" s="4">
        <v>2875.8</v>
      </c>
      <c r="Z212" s="4">
        <f t="shared" si="48"/>
        <v>13185.543</v>
      </c>
      <c r="AA212" s="4">
        <f>Table1[[#This Row],[ScenarioQuanity]]*Table1[[#This Row],[UnitPrice]]*(1-Table1[[#This Row],[ScenarioDiscPct]])</f>
        <v>14504.097300000001</v>
      </c>
      <c r="AB212" s="4">
        <f t="shared" si="49"/>
        <v>6634.0429999999997</v>
      </c>
      <c r="AC212" s="4">
        <f>Table1[[#This Row],[ScenarioRev]] - Table1[[#This Row],[ScenarioCostOfGoods]]</f>
        <v>1375.8150000000005</v>
      </c>
      <c r="AD212" s="6">
        <v>8.3000000000000004E-2</v>
      </c>
      <c r="AE212" s="6">
        <f>MIN(Table1[[#This Row],[DiscountPct]], WhatIf!$B$2)</f>
        <v>8.3000000000000004E-2</v>
      </c>
      <c r="AF212" s="6">
        <f>IF(Table1[[#This Row],[DiscountPct]]&gt;0.2, 1, 0)</f>
        <v>0</v>
      </c>
      <c r="AG212" s="6" t="str">
        <f t="shared" si="50"/>
        <v>High</v>
      </c>
      <c r="AH212" s="6">
        <f t="shared" si="51"/>
        <v>0.50313005691157353</v>
      </c>
      <c r="AI212" s="5">
        <v>5</v>
      </c>
      <c r="AJ212" s="6">
        <f>Table1[[#This Row],[Quantity]]*(1+WhatIf!$B$4)</f>
        <v>5.5</v>
      </c>
    </row>
    <row r="213" spans="1:36" x14ac:dyDescent="0.3">
      <c r="A213" t="s">
        <v>523</v>
      </c>
      <c r="B213" s="3">
        <v>45608</v>
      </c>
      <c r="C213" s="3">
        <v>45617</v>
      </c>
      <c r="D213" s="3">
        <f t="shared" si="40"/>
        <v>45617</v>
      </c>
      <c r="E213" s="4">
        <f t="shared" si="39"/>
        <v>9</v>
      </c>
      <c r="F213" s="4">
        <f t="shared" si="41"/>
        <v>9</v>
      </c>
      <c r="G213" s="4">
        <f>IF(Table1[[#This Row],[CorrectedLeadTimeDays]]&lt;=7, 1, 0)</f>
        <v>0</v>
      </c>
      <c r="H213" s="4" t="str">
        <f t="shared" si="42"/>
        <v>November</v>
      </c>
      <c r="I213" s="4" t="str">
        <f t="shared" si="43"/>
        <v>Q4-2024</v>
      </c>
      <c r="J213" s="4" t="str">
        <f t="shared" si="44"/>
        <v>2023-01</v>
      </c>
      <c r="K213" s="3">
        <f t="shared" si="45"/>
        <v>44955</v>
      </c>
      <c r="L213" t="s">
        <v>647</v>
      </c>
      <c r="M213" t="s">
        <v>654</v>
      </c>
      <c r="N213" t="s">
        <v>691</v>
      </c>
      <c r="O213" t="s">
        <v>701</v>
      </c>
      <c r="P213" t="s">
        <v>711</v>
      </c>
      <c r="Q213" t="s">
        <v>722</v>
      </c>
      <c r="R213">
        <f t="shared" si="46"/>
        <v>21</v>
      </c>
      <c r="S213" t="s">
        <v>731</v>
      </c>
      <c r="T213" t="s">
        <v>1242</v>
      </c>
      <c r="U213" s="4">
        <v>903.41</v>
      </c>
      <c r="V213" s="4">
        <f>Table1[[#This Row],[UnitCost]]*(1+WhatIf!$B$3)</f>
        <v>948.58050000000003</v>
      </c>
      <c r="W213" s="4">
        <f t="shared" si="47"/>
        <v>4517.05</v>
      </c>
      <c r="X213" s="4">
        <f>Table1[[#This Row],[ScenarioRev]]-Table1[[#This Row],[ScenarioUnitCost]]</f>
        <v>8178.5909600000014</v>
      </c>
      <c r="Y213" s="4">
        <v>1860.41</v>
      </c>
      <c r="Z213" s="4">
        <f t="shared" si="48"/>
        <v>8297.4286000000011</v>
      </c>
      <c r="AA213" s="4">
        <f>Table1[[#This Row],[ScenarioQuanity]]*Table1[[#This Row],[UnitPrice]]*(1-Table1[[#This Row],[ScenarioDiscPct]])</f>
        <v>9127.1714600000014</v>
      </c>
      <c r="AB213" s="4">
        <f t="shared" si="49"/>
        <v>3780.3786000000009</v>
      </c>
      <c r="AC213" s="4">
        <f>Table1[[#This Row],[ScenarioRev]] - Table1[[#This Row],[ScenarioCostOfGoods]]</f>
        <v>948.58050000000003</v>
      </c>
      <c r="AD213" s="6">
        <v>0.108</v>
      </c>
      <c r="AE213" s="6">
        <f>MIN(Table1[[#This Row],[DiscountPct]], WhatIf!$B$2)</f>
        <v>0.108</v>
      </c>
      <c r="AF213" s="6">
        <f>IF(Table1[[#This Row],[DiscountPct]]&gt;0.2, 1, 0)</f>
        <v>0</v>
      </c>
      <c r="AG213" s="6" t="str">
        <f t="shared" si="50"/>
        <v>High</v>
      </c>
      <c r="AH213" s="6">
        <f t="shared" si="51"/>
        <v>0.455608451996803</v>
      </c>
      <c r="AI213" s="5">
        <v>5</v>
      </c>
      <c r="AJ213" s="6">
        <f>Table1[[#This Row],[Quantity]]*(1+WhatIf!$B$4)</f>
        <v>5.5</v>
      </c>
    </row>
    <row r="214" spans="1:36" x14ac:dyDescent="0.3">
      <c r="A214" t="s">
        <v>437</v>
      </c>
      <c r="B214" s="3">
        <v>45915</v>
      </c>
      <c r="C214" s="3">
        <v>45925</v>
      </c>
      <c r="D214" s="3">
        <f t="shared" si="40"/>
        <v>45925</v>
      </c>
      <c r="E214" s="4">
        <f t="shared" si="39"/>
        <v>10</v>
      </c>
      <c r="F214" s="4">
        <f t="shared" si="41"/>
        <v>10</v>
      </c>
      <c r="G214" s="4">
        <f>IF(Table1[[#This Row],[CorrectedLeadTimeDays]]&lt;=7, 1, 0)</f>
        <v>0</v>
      </c>
      <c r="H214" s="4" t="str">
        <f t="shared" si="42"/>
        <v>September</v>
      </c>
      <c r="I214" s="4" t="str">
        <f t="shared" si="43"/>
        <v>Q3-2025</v>
      </c>
      <c r="J214" s="4" t="str">
        <f t="shared" si="44"/>
        <v>2023-01</v>
      </c>
      <c r="K214" s="3">
        <f t="shared" si="45"/>
        <v>44955</v>
      </c>
      <c r="L214" t="s">
        <v>647</v>
      </c>
      <c r="M214" t="s">
        <v>654</v>
      </c>
      <c r="N214" t="s">
        <v>680</v>
      </c>
      <c r="O214" t="s">
        <v>704</v>
      </c>
      <c r="P214" t="s">
        <v>707</v>
      </c>
      <c r="Q214" t="s">
        <v>720</v>
      </c>
      <c r="R214">
        <f t="shared" si="46"/>
        <v>31</v>
      </c>
      <c r="S214" t="s">
        <v>730</v>
      </c>
      <c r="T214" t="s">
        <v>1156</v>
      </c>
      <c r="U214" s="4">
        <v>1488.91</v>
      </c>
      <c r="V214" s="4">
        <f>Table1[[#This Row],[UnitCost]]*(1+WhatIf!$B$3)</f>
        <v>1563.3555000000001</v>
      </c>
      <c r="W214" s="4">
        <f t="shared" si="47"/>
        <v>35733.840000000004</v>
      </c>
      <c r="X214" s="4">
        <f>Table1[[#This Row],[ScenarioRev]]-Table1[[#This Row],[ScenarioUnitCost]]</f>
        <v>31026.696852000001</v>
      </c>
      <c r="Y214" s="4">
        <v>1483.74</v>
      </c>
      <c r="Z214" s="4">
        <f t="shared" si="48"/>
        <v>29627.320319999999</v>
      </c>
      <c r="AA214" s="4">
        <f>Table1[[#This Row],[ScenarioQuanity]]*Table1[[#This Row],[UnitPrice]]*(1-Table1[[#This Row],[ScenarioDiscPct]])</f>
        <v>32590.052352000002</v>
      </c>
      <c r="AB214" s="4">
        <f t="shared" si="49"/>
        <v>-6106.5196800000049</v>
      </c>
      <c r="AC214" s="4">
        <f>Table1[[#This Row],[ScenarioRev]] - Table1[[#This Row],[ScenarioCostOfGoods]]</f>
        <v>1563.3555000000015</v>
      </c>
      <c r="AD214" s="6">
        <v>0.16800000000000001</v>
      </c>
      <c r="AE214" s="6">
        <f>MIN(Table1[[#This Row],[DiscountPct]], WhatIf!$B$2)</f>
        <v>0.16800000000000001</v>
      </c>
      <c r="AF214" s="6">
        <f>IF(Table1[[#This Row],[DiscountPct]]&gt;0.2, 1, 0)</f>
        <v>0</v>
      </c>
      <c r="AG214" s="6" t="str">
        <f t="shared" si="50"/>
        <v>High</v>
      </c>
      <c r="AH214" s="6">
        <f t="shared" si="51"/>
        <v>-0.20611110333450519</v>
      </c>
      <c r="AI214" s="5">
        <v>24</v>
      </c>
      <c r="AJ214" s="6">
        <f>Table1[[#This Row],[Quantity]]*(1+WhatIf!$B$4)</f>
        <v>26.400000000000002</v>
      </c>
    </row>
    <row r="215" spans="1:36" x14ac:dyDescent="0.3">
      <c r="A215" t="s">
        <v>278</v>
      </c>
      <c r="B215" s="3">
        <v>45763</v>
      </c>
      <c r="C215" s="3">
        <v>45773</v>
      </c>
      <c r="D215" s="3">
        <f t="shared" si="40"/>
        <v>45773</v>
      </c>
      <c r="E215" s="4">
        <f t="shared" si="39"/>
        <v>10</v>
      </c>
      <c r="F215" s="4">
        <f t="shared" si="41"/>
        <v>10</v>
      </c>
      <c r="G215" s="4">
        <f>IF(Table1[[#This Row],[CorrectedLeadTimeDays]]&lt;=7, 1, 0)</f>
        <v>0</v>
      </c>
      <c r="H215" s="4" t="str">
        <f t="shared" si="42"/>
        <v>April</v>
      </c>
      <c r="I215" s="4" t="str">
        <f t="shared" si="43"/>
        <v>Q2-2025</v>
      </c>
      <c r="J215" s="4" t="str">
        <f t="shared" si="44"/>
        <v>2023-01</v>
      </c>
      <c r="K215" s="3">
        <f t="shared" si="45"/>
        <v>44941</v>
      </c>
      <c r="L215" t="s">
        <v>646</v>
      </c>
      <c r="M215" t="s">
        <v>651</v>
      </c>
      <c r="N215" t="s">
        <v>663</v>
      </c>
      <c r="O215" t="s">
        <v>706</v>
      </c>
      <c r="P215" t="s">
        <v>709</v>
      </c>
      <c r="Q215" t="s">
        <v>721</v>
      </c>
      <c r="R215">
        <f t="shared" si="46"/>
        <v>27</v>
      </c>
      <c r="S215" t="s">
        <v>731</v>
      </c>
      <c r="T215" t="s">
        <v>998</v>
      </c>
      <c r="U215" s="4">
        <v>1457.44</v>
      </c>
      <c r="V215" s="4">
        <f>Table1[[#This Row],[UnitCost]]*(1+WhatIf!$B$3)</f>
        <v>1530.3120000000001</v>
      </c>
      <c r="W215" s="4">
        <f t="shared" si="47"/>
        <v>33521.120000000003</v>
      </c>
      <c r="X215" s="4">
        <f>Table1[[#This Row],[ScenarioRev]]-Table1[[#This Row],[ScenarioUnitCost]]</f>
        <v>42623.550082000002</v>
      </c>
      <c r="Y215" s="4">
        <v>1996.81</v>
      </c>
      <c r="Z215" s="4">
        <f t="shared" si="48"/>
        <v>40139.874619999995</v>
      </c>
      <c r="AA215" s="4">
        <f>Table1[[#This Row],[ScenarioQuanity]]*Table1[[#This Row],[UnitPrice]]*(1-Table1[[#This Row],[ScenarioDiscPct]])</f>
        <v>44153.862082</v>
      </c>
      <c r="AB215" s="4">
        <f t="shared" si="49"/>
        <v>6618.7546199999924</v>
      </c>
      <c r="AC215" s="4">
        <f>Table1[[#This Row],[ScenarioRev]] - Table1[[#This Row],[ScenarioCostOfGoods]]</f>
        <v>1530.3119999999981</v>
      </c>
      <c r="AD215" s="6">
        <v>0.126</v>
      </c>
      <c r="AE215" s="6">
        <f>MIN(Table1[[#This Row],[DiscountPct]], WhatIf!$B$2)</f>
        <v>0.126</v>
      </c>
      <c r="AF215" s="6">
        <f>IF(Table1[[#This Row],[DiscountPct]]&gt;0.2, 1, 0)</f>
        <v>0</v>
      </c>
      <c r="AG215" s="6" t="str">
        <f t="shared" si="50"/>
        <v>High</v>
      </c>
      <c r="AH215" s="6">
        <f t="shared" si="51"/>
        <v>0.16489225944672353</v>
      </c>
      <c r="AI215" s="5">
        <v>23</v>
      </c>
      <c r="AJ215" s="6">
        <f>Table1[[#This Row],[Quantity]]*(1+WhatIf!$B$4)</f>
        <v>25.3</v>
      </c>
    </row>
    <row r="216" spans="1:36" x14ac:dyDescent="0.3">
      <c r="A216" t="s">
        <v>551</v>
      </c>
      <c r="B216" s="3">
        <v>45520</v>
      </c>
      <c r="C216" s="3">
        <v>45530</v>
      </c>
      <c r="D216" s="3">
        <f t="shared" si="40"/>
        <v>45530</v>
      </c>
      <c r="E216" s="4">
        <f t="shared" si="39"/>
        <v>10</v>
      </c>
      <c r="F216" s="4">
        <f t="shared" si="41"/>
        <v>10</v>
      </c>
      <c r="G216" s="4">
        <f>IF(Table1[[#This Row],[CorrectedLeadTimeDays]]&lt;=7, 1, 0)</f>
        <v>0</v>
      </c>
      <c r="H216" s="4" t="str">
        <f t="shared" si="42"/>
        <v>August</v>
      </c>
      <c r="I216" s="4" t="str">
        <f t="shared" si="43"/>
        <v>Q3-2024</v>
      </c>
      <c r="J216" s="4" t="str">
        <f t="shared" si="44"/>
        <v>2023-01</v>
      </c>
      <c r="K216" s="3">
        <f t="shared" si="45"/>
        <v>44939</v>
      </c>
      <c r="L216" t="s">
        <v>648</v>
      </c>
      <c r="M216" t="s">
        <v>660</v>
      </c>
      <c r="N216" t="s">
        <v>677</v>
      </c>
      <c r="O216" t="s">
        <v>701</v>
      </c>
      <c r="P216" t="s">
        <v>710</v>
      </c>
      <c r="Q216" t="s">
        <v>716</v>
      </c>
      <c r="R216">
        <f t="shared" si="46"/>
        <v>19</v>
      </c>
      <c r="S216" t="s">
        <v>731</v>
      </c>
      <c r="T216" t="s">
        <v>1121</v>
      </c>
      <c r="U216" s="4">
        <v>1291.7</v>
      </c>
      <c r="V216" s="4">
        <f>Table1[[#This Row],[UnitCost]]*(1+WhatIf!$B$3)</f>
        <v>1356.2850000000001</v>
      </c>
      <c r="W216" s="4">
        <f t="shared" si="47"/>
        <v>27125.7</v>
      </c>
      <c r="X216" s="4">
        <f>Table1[[#This Row],[ScenarioRev]]-Table1[[#This Row],[ScenarioUnitCost]]</f>
        <v>54698.357952000006</v>
      </c>
      <c r="Y216" s="4">
        <v>2657.84</v>
      </c>
      <c r="Z216" s="4">
        <f t="shared" si="48"/>
        <v>50958.766320000002</v>
      </c>
      <c r="AA216" s="4">
        <f>Table1[[#This Row],[ScenarioQuanity]]*Table1[[#This Row],[UnitPrice]]*(1-Table1[[#This Row],[ScenarioDiscPct]])</f>
        <v>56054.642952000009</v>
      </c>
      <c r="AB216" s="4">
        <f t="shared" si="49"/>
        <v>23833.066320000002</v>
      </c>
      <c r="AC216" s="4">
        <f>Table1[[#This Row],[ScenarioRev]] - Table1[[#This Row],[ScenarioCostOfGoods]]</f>
        <v>1356.2850000000035</v>
      </c>
      <c r="AD216" s="6">
        <v>8.6999999999999994E-2</v>
      </c>
      <c r="AE216" s="6">
        <f>MIN(Table1[[#This Row],[DiscountPct]], WhatIf!$B$2)</f>
        <v>8.6999999999999994E-2</v>
      </c>
      <c r="AF216" s="6">
        <f>IF(Table1[[#This Row],[DiscountPct]]&gt;0.2, 1, 0)</f>
        <v>0</v>
      </c>
      <c r="AG216" s="6" t="str">
        <f t="shared" si="50"/>
        <v>High</v>
      </c>
      <c r="AH216" s="6">
        <f t="shared" si="51"/>
        <v>0.46769315745083367</v>
      </c>
      <c r="AI216" s="5">
        <v>21</v>
      </c>
      <c r="AJ216" s="6">
        <f>Table1[[#This Row],[Quantity]]*(1+WhatIf!$B$4)</f>
        <v>23.1</v>
      </c>
    </row>
    <row r="217" spans="1:36" x14ac:dyDescent="0.3">
      <c r="A217" t="s">
        <v>472</v>
      </c>
      <c r="B217" s="3">
        <v>45260</v>
      </c>
      <c r="C217" s="3">
        <v>45270</v>
      </c>
      <c r="D217" s="3">
        <f t="shared" si="40"/>
        <v>45270</v>
      </c>
      <c r="E217" s="4">
        <f t="shared" si="39"/>
        <v>10</v>
      </c>
      <c r="F217" s="4">
        <f t="shared" si="41"/>
        <v>10</v>
      </c>
      <c r="G217" s="4">
        <f>IF(Table1[[#This Row],[CorrectedLeadTimeDays]]&lt;=7, 1, 0)</f>
        <v>0</v>
      </c>
      <c r="H217" s="4" t="str">
        <f t="shared" si="42"/>
        <v>November</v>
      </c>
      <c r="I217" s="4" t="str">
        <f t="shared" si="43"/>
        <v>Q4-2023</v>
      </c>
      <c r="J217" s="4" t="str">
        <f t="shared" si="44"/>
        <v>2023-01</v>
      </c>
      <c r="K217" s="3">
        <f t="shared" si="45"/>
        <v>44948</v>
      </c>
      <c r="L217" t="s">
        <v>649</v>
      </c>
      <c r="M217" t="s">
        <v>656</v>
      </c>
      <c r="N217" t="s">
        <v>684</v>
      </c>
      <c r="O217" t="s">
        <v>705</v>
      </c>
      <c r="P217" t="s">
        <v>711</v>
      </c>
      <c r="Q217" t="s">
        <v>721</v>
      </c>
      <c r="R217">
        <f t="shared" si="46"/>
        <v>10</v>
      </c>
      <c r="S217" t="s">
        <v>731</v>
      </c>
      <c r="T217" t="s">
        <v>1191</v>
      </c>
      <c r="U217" s="4">
        <v>174.74</v>
      </c>
      <c r="V217" s="4">
        <f>Table1[[#This Row],[UnitCost]]*(1+WhatIf!$B$3)</f>
        <v>183.477</v>
      </c>
      <c r="W217" s="4">
        <f t="shared" si="47"/>
        <v>3669.54</v>
      </c>
      <c r="X217" s="4">
        <f>Table1[[#This Row],[ScenarioRev]]-Table1[[#This Row],[ScenarioUnitCost]]</f>
        <v>8224.1144999999979</v>
      </c>
      <c r="Y217" s="4">
        <v>415.96</v>
      </c>
      <c r="Z217" s="4">
        <f t="shared" si="48"/>
        <v>7643.2649999999994</v>
      </c>
      <c r="AA217" s="4">
        <f>Table1[[#This Row],[ScenarioQuanity]]*Table1[[#This Row],[UnitPrice]]*(1-Table1[[#This Row],[ScenarioDiscPct]])</f>
        <v>8407.5914999999986</v>
      </c>
      <c r="AB217" s="4">
        <f t="shared" si="49"/>
        <v>3973.7249999999995</v>
      </c>
      <c r="AC217" s="4">
        <f>Table1[[#This Row],[ScenarioRev]] - Table1[[#This Row],[ScenarioCostOfGoods]]</f>
        <v>183.47700000000077</v>
      </c>
      <c r="AD217" s="6">
        <v>0.125</v>
      </c>
      <c r="AE217" s="6">
        <f>MIN(Table1[[#This Row],[DiscountPct]], WhatIf!$B$2)</f>
        <v>0.125</v>
      </c>
      <c r="AF217" s="6">
        <f>IF(Table1[[#This Row],[DiscountPct]]&gt;0.2, 1, 0)</f>
        <v>0</v>
      </c>
      <c r="AG217" s="6" t="str">
        <f t="shared" si="50"/>
        <v>Low</v>
      </c>
      <c r="AH217" s="6">
        <f t="shared" si="51"/>
        <v>0.51989889137691803</v>
      </c>
      <c r="AI217" s="5">
        <v>21</v>
      </c>
      <c r="AJ217" s="6">
        <f>Table1[[#This Row],[Quantity]]*(1+WhatIf!$B$4)</f>
        <v>23.1</v>
      </c>
    </row>
    <row r="218" spans="1:36" x14ac:dyDescent="0.3">
      <c r="A218" t="s">
        <v>170</v>
      </c>
      <c r="B218" s="3">
        <v>45511</v>
      </c>
      <c r="C218" s="3">
        <v>45521</v>
      </c>
      <c r="D218" s="3">
        <f t="shared" si="40"/>
        <v>45521</v>
      </c>
      <c r="E218" s="4">
        <f t="shared" si="39"/>
        <v>10</v>
      </c>
      <c r="F218" s="4">
        <f t="shared" si="41"/>
        <v>10</v>
      </c>
      <c r="G218" s="4">
        <f>IF(Table1[[#This Row],[CorrectedLeadTimeDays]]&lt;=7, 1, 0)</f>
        <v>0</v>
      </c>
      <c r="H218" s="4" t="str">
        <f t="shared" si="42"/>
        <v>August</v>
      </c>
      <c r="I218" s="4" t="str">
        <f t="shared" si="43"/>
        <v>Q3-2024</v>
      </c>
      <c r="J218" s="4" t="str">
        <f t="shared" si="44"/>
        <v>2023-03</v>
      </c>
      <c r="K218" s="3">
        <f t="shared" si="45"/>
        <v>44988</v>
      </c>
      <c r="L218" t="s">
        <v>647</v>
      </c>
      <c r="M218" t="s">
        <v>652</v>
      </c>
      <c r="N218" t="s">
        <v>666</v>
      </c>
      <c r="O218" t="s">
        <v>704</v>
      </c>
      <c r="P218" t="s">
        <v>708</v>
      </c>
      <c r="Q218" t="s">
        <v>723</v>
      </c>
      <c r="R218">
        <f t="shared" si="46"/>
        <v>17</v>
      </c>
      <c r="S218" t="s">
        <v>729</v>
      </c>
      <c r="T218" t="s">
        <v>889</v>
      </c>
      <c r="U218" s="4">
        <v>436.58</v>
      </c>
      <c r="V218" s="4">
        <f>Table1[[#This Row],[UnitCost]]*(1+WhatIf!$B$3)</f>
        <v>458.40899999999999</v>
      </c>
      <c r="W218" s="4">
        <f t="shared" si="47"/>
        <v>8295.02</v>
      </c>
      <c r="X218" s="4">
        <f>Table1[[#This Row],[ScenarioRev]]-Table1[[#This Row],[ScenarioUnitCost]]</f>
        <v>9342.2221480000026</v>
      </c>
      <c r="Y218" s="4">
        <v>527.48</v>
      </c>
      <c r="Z218" s="4">
        <f t="shared" si="48"/>
        <v>8909.6646800000017</v>
      </c>
      <c r="AA218" s="4">
        <f>Table1[[#This Row],[ScenarioQuanity]]*Table1[[#This Row],[UnitPrice]]*(1-Table1[[#This Row],[ScenarioDiscPct]])</f>
        <v>9800.6311480000022</v>
      </c>
      <c r="AB218" s="4">
        <f t="shared" si="49"/>
        <v>614.64468000000124</v>
      </c>
      <c r="AC218" s="4">
        <f>Table1[[#This Row],[ScenarioRev]] - Table1[[#This Row],[ScenarioCostOfGoods]]</f>
        <v>458.40899999999965</v>
      </c>
      <c r="AD218" s="6">
        <v>0.111</v>
      </c>
      <c r="AE218" s="6">
        <f>MIN(Table1[[#This Row],[DiscountPct]], WhatIf!$B$2)</f>
        <v>0.111</v>
      </c>
      <c r="AF218" s="6">
        <f>IF(Table1[[#This Row],[DiscountPct]]&gt;0.2, 1, 0)</f>
        <v>0</v>
      </c>
      <c r="AG218" s="6" t="str">
        <f t="shared" si="50"/>
        <v>Low</v>
      </c>
      <c r="AH218" s="6">
        <f t="shared" si="51"/>
        <v>6.8986286473802644E-2</v>
      </c>
      <c r="AI218" s="5">
        <v>19</v>
      </c>
      <c r="AJ218" s="6">
        <f>Table1[[#This Row],[Quantity]]*(1+WhatIf!$B$4)</f>
        <v>20.900000000000002</v>
      </c>
    </row>
    <row r="219" spans="1:36" x14ac:dyDescent="0.3">
      <c r="A219" t="s">
        <v>261</v>
      </c>
      <c r="B219" s="3">
        <v>45769</v>
      </c>
      <c r="C219" s="3">
        <v>45779</v>
      </c>
      <c r="D219" s="3">
        <f t="shared" si="40"/>
        <v>45779</v>
      </c>
      <c r="E219" s="4">
        <f t="shared" si="39"/>
        <v>10</v>
      </c>
      <c r="F219" s="4">
        <f t="shared" si="41"/>
        <v>10</v>
      </c>
      <c r="G219" s="4">
        <f>IF(Table1[[#This Row],[CorrectedLeadTimeDays]]&lt;=7, 1, 0)</f>
        <v>0</v>
      </c>
      <c r="H219" s="4" t="str">
        <f t="shared" si="42"/>
        <v>April</v>
      </c>
      <c r="I219" s="4" t="str">
        <f t="shared" si="43"/>
        <v>Q2-2025</v>
      </c>
      <c r="J219" s="4" t="str">
        <f t="shared" si="44"/>
        <v>2023-01</v>
      </c>
      <c r="K219" s="3">
        <f t="shared" si="45"/>
        <v>44948</v>
      </c>
      <c r="L219" t="s">
        <v>649</v>
      </c>
      <c r="M219" t="s">
        <v>656</v>
      </c>
      <c r="N219" t="s">
        <v>671</v>
      </c>
      <c r="O219" t="s">
        <v>701</v>
      </c>
      <c r="P219" t="s">
        <v>709</v>
      </c>
      <c r="Q219" t="s">
        <v>712</v>
      </c>
      <c r="R219">
        <f t="shared" si="46"/>
        <v>27</v>
      </c>
      <c r="S219" t="s">
        <v>732</v>
      </c>
      <c r="T219" t="s">
        <v>981</v>
      </c>
      <c r="U219" s="4">
        <v>20.149999999999999</v>
      </c>
      <c r="V219" s="4">
        <f>Table1[[#This Row],[UnitCost]]*(1+WhatIf!$B$3)</f>
        <v>21.157499999999999</v>
      </c>
      <c r="W219" s="4">
        <f t="shared" si="47"/>
        <v>362.7</v>
      </c>
      <c r="X219" s="4">
        <f>Table1[[#This Row],[ScenarioRev]]-Table1[[#This Row],[ScenarioUnitCost]]</f>
        <v>646.87984800000004</v>
      </c>
      <c r="Y219" s="4">
        <v>39.74</v>
      </c>
      <c r="Z219" s="4">
        <f t="shared" si="48"/>
        <v>607.30668000000003</v>
      </c>
      <c r="AA219" s="4">
        <f>Table1[[#This Row],[ScenarioQuanity]]*Table1[[#This Row],[UnitPrice]]*(1-Table1[[#This Row],[ScenarioDiscPct]])</f>
        <v>668.03734800000007</v>
      </c>
      <c r="AB219" s="4">
        <f t="shared" si="49"/>
        <v>244.60668000000004</v>
      </c>
      <c r="AC219" s="4">
        <f>Table1[[#This Row],[ScenarioRev]] - Table1[[#This Row],[ScenarioCostOfGoods]]</f>
        <v>21.157500000000027</v>
      </c>
      <c r="AD219" s="6">
        <v>0.151</v>
      </c>
      <c r="AE219" s="6">
        <f>MIN(Table1[[#This Row],[DiscountPct]], WhatIf!$B$2)</f>
        <v>0.151</v>
      </c>
      <c r="AF219" s="6">
        <f>IF(Table1[[#This Row],[DiscountPct]]&gt;0.2, 1, 0)</f>
        <v>0</v>
      </c>
      <c r="AG219" s="6" t="str">
        <f t="shared" si="50"/>
        <v>Low</v>
      </c>
      <c r="AH219" s="6">
        <f t="shared" si="51"/>
        <v>0.4027729120318585</v>
      </c>
      <c r="AI219" s="5">
        <v>18</v>
      </c>
      <c r="AJ219" s="6">
        <f>Table1[[#This Row],[Quantity]]*(1+WhatIf!$B$4)</f>
        <v>19.8</v>
      </c>
    </row>
    <row r="220" spans="1:36" x14ac:dyDescent="0.3">
      <c r="A220" t="s">
        <v>312</v>
      </c>
      <c r="B220" s="3">
        <v>45377</v>
      </c>
      <c r="C220" s="3">
        <v>45387</v>
      </c>
      <c r="D220" s="3">
        <f t="shared" si="40"/>
        <v>45387</v>
      </c>
      <c r="E220" s="4">
        <f t="shared" si="39"/>
        <v>10</v>
      </c>
      <c r="F220" s="4">
        <f t="shared" si="41"/>
        <v>10</v>
      </c>
      <c r="G220" s="4">
        <f>IF(Table1[[#This Row],[CorrectedLeadTimeDays]]&lt;=7, 1, 0)</f>
        <v>0</v>
      </c>
      <c r="H220" s="4" t="str">
        <f t="shared" si="42"/>
        <v>March</v>
      </c>
      <c r="I220" s="4" t="str">
        <f t="shared" si="43"/>
        <v>Q1-2024</v>
      </c>
      <c r="J220" s="4" t="str">
        <f t="shared" si="44"/>
        <v>2023-01</v>
      </c>
      <c r="K220" s="3">
        <f t="shared" si="45"/>
        <v>44939</v>
      </c>
      <c r="L220" t="s">
        <v>648</v>
      </c>
      <c r="M220" t="s">
        <v>660</v>
      </c>
      <c r="N220" t="s">
        <v>697</v>
      </c>
      <c r="O220" t="s">
        <v>704</v>
      </c>
      <c r="P220" t="s">
        <v>711</v>
      </c>
      <c r="Q220" t="s">
        <v>713</v>
      </c>
      <c r="R220">
        <f t="shared" si="46"/>
        <v>14</v>
      </c>
      <c r="S220" t="s">
        <v>732</v>
      </c>
      <c r="T220" t="s">
        <v>1032</v>
      </c>
      <c r="U220" s="4">
        <v>5.66</v>
      </c>
      <c r="V220" s="4">
        <f>Table1[[#This Row],[UnitCost]]*(1+WhatIf!$B$3)</f>
        <v>5.9430000000000005</v>
      </c>
      <c r="W220" s="4">
        <f t="shared" si="47"/>
        <v>101.88</v>
      </c>
      <c r="X220" s="4">
        <f>Table1[[#This Row],[ScenarioRev]]-Table1[[#This Row],[ScenarioUnitCost]]</f>
        <v>67.669836000000004</v>
      </c>
      <c r="Y220" s="4">
        <v>4.22</v>
      </c>
      <c r="Z220" s="4">
        <f t="shared" si="48"/>
        <v>66.920760000000001</v>
      </c>
      <c r="AA220" s="4">
        <f>Table1[[#This Row],[ScenarioQuanity]]*Table1[[#This Row],[UnitPrice]]*(1-Table1[[#This Row],[ScenarioDiscPct]])</f>
        <v>73.612836000000001</v>
      </c>
      <c r="AB220" s="4">
        <f t="shared" si="49"/>
        <v>-34.959239999999994</v>
      </c>
      <c r="AC220" s="4">
        <f>Table1[[#This Row],[ScenarioRev]] - Table1[[#This Row],[ScenarioCostOfGoods]]</f>
        <v>5.9429999999999978</v>
      </c>
      <c r="AD220" s="6">
        <v>0.11899999999999999</v>
      </c>
      <c r="AE220" s="6">
        <f>MIN(Table1[[#This Row],[DiscountPct]], WhatIf!$B$2)</f>
        <v>0.11899999999999999</v>
      </c>
      <c r="AF220" s="6">
        <f>IF(Table1[[#This Row],[DiscountPct]]&gt;0.2, 1, 0)</f>
        <v>0</v>
      </c>
      <c r="AG220" s="6" t="str">
        <f t="shared" si="50"/>
        <v>Low</v>
      </c>
      <c r="AH220" s="6">
        <f t="shared" si="51"/>
        <v>-0.52239753403876454</v>
      </c>
      <c r="AI220" s="5">
        <v>18</v>
      </c>
      <c r="AJ220" s="6">
        <f>Table1[[#This Row],[Quantity]]*(1+WhatIf!$B$4)</f>
        <v>19.8</v>
      </c>
    </row>
    <row r="221" spans="1:36" x14ac:dyDescent="0.3">
      <c r="A221" t="s">
        <v>483</v>
      </c>
      <c r="B221" s="3">
        <v>45739</v>
      </c>
      <c r="C221" s="3">
        <v>45749</v>
      </c>
      <c r="D221" s="3">
        <f t="shared" si="40"/>
        <v>45749</v>
      </c>
      <c r="E221" s="4">
        <f t="shared" si="39"/>
        <v>10</v>
      </c>
      <c r="F221" s="4">
        <f t="shared" si="41"/>
        <v>10</v>
      </c>
      <c r="G221" s="4">
        <f>IF(Table1[[#This Row],[CorrectedLeadTimeDays]]&lt;=7, 1, 0)</f>
        <v>0</v>
      </c>
      <c r="H221" s="4" t="str">
        <f t="shared" si="42"/>
        <v>March</v>
      </c>
      <c r="I221" s="4" t="str">
        <f t="shared" si="43"/>
        <v>Q1-2025</v>
      </c>
      <c r="J221" s="4" t="str">
        <f t="shared" si="44"/>
        <v>2023-01</v>
      </c>
      <c r="K221" s="3">
        <f t="shared" si="45"/>
        <v>44948</v>
      </c>
      <c r="L221" t="s">
        <v>649</v>
      </c>
      <c r="M221" t="s">
        <v>656</v>
      </c>
      <c r="N221" t="s">
        <v>671</v>
      </c>
      <c r="O221" t="s">
        <v>706</v>
      </c>
      <c r="P221" t="s">
        <v>708</v>
      </c>
      <c r="Q221" t="s">
        <v>718</v>
      </c>
      <c r="R221">
        <f t="shared" si="46"/>
        <v>26</v>
      </c>
      <c r="S221" t="s">
        <v>728</v>
      </c>
      <c r="T221" t="s">
        <v>1202</v>
      </c>
      <c r="U221" s="4">
        <v>663.61</v>
      </c>
      <c r="V221" s="4">
        <f>Table1[[#This Row],[UnitCost]]*(1+WhatIf!$B$3)</f>
        <v>696.79050000000007</v>
      </c>
      <c r="W221" s="4">
        <f t="shared" si="47"/>
        <v>11281.37</v>
      </c>
      <c r="X221" s="4">
        <f>Table1[[#This Row],[ScenarioRev]]-Table1[[#This Row],[ScenarioUnitCost]]</f>
        <v>17180.651478000003</v>
      </c>
      <c r="Y221" s="4">
        <v>1002.11</v>
      </c>
      <c r="Z221" s="4">
        <f t="shared" si="48"/>
        <v>16252.219979999998</v>
      </c>
      <c r="AA221" s="4">
        <f>Table1[[#This Row],[ScenarioQuanity]]*Table1[[#This Row],[UnitPrice]]*(1-Table1[[#This Row],[ScenarioDiscPct]])</f>
        <v>17877.441978000003</v>
      </c>
      <c r="AB221" s="4">
        <f t="shared" si="49"/>
        <v>4970.8499799999972</v>
      </c>
      <c r="AC221" s="4">
        <f>Table1[[#This Row],[ScenarioRev]] - Table1[[#This Row],[ScenarioCostOfGoods]]</f>
        <v>696.79049999999916</v>
      </c>
      <c r="AD221" s="6">
        <v>4.5999999999999999E-2</v>
      </c>
      <c r="AE221" s="6">
        <f>MIN(Table1[[#This Row],[DiscountPct]], WhatIf!$B$2)</f>
        <v>4.5999999999999999E-2</v>
      </c>
      <c r="AF221" s="6">
        <f>IF(Table1[[#This Row],[DiscountPct]]&gt;0.2, 1, 0)</f>
        <v>0</v>
      </c>
      <c r="AG221" s="6" t="str">
        <f t="shared" si="50"/>
        <v>High</v>
      </c>
      <c r="AH221" s="6">
        <f t="shared" si="51"/>
        <v>0.30585667595670812</v>
      </c>
      <c r="AI221" s="5">
        <v>17</v>
      </c>
      <c r="AJ221" s="6">
        <f>Table1[[#This Row],[Quantity]]*(1+WhatIf!$B$4)</f>
        <v>18.700000000000003</v>
      </c>
    </row>
    <row r="222" spans="1:36" x14ac:dyDescent="0.3">
      <c r="A222" t="s">
        <v>430</v>
      </c>
      <c r="B222" s="3">
        <v>45626</v>
      </c>
      <c r="C222" s="3">
        <v>45636</v>
      </c>
      <c r="D222" s="3">
        <f t="shared" si="40"/>
        <v>45636</v>
      </c>
      <c r="E222" s="4">
        <f t="shared" si="39"/>
        <v>10</v>
      </c>
      <c r="F222" s="4">
        <f t="shared" si="41"/>
        <v>10</v>
      </c>
      <c r="G222" s="4">
        <f>IF(Table1[[#This Row],[CorrectedLeadTimeDays]]&lt;=7, 1, 0)</f>
        <v>0</v>
      </c>
      <c r="H222" s="4" t="str">
        <f t="shared" si="42"/>
        <v>November</v>
      </c>
      <c r="I222" s="4" t="str">
        <f t="shared" si="43"/>
        <v>Q4-2024</v>
      </c>
      <c r="J222" s="4" t="str">
        <f t="shared" si="44"/>
        <v>2023-01</v>
      </c>
      <c r="K222" s="3">
        <f t="shared" si="45"/>
        <v>44955</v>
      </c>
      <c r="L222" t="s">
        <v>647</v>
      </c>
      <c r="M222" t="s">
        <v>654</v>
      </c>
      <c r="N222" t="s">
        <v>696</v>
      </c>
      <c r="O222" t="s">
        <v>705</v>
      </c>
      <c r="P222" t="s">
        <v>707</v>
      </c>
      <c r="Q222" t="s">
        <v>721</v>
      </c>
      <c r="R222">
        <f t="shared" si="46"/>
        <v>22</v>
      </c>
      <c r="S222" t="s">
        <v>733</v>
      </c>
      <c r="T222" t="s">
        <v>1149</v>
      </c>
      <c r="U222" s="4">
        <v>851.49</v>
      </c>
      <c r="V222" s="4">
        <f>Table1[[#This Row],[UnitCost]]*(1+WhatIf!$B$3)</f>
        <v>894.06450000000007</v>
      </c>
      <c r="W222" s="4">
        <f t="shared" si="47"/>
        <v>13623.84</v>
      </c>
      <c r="X222" s="4">
        <f>Table1[[#This Row],[ScenarioRev]]-Table1[[#This Row],[ScenarioUnitCost]]</f>
        <v>11803.138700000001</v>
      </c>
      <c r="Y222" s="4">
        <v>901.79</v>
      </c>
      <c r="Z222" s="4">
        <f t="shared" si="48"/>
        <v>10893.6232</v>
      </c>
      <c r="AA222" s="4">
        <f>Table1[[#This Row],[ScenarioQuanity]]*Table1[[#This Row],[UnitPrice]]*(1-Table1[[#This Row],[ScenarioDiscPct]])</f>
        <v>12697.203200000002</v>
      </c>
      <c r="AB222" s="4">
        <f t="shared" si="49"/>
        <v>-2730.2168000000001</v>
      </c>
      <c r="AC222" s="4">
        <f>Table1[[#This Row],[ScenarioRev]] - Table1[[#This Row],[ScenarioCostOfGoods]]</f>
        <v>894.06450000000041</v>
      </c>
      <c r="AD222" s="6">
        <v>0.245</v>
      </c>
      <c r="AE222" s="6">
        <f>MIN(Table1[[#This Row],[DiscountPct]], WhatIf!$B$2)</f>
        <v>0.2</v>
      </c>
      <c r="AF222" s="6">
        <f>IF(Table1[[#This Row],[DiscountPct]]&gt;0.2, 1, 0)</f>
        <v>1</v>
      </c>
      <c r="AG222" s="6" t="str">
        <f t="shared" si="50"/>
        <v>High</v>
      </c>
      <c r="AH222" s="6">
        <f t="shared" si="51"/>
        <v>-0.25062522816100341</v>
      </c>
      <c r="AI222" s="5">
        <v>16</v>
      </c>
      <c r="AJ222" s="6">
        <f>Table1[[#This Row],[Quantity]]*(1+WhatIf!$B$4)</f>
        <v>17.600000000000001</v>
      </c>
    </row>
    <row r="223" spans="1:36" x14ac:dyDescent="0.3">
      <c r="A223" t="s">
        <v>97</v>
      </c>
      <c r="B223" s="3">
        <v>45791</v>
      </c>
      <c r="C223" s="3">
        <v>45801</v>
      </c>
      <c r="D223" s="3">
        <f t="shared" si="40"/>
        <v>45801</v>
      </c>
      <c r="E223" s="4">
        <f t="shared" si="39"/>
        <v>10</v>
      </c>
      <c r="F223" s="4">
        <f t="shared" si="41"/>
        <v>10</v>
      </c>
      <c r="G223" s="4">
        <f>IF(Table1[[#This Row],[CorrectedLeadTimeDays]]&lt;=7, 1, 0)</f>
        <v>0</v>
      </c>
      <c r="H223" s="4" t="str">
        <f t="shared" si="42"/>
        <v>May</v>
      </c>
      <c r="I223" s="4" t="str">
        <f t="shared" si="43"/>
        <v>Q2-2025</v>
      </c>
      <c r="J223" s="4" t="str">
        <f t="shared" si="44"/>
        <v>2023-01</v>
      </c>
      <c r="K223" s="3">
        <f t="shared" si="45"/>
        <v>44936</v>
      </c>
      <c r="L223" t="s">
        <v>649</v>
      </c>
      <c r="M223" t="s">
        <v>657</v>
      </c>
      <c r="N223" t="s">
        <v>690</v>
      </c>
      <c r="O223" t="s">
        <v>705</v>
      </c>
      <c r="P223" t="s">
        <v>709</v>
      </c>
      <c r="Q223" t="s">
        <v>723</v>
      </c>
      <c r="R223">
        <f t="shared" si="46"/>
        <v>28</v>
      </c>
      <c r="S223" t="s">
        <v>727</v>
      </c>
      <c r="T223" t="s">
        <v>816</v>
      </c>
      <c r="U223" s="4">
        <v>170.39</v>
      </c>
      <c r="V223" s="4">
        <f>Table1[[#This Row],[UnitCost]]*(1+WhatIf!$B$3)</f>
        <v>178.90949999999998</v>
      </c>
      <c r="W223" s="4">
        <f t="shared" si="47"/>
        <v>2555.85</v>
      </c>
      <c r="X223" s="4">
        <f>Table1[[#This Row],[ScenarioRev]]-Table1[[#This Row],[ScenarioUnitCost]]</f>
        <v>5685.9270600000009</v>
      </c>
      <c r="Y223" s="4">
        <v>388.04</v>
      </c>
      <c r="Z223" s="4">
        <f t="shared" si="48"/>
        <v>5331.6696000000002</v>
      </c>
      <c r="AA223" s="4">
        <f>Table1[[#This Row],[ScenarioQuanity]]*Table1[[#This Row],[UnitPrice]]*(1-Table1[[#This Row],[ScenarioDiscPct]])</f>
        <v>5864.8365600000006</v>
      </c>
      <c r="AB223" s="4">
        <f t="shared" si="49"/>
        <v>2775.8196000000003</v>
      </c>
      <c r="AC223" s="4">
        <f>Table1[[#This Row],[ScenarioRev]] - Table1[[#This Row],[ScenarioCostOfGoods]]</f>
        <v>178.90949999999975</v>
      </c>
      <c r="AD223" s="6">
        <v>8.4000000000000005E-2</v>
      </c>
      <c r="AE223" s="6">
        <f>MIN(Table1[[#This Row],[DiscountPct]], WhatIf!$B$2)</f>
        <v>8.4000000000000005E-2</v>
      </c>
      <c r="AF223" s="6">
        <f>IF(Table1[[#This Row],[DiscountPct]]&gt;0.2, 1, 0)</f>
        <v>0</v>
      </c>
      <c r="AG223" s="6" t="str">
        <f t="shared" si="50"/>
        <v>Low</v>
      </c>
      <c r="AH223" s="6">
        <f t="shared" si="51"/>
        <v>0.52062858508711796</v>
      </c>
      <c r="AI223" s="5">
        <v>15</v>
      </c>
      <c r="AJ223" s="6">
        <f>Table1[[#This Row],[Quantity]]*(1+WhatIf!$B$4)</f>
        <v>16.5</v>
      </c>
    </row>
    <row r="224" spans="1:36" x14ac:dyDescent="0.3">
      <c r="A224" t="s">
        <v>550</v>
      </c>
      <c r="B224" s="3">
        <v>45108</v>
      </c>
      <c r="C224" s="3">
        <v>45118</v>
      </c>
      <c r="D224" s="3">
        <f t="shared" si="40"/>
        <v>45118</v>
      </c>
      <c r="E224" s="4">
        <f t="shared" si="39"/>
        <v>10</v>
      </c>
      <c r="F224" s="4">
        <f t="shared" si="41"/>
        <v>10</v>
      </c>
      <c r="G224" s="4">
        <f>IF(Table1[[#This Row],[CorrectedLeadTimeDays]]&lt;=7, 1, 0)</f>
        <v>0</v>
      </c>
      <c r="H224" s="4" t="str">
        <f t="shared" si="42"/>
        <v>July</v>
      </c>
      <c r="I224" s="4" t="str">
        <f t="shared" si="43"/>
        <v>Q3-2023</v>
      </c>
      <c r="J224" s="4" t="str">
        <f t="shared" si="44"/>
        <v>2023-01</v>
      </c>
      <c r="K224" s="3">
        <f t="shared" si="45"/>
        <v>44936</v>
      </c>
      <c r="L224" t="s">
        <v>649</v>
      </c>
      <c r="M224" t="s">
        <v>657</v>
      </c>
      <c r="N224" t="s">
        <v>690</v>
      </c>
      <c r="O224" t="s">
        <v>701</v>
      </c>
      <c r="P224" t="s">
        <v>711</v>
      </c>
      <c r="Q224" t="s">
        <v>721</v>
      </c>
      <c r="R224">
        <f t="shared" si="46"/>
        <v>5</v>
      </c>
      <c r="S224" t="s">
        <v>729</v>
      </c>
      <c r="T224" t="s">
        <v>1269</v>
      </c>
      <c r="U224" s="4">
        <v>479.5</v>
      </c>
      <c r="V224" s="4">
        <f>Table1[[#This Row],[UnitCost]]*(1+WhatIf!$B$3)</f>
        <v>503.47500000000002</v>
      </c>
      <c r="W224" s="4">
        <f t="shared" si="47"/>
        <v>6713</v>
      </c>
      <c r="X224" s="4">
        <f>Table1[[#This Row],[ScenarioRev]]-Table1[[#This Row],[ScenarioUnitCost]]</f>
        <v>8102.3169639999996</v>
      </c>
      <c r="Y224" s="4">
        <v>656.66</v>
      </c>
      <c r="Z224" s="4">
        <f t="shared" si="48"/>
        <v>7823.4472399999995</v>
      </c>
      <c r="AA224" s="4">
        <f>Table1[[#This Row],[ScenarioQuanity]]*Table1[[#This Row],[UnitPrice]]*(1-Table1[[#This Row],[ScenarioDiscPct]])</f>
        <v>8605.791964</v>
      </c>
      <c r="AB224" s="4">
        <f t="shared" si="49"/>
        <v>1110.4472399999995</v>
      </c>
      <c r="AC224" s="4">
        <f>Table1[[#This Row],[ScenarioRev]] - Table1[[#This Row],[ScenarioCostOfGoods]]</f>
        <v>503.47500000000036</v>
      </c>
      <c r="AD224" s="6">
        <v>0.14899999999999999</v>
      </c>
      <c r="AE224" s="6">
        <f>MIN(Table1[[#This Row],[DiscountPct]], WhatIf!$B$2)</f>
        <v>0.14899999999999999</v>
      </c>
      <c r="AF224" s="6">
        <f>IF(Table1[[#This Row],[DiscountPct]]&gt;0.2, 1, 0)</f>
        <v>0</v>
      </c>
      <c r="AG224" s="6" t="str">
        <f t="shared" si="50"/>
        <v>Low</v>
      </c>
      <c r="AH224" s="6">
        <f t="shared" si="51"/>
        <v>0.14193835606412289</v>
      </c>
      <c r="AI224" s="5">
        <v>14</v>
      </c>
      <c r="AJ224" s="6">
        <f>Table1[[#This Row],[Quantity]]*(1+WhatIf!$B$4)</f>
        <v>15.400000000000002</v>
      </c>
    </row>
    <row r="225" spans="1:36" x14ac:dyDescent="0.3">
      <c r="A225" t="s">
        <v>61</v>
      </c>
      <c r="B225" s="3">
        <v>45100</v>
      </c>
      <c r="C225" s="3">
        <v>45110</v>
      </c>
      <c r="D225" s="3">
        <f t="shared" si="40"/>
        <v>45110</v>
      </c>
      <c r="E225" s="4">
        <f t="shared" si="39"/>
        <v>10</v>
      </c>
      <c r="F225" s="4">
        <f t="shared" si="41"/>
        <v>10</v>
      </c>
      <c r="G225" s="4">
        <f>IF(Table1[[#This Row],[CorrectedLeadTimeDays]]&lt;=7, 1, 0)</f>
        <v>0</v>
      </c>
      <c r="H225" s="4" t="str">
        <f t="shared" si="42"/>
        <v>June</v>
      </c>
      <c r="I225" s="4" t="str">
        <f t="shared" si="43"/>
        <v>Q2-2023</v>
      </c>
      <c r="J225" s="4" t="str">
        <f t="shared" si="44"/>
        <v>2023-01</v>
      </c>
      <c r="K225" s="3">
        <f t="shared" si="45"/>
        <v>44941</v>
      </c>
      <c r="L225" t="s">
        <v>646</v>
      </c>
      <c r="M225" t="s">
        <v>651</v>
      </c>
      <c r="N225" t="s">
        <v>669</v>
      </c>
      <c r="O225" t="s">
        <v>704</v>
      </c>
      <c r="P225" t="s">
        <v>708</v>
      </c>
      <c r="Q225" t="s">
        <v>713</v>
      </c>
      <c r="R225">
        <f t="shared" si="46"/>
        <v>5</v>
      </c>
      <c r="S225" t="s">
        <v>728</v>
      </c>
      <c r="T225" t="s">
        <v>780</v>
      </c>
      <c r="U225" s="4">
        <v>337.75</v>
      </c>
      <c r="V225" s="4">
        <f>Table1[[#This Row],[UnitCost]]*(1+WhatIf!$B$3)</f>
        <v>354.63749999999999</v>
      </c>
      <c r="W225" s="4">
        <f t="shared" si="47"/>
        <v>4390.75</v>
      </c>
      <c r="X225" s="4">
        <f>Table1[[#This Row],[ScenarioRev]]-Table1[[#This Row],[ScenarioUnitCost]]</f>
        <v>7494.4895000000006</v>
      </c>
      <c r="Y225" s="4">
        <v>548.89</v>
      </c>
      <c r="Z225" s="4">
        <f t="shared" si="48"/>
        <v>7135.57</v>
      </c>
      <c r="AA225" s="4">
        <f>Table1[[#This Row],[ScenarioQuanity]]*Table1[[#This Row],[UnitPrice]]*(1-Table1[[#This Row],[ScenarioDiscPct]])</f>
        <v>7849.1270000000004</v>
      </c>
      <c r="AB225" s="4">
        <f t="shared" si="49"/>
        <v>2744.8199999999997</v>
      </c>
      <c r="AC225" s="4">
        <f>Table1[[#This Row],[ScenarioRev]] - Table1[[#This Row],[ScenarioCostOfGoods]]</f>
        <v>354.63749999999982</v>
      </c>
      <c r="AD225" s="6">
        <v>0</v>
      </c>
      <c r="AE225" s="6">
        <f>MIN(Table1[[#This Row],[DiscountPct]], WhatIf!$B$2)</f>
        <v>0</v>
      </c>
      <c r="AF225" s="6">
        <f>IF(Table1[[#This Row],[DiscountPct]]&gt;0.2, 1, 0)</f>
        <v>0</v>
      </c>
      <c r="AG225" s="6" t="str">
        <f t="shared" si="50"/>
        <v>Low</v>
      </c>
      <c r="AH225" s="6">
        <f t="shared" si="51"/>
        <v>0.38466723751571352</v>
      </c>
      <c r="AI225" s="5">
        <v>13</v>
      </c>
      <c r="AJ225" s="6">
        <f>Table1[[#This Row],[Quantity]]*(1+WhatIf!$B$4)</f>
        <v>14.3</v>
      </c>
    </row>
    <row r="226" spans="1:36" x14ac:dyDescent="0.3">
      <c r="A226" t="s">
        <v>388</v>
      </c>
      <c r="B226" s="3">
        <v>45429</v>
      </c>
      <c r="C226" s="3">
        <v>45439</v>
      </c>
      <c r="D226" s="3">
        <f t="shared" si="40"/>
        <v>45439</v>
      </c>
      <c r="E226" s="4">
        <f t="shared" si="39"/>
        <v>10</v>
      </c>
      <c r="F226" s="4">
        <f t="shared" si="41"/>
        <v>10</v>
      </c>
      <c r="G226" s="4">
        <f>IF(Table1[[#This Row],[CorrectedLeadTimeDays]]&lt;=7, 1, 0)</f>
        <v>0</v>
      </c>
      <c r="H226" s="4" t="str">
        <f t="shared" si="42"/>
        <v>May</v>
      </c>
      <c r="I226" s="4" t="str">
        <f t="shared" si="43"/>
        <v>Q2-2024</v>
      </c>
      <c r="J226" s="4" t="str">
        <f t="shared" si="44"/>
        <v>2023-01</v>
      </c>
      <c r="K226" s="3">
        <f t="shared" si="45"/>
        <v>44939</v>
      </c>
      <c r="L226" t="s">
        <v>648</v>
      </c>
      <c r="M226" t="s">
        <v>660</v>
      </c>
      <c r="N226" t="s">
        <v>697</v>
      </c>
      <c r="O226" t="s">
        <v>703</v>
      </c>
      <c r="P226" t="s">
        <v>708</v>
      </c>
      <c r="Q226" t="s">
        <v>712</v>
      </c>
      <c r="R226">
        <f t="shared" si="46"/>
        <v>16</v>
      </c>
      <c r="S226" t="s">
        <v>730</v>
      </c>
      <c r="T226" t="s">
        <v>1108</v>
      </c>
      <c r="U226" s="4">
        <v>1484.23</v>
      </c>
      <c r="V226" s="4">
        <f>Table1[[#This Row],[UnitCost]]*(1+WhatIf!$B$3)</f>
        <v>1558.4415000000001</v>
      </c>
      <c r="W226" s="4">
        <f t="shared" si="47"/>
        <v>17810.760000000002</v>
      </c>
      <c r="X226" s="4">
        <f>Table1[[#This Row],[ScenarioRev]]-Table1[[#This Row],[ScenarioUnitCost]]</f>
        <v>35114.432100000005</v>
      </c>
      <c r="Y226" s="4">
        <v>3472.81</v>
      </c>
      <c r="Z226" s="4">
        <f t="shared" si="48"/>
        <v>31005.24768</v>
      </c>
      <c r="AA226" s="4">
        <f>Table1[[#This Row],[ScenarioQuanity]]*Table1[[#This Row],[UnitPrice]]*(1-Table1[[#This Row],[ScenarioDiscPct]])</f>
        <v>36672.873600000006</v>
      </c>
      <c r="AB226" s="4">
        <f t="shared" si="49"/>
        <v>13194.487679999998</v>
      </c>
      <c r="AC226" s="4">
        <f>Table1[[#This Row],[ScenarioRev]] - Table1[[#This Row],[ScenarioCostOfGoods]]</f>
        <v>1558.4415000000008</v>
      </c>
      <c r="AD226" s="6">
        <v>0.25600000000000001</v>
      </c>
      <c r="AE226" s="6">
        <f>MIN(Table1[[#This Row],[DiscountPct]], WhatIf!$B$2)</f>
        <v>0.2</v>
      </c>
      <c r="AF226" s="6">
        <f>IF(Table1[[#This Row],[DiscountPct]]&gt;0.2, 1, 0)</f>
        <v>1</v>
      </c>
      <c r="AG226" s="6" t="str">
        <f t="shared" si="50"/>
        <v>High</v>
      </c>
      <c r="AH226" s="6">
        <f t="shared" si="51"/>
        <v>0.42555659661803413</v>
      </c>
      <c r="AI226" s="5">
        <v>12</v>
      </c>
      <c r="AJ226" s="6">
        <f>Table1[[#This Row],[Quantity]]*(1+WhatIf!$B$4)</f>
        <v>13.200000000000001</v>
      </c>
    </row>
    <row r="227" spans="1:36" x14ac:dyDescent="0.3">
      <c r="A227" t="s">
        <v>403</v>
      </c>
      <c r="B227" s="3">
        <v>45225</v>
      </c>
      <c r="C227" s="3">
        <v>45235</v>
      </c>
      <c r="D227" s="3">
        <f t="shared" si="40"/>
        <v>45235</v>
      </c>
      <c r="E227" s="4">
        <f t="shared" si="39"/>
        <v>10</v>
      </c>
      <c r="F227" s="4">
        <f t="shared" si="41"/>
        <v>10</v>
      </c>
      <c r="G227" s="4">
        <f>IF(Table1[[#This Row],[CorrectedLeadTimeDays]]&lt;=7, 1, 0)</f>
        <v>0</v>
      </c>
      <c r="H227" s="4" t="str">
        <f t="shared" si="42"/>
        <v>October</v>
      </c>
      <c r="I227" s="4" t="str">
        <f t="shared" si="43"/>
        <v>Q4-2023</v>
      </c>
      <c r="J227" s="4" t="str">
        <f t="shared" si="44"/>
        <v>2023-01</v>
      </c>
      <c r="K227" s="3">
        <f t="shared" si="45"/>
        <v>44933</v>
      </c>
      <c r="L227" t="s">
        <v>646</v>
      </c>
      <c r="M227" t="s">
        <v>661</v>
      </c>
      <c r="N227" t="s">
        <v>695</v>
      </c>
      <c r="O227" t="s">
        <v>703</v>
      </c>
      <c r="P227" t="s">
        <v>708</v>
      </c>
      <c r="Q227" t="s">
        <v>714</v>
      </c>
      <c r="R227">
        <f t="shared" si="46"/>
        <v>9</v>
      </c>
      <c r="S227" t="s">
        <v>731</v>
      </c>
      <c r="T227" t="s">
        <v>1122</v>
      </c>
      <c r="U227" s="4">
        <v>20.38</v>
      </c>
      <c r="V227" s="4">
        <f>Table1[[#This Row],[UnitCost]]*(1+WhatIf!$B$3)</f>
        <v>21.399000000000001</v>
      </c>
      <c r="W227" s="4">
        <f t="shared" si="47"/>
        <v>224.17999999999998</v>
      </c>
      <c r="X227" s="4">
        <f>Table1[[#This Row],[ScenarioRev]]-Table1[[#This Row],[ScenarioUnitCost]]</f>
        <v>456.49872800000014</v>
      </c>
      <c r="Y227" s="4">
        <v>42.56</v>
      </c>
      <c r="Z227" s="4">
        <f t="shared" si="48"/>
        <v>434.45248000000004</v>
      </c>
      <c r="AA227" s="4">
        <f>Table1[[#This Row],[ScenarioQuanity]]*Table1[[#This Row],[UnitPrice]]*(1-Table1[[#This Row],[ScenarioDiscPct]])</f>
        <v>477.89772800000014</v>
      </c>
      <c r="AB227" s="4">
        <f t="shared" si="49"/>
        <v>210.27248000000006</v>
      </c>
      <c r="AC227" s="4">
        <f>Table1[[#This Row],[ScenarioRev]] - Table1[[#This Row],[ScenarioCostOfGoods]]</f>
        <v>21.399000000000001</v>
      </c>
      <c r="AD227" s="6">
        <v>7.1999999999999995E-2</v>
      </c>
      <c r="AE227" s="6">
        <f>MIN(Table1[[#This Row],[DiscountPct]], WhatIf!$B$2)</f>
        <v>7.1999999999999995E-2</v>
      </c>
      <c r="AF227" s="6">
        <f>IF(Table1[[#This Row],[DiscountPct]]&gt;0.2, 1, 0)</f>
        <v>0</v>
      </c>
      <c r="AG227" s="6" t="str">
        <f t="shared" si="50"/>
        <v>Low</v>
      </c>
      <c r="AH227" s="6">
        <f t="shared" si="51"/>
        <v>0.48399419885921713</v>
      </c>
      <c r="AI227" s="5">
        <v>11</v>
      </c>
      <c r="AJ227" s="6">
        <f>Table1[[#This Row],[Quantity]]*(1+WhatIf!$B$4)</f>
        <v>12.100000000000001</v>
      </c>
    </row>
    <row r="228" spans="1:36" x14ac:dyDescent="0.3">
      <c r="A228" t="s">
        <v>133</v>
      </c>
      <c r="B228" s="3">
        <v>45086</v>
      </c>
      <c r="C228" s="3">
        <v>45096</v>
      </c>
      <c r="D228" s="3">
        <f t="shared" si="40"/>
        <v>45096</v>
      </c>
      <c r="E228" s="4">
        <f t="shared" si="39"/>
        <v>10</v>
      </c>
      <c r="F228" s="4">
        <f t="shared" si="41"/>
        <v>10</v>
      </c>
      <c r="G228" s="4">
        <f>IF(Table1[[#This Row],[CorrectedLeadTimeDays]]&lt;=7, 1, 0)</f>
        <v>0</v>
      </c>
      <c r="H228" s="4" t="str">
        <f t="shared" si="42"/>
        <v>June</v>
      </c>
      <c r="I228" s="4" t="str">
        <f t="shared" si="43"/>
        <v>Q2-2023</v>
      </c>
      <c r="J228" s="4" t="str">
        <f t="shared" si="44"/>
        <v>2023-01</v>
      </c>
      <c r="K228" s="3">
        <f t="shared" si="45"/>
        <v>44938</v>
      </c>
      <c r="L228" t="s">
        <v>647</v>
      </c>
      <c r="M228" t="s">
        <v>659</v>
      </c>
      <c r="N228" t="s">
        <v>699</v>
      </c>
      <c r="O228" t="s">
        <v>706</v>
      </c>
      <c r="P228" t="s">
        <v>707</v>
      </c>
      <c r="Q228" t="s">
        <v>721</v>
      </c>
      <c r="R228">
        <f t="shared" si="46"/>
        <v>4</v>
      </c>
      <c r="S228" t="s">
        <v>732</v>
      </c>
      <c r="T228" t="s">
        <v>852</v>
      </c>
      <c r="U228" s="4">
        <v>339.61</v>
      </c>
      <c r="V228" s="4">
        <f>Table1[[#This Row],[UnitCost]]*(1+WhatIf!$B$3)</f>
        <v>356.59050000000002</v>
      </c>
      <c r="W228" s="4">
        <f t="shared" si="47"/>
        <v>3396.1000000000004</v>
      </c>
      <c r="X228" s="4">
        <f>Table1[[#This Row],[ScenarioRev]]-Table1[[#This Row],[ScenarioUnitCost]]</f>
        <v>5989.6128799999997</v>
      </c>
      <c r="Y228" s="4">
        <v>621.02</v>
      </c>
      <c r="Z228" s="4">
        <f t="shared" si="48"/>
        <v>5769.2758000000003</v>
      </c>
      <c r="AA228" s="4">
        <f>Table1[[#This Row],[ScenarioQuanity]]*Table1[[#This Row],[UnitPrice]]*(1-Table1[[#This Row],[ScenarioDiscPct]])</f>
        <v>6346.2033799999999</v>
      </c>
      <c r="AB228" s="4">
        <f t="shared" si="49"/>
        <v>2373.1758</v>
      </c>
      <c r="AC228" s="4">
        <f>Table1[[#This Row],[ScenarioRev]] - Table1[[#This Row],[ScenarioCostOfGoods]]</f>
        <v>356.59050000000025</v>
      </c>
      <c r="AD228" s="6">
        <v>7.0999999999999994E-2</v>
      </c>
      <c r="AE228" s="6">
        <f>MIN(Table1[[#This Row],[DiscountPct]], WhatIf!$B$2)</f>
        <v>7.0999999999999994E-2</v>
      </c>
      <c r="AF228" s="6">
        <f>IF(Table1[[#This Row],[DiscountPct]]&gt;0.2, 1, 0)</f>
        <v>0</v>
      </c>
      <c r="AG228" s="6" t="str">
        <f t="shared" si="50"/>
        <v>Low</v>
      </c>
      <c r="AH228" s="6">
        <f t="shared" si="51"/>
        <v>0.41134726129750981</v>
      </c>
      <c r="AI228" s="5">
        <v>10</v>
      </c>
      <c r="AJ228" s="6">
        <f>Table1[[#This Row],[Quantity]]*(1+WhatIf!$B$4)</f>
        <v>11</v>
      </c>
    </row>
    <row r="229" spans="1:36" x14ac:dyDescent="0.3">
      <c r="A229" t="s">
        <v>474</v>
      </c>
      <c r="B229" s="3">
        <v>45116</v>
      </c>
      <c r="C229" s="3">
        <v>45126</v>
      </c>
      <c r="D229" s="3">
        <f t="shared" si="40"/>
        <v>45126</v>
      </c>
      <c r="E229" s="4">
        <f t="shared" si="39"/>
        <v>10</v>
      </c>
      <c r="F229" s="4">
        <f t="shared" si="41"/>
        <v>10</v>
      </c>
      <c r="G229" s="4">
        <f>IF(Table1[[#This Row],[CorrectedLeadTimeDays]]&lt;=7, 1, 0)</f>
        <v>0</v>
      </c>
      <c r="H229" s="4" t="str">
        <f t="shared" si="42"/>
        <v>July</v>
      </c>
      <c r="I229" s="4" t="str">
        <f t="shared" si="43"/>
        <v>Q3-2023</v>
      </c>
      <c r="J229" s="4" t="str">
        <f t="shared" si="44"/>
        <v>2023-03</v>
      </c>
      <c r="K229" s="3">
        <f t="shared" si="45"/>
        <v>44988</v>
      </c>
      <c r="L229" t="s">
        <v>647</v>
      </c>
      <c r="M229" t="s">
        <v>652</v>
      </c>
      <c r="N229" t="s">
        <v>689</v>
      </c>
      <c r="O229" t="s">
        <v>706</v>
      </c>
      <c r="P229" t="s">
        <v>710</v>
      </c>
      <c r="Q229" t="s">
        <v>725</v>
      </c>
      <c r="R229">
        <f t="shared" si="46"/>
        <v>4</v>
      </c>
      <c r="S229" t="s">
        <v>727</v>
      </c>
      <c r="T229" t="s">
        <v>1193</v>
      </c>
      <c r="U229" s="4">
        <v>141.26</v>
      </c>
      <c r="V229" s="4">
        <f>Table1[[#This Row],[UnitCost]]*(1+WhatIf!$B$3)</f>
        <v>148.32300000000001</v>
      </c>
      <c r="W229" s="4">
        <f t="shared" si="47"/>
        <v>1271.3399999999999</v>
      </c>
      <c r="X229" s="4">
        <f>Table1[[#This Row],[ScenarioRev]]-Table1[[#This Row],[ScenarioUnitCost]]</f>
        <v>1680.641016</v>
      </c>
      <c r="Y229" s="4">
        <v>206.88</v>
      </c>
      <c r="Z229" s="4">
        <f t="shared" si="48"/>
        <v>1662.6945600000001</v>
      </c>
      <c r="AA229" s="4">
        <f>Table1[[#This Row],[ScenarioQuanity]]*Table1[[#This Row],[UnitPrice]]*(1-Table1[[#This Row],[ScenarioDiscPct]])</f>
        <v>1828.9640160000001</v>
      </c>
      <c r="AB229" s="4">
        <f t="shared" si="49"/>
        <v>391.35456000000022</v>
      </c>
      <c r="AC229" s="4">
        <f>Table1[[#This Row],[ScenarioRev]] - Table1[[#This Row],[ScenarioCostOfGoods]]</f>
        <v>148.32300000000009</v>
      </c>
      <c r="AD229" s="6">
        <v>0.107</v>
      </c>
      <c r="AE229" s="6">
        <f>MIN(Table1[[#This Row],[DiscountPct]], WhatIf!$B$2)</f>
        <v>0.107</v>
      </c>
      <c r="AF229" s="6">
        <f>IF(Table1[[#This Row],[DiscountPct]]&gt;0.2, 1, 0)</f>
        <v>0</v>
      </c>
      <c r="AG229" s="6" t="str">
        <f t="shared" si="50"/>
        <v>Low</v>
      </c>
      <c r="AH229" s="6">
        <f t="shared" si="51"/>
        <v>0.23537369365062469</v>
      </c>
      <c r="AI229" s="5">
        <v>9</v>
      </c>
      <c r="AJ229" s="6">
        <f>Table1[[#This Row],[Quantity]]*(1+WhatIf!$B$4)</f>
        <v>9.9</v>
      </c>
    </row>
    <row r="230" spans="1:36" x14ac:dyDescent="0.3">
      <c r="A230" t="s">
        <v>645</v>
      </c>
      <c r="B230" s="3">
        <v>45716</v>
      </c>
      <c r="C230" s="3">
        <v>45726</v>
      </c>
      <c r="D230" s="3">
        <f t="shared" si="40"/>
        <v>45726</v>
      </c>
      <c r="E230" s="4">
        <f t="shared" si="39"/>
        <v>10</v>
      </c>
      <c r="F230" s="4">
        <f t="shared" si="41"/>
        <v>10</v>
      </c>
      <c r="G230" s="4">
        <f>IF(Table1[[#This Row],[CorrectedLeadTimeDays]]&lt;=7, 1, 0)</f>
        <v>0</v>
      </c>
      <c r="H230" s="4" t="str">
        <f t="shared" si="42"/>
        <v>February</v>
      </c>
      <c r="I230" s="4" t="str">
        <f t="shared" si="43"/>
        <v>Q1-2025</v>
      </c>
      <c r="J230" s="4" t="str">
        <f t="shared" si="44"/>
        <v>2023-03</v>
      </c>
      <c r="K230" s="3">
        <f t="shared" si="45"/>
        <v>44988</v>
      </c>
      <c r="L230" t="s">
        <v>647</v>
      </c>
      <c r="M230" t="s">
        <v>652</v>
      </c>
      <c r="N230" t="s">
        <v>666</v>
      </c>
      <c r="O230" t="s">
        <v>702</v>
      </c>
      <c r="P230" t="s">
        <v>710</v>
      </c>
      <c r="Q230" t="s">
        <v>725</v>
      </c>
      <c r="R230">
        <f t="shared" si="46"/>
        <v>23</v>
      </c>
      <c r="S230" t="s">
        <v>731</v>
      </c>
      <c r="T230" t="s">
        <v>1363</v>
      </c>
      <c r="U230" s="4">
        <v>51.86</v>
      </c>
      <c r="V230" s="4">
        <f>Table1[[#This Row],[UnitCost]]*(1+WhatIf!$B$3)</f>
        <v>54.453000000000003</v>
      </c>
      <c r="W230" s="4">
        <f t="shared" si="47"/>
        <v>363.02</v>
      </c>
      <c r="X230" s="4">
        <f>Table1[[#This Row],[ScenarioRev]]-Table1[[#This Row],[ScenarioUnitCost]]</f>
        <v>238.343042</v>
      </c>
      <c r="Y230" s="4">
        <v>45.98</v>
      </c>
      <c r="Z230" s="4">
        <f t="shared" si="48"/>
        <v>266.17821999999995</v>
      </c>
      <c r="AA230" s="4">
        <f>Table1[[#This Row],[ScenarioQuanity]]*Table1[[#This Row],[UnitPrice]]*(1-Table1[[#This Row],[ScenarioDiscPct]])</f>
        <v>292.796042</v>
      </c>
      <c r="AB230" s="4">
        <f t="shared" si="49"/>
        <v>-96.841780000000028</v>
      </c>
      <c r="AC230" s="4">
        <f>Table1[[#This Row],[ScenarioRev]] - Table1[[#This Row],[ScenarioCostOfGoods]]</f>
        <v>54.453000000000003</v>
      </c>
      <c r="AD230" s="6">
        <v>0.17299999999999999</v>
      </c>
      <c r="AE230" s="6">
        <f>MIN(Table1[[#This Row],[DiscountPct]], WhatIf!$B$2)</f>
        <v>0.17299999999999999</v>
      </c>
      <c r="AF230" s="6">
        <f>IF(Table1[[#This Row],[DiscountPct]]&gt;0.2, 1, 0)</f>
        <v>0</v>
      </c>
      <c r="AG230" s="6" t="str">
        <f t="shared" si="50"/>
        <v>Low</v>
      </c>
      <c r="AH230" s="6">
        <f t="shared" si="51"/>
        <v>-0.3638230806412337</v>
      </c>
      <c r="AI230" s="5">
        <v>7</v>
      </c>
      <c r="AJ230" s="6">
        <f>Table1[[#This Row],[Quantity]]*(1+WhatIf!$B$4)</f>
        <v>7.7000000000000011</v>
      </c>
    </row>
    <row r="231" spans="1:36" x14ac:dyDescent="0.3">
      <c r="A231" t="s">
        <v>296</v>
      </c>
      <c r="B231" s="3">
        <v>45153</v>
      </c>
      <c r="C231" s="3">
        <v>45163</v>
      </c>
      <c r="D231" s="3">
        <f t="shared" si="40"/>
        <v>45163</v>
      </c>
      <c r="E231" s="4">
        <f t="shared" si="39"/>
        <v>10</v>
      </c>
      <c r="F231" s="4">
        <f t="shared" si="41"/>
        <v>10</v>
      </c>
      <c r="G231" s="4">
        <f>IF(Table1[[#This Row],[CorrectedLeadTimeDays]]&lt;=7, 1, 0)</f>
        <v>0</v>
      </c>
      <c r="H231" s="4" t="str">
        <f t="shared" si="42"/>
        <v>August</v>
      </c>
      <c r="I231" s="4" t="str">
        <f t="shared" si="43"/>
        <v>Q3-2023</v>
      </c>
      <c r="J231" s="4" t="str">
        <f t="shared" si="44"/>
        <v>2023-01</v>
      </c>
      <c r="K231" s="3">
        <f t="shared" si="45"/>
        <v>44946</v>
      </c>
      <c r="L231" t="s">
        <v>646</v>
      </c>
      <c r="M231" t="s">
        <v>650</v>
      </c>
      <c r="N231" t="s">
        <v>664</v>
      </c>
      <c r="O231" t="s">
        <v>705</v>
      </c>
      <c r="P231" t="s">
        <v>707</v>
      </c>
      <c r="Q231" t="s">
        <v>725</v>
      </c>
      <c r="R231">
        <f t="shared" si="46"/>
        <v>6</v>
      </c>
      <c r="S231" t="s">
        <v>730</v>
      </c>
      <c r="T231" t="s">
        <v>1016</v>
      </c>
      <c r="U231" s="4">
        <v>91.85</v>
      </c>
      <c r="V231" s="4">
        <f>Table1[[#This Row],[UnitCost]]*(1+WhatIf!$B$3)</f>
        <v>96.442499999999995</v>
      </c>
      <c r="W231" s="4">
        <f t="shared" si="47"/>
        <v>551.09999999999991</v>
      </c>
      <c r="X231" s="4">
        <f>Table1[[#This Row],[ScenarioRev]]-Table1[[#This Row],[ScenarioUnitCost]]</f>
        <v>638.07150000000013</v>
      </c>
      <c r="Y231" s="4">
        <v>111.29</v>
      </c>
      <c r="Z231" s="4">
        <f t="shared" si="48"/>
        <v>667.74</v>
      </c>
      <c r="AA231" s="4">
        <f>Table1[[#This Row],[ScenarioQuanity]]*Table1[[#This Row],[UnitPrice]]*(1-Table1[[#This Row],[ScenarioDiscPct]])</f>
        <v>734.51400000000012</v>
      </c>
      <c r="AB231" s="4">
        <f t="shared" si="49"/>
        <v>116.6400000000001</v>
      </c>
      <c r="AC231" s="4">
        <f>Table1[[#This Row],[ScenarioRev]] - Table1[[#This Row],[ScenarioCostOfGoods]]</f>
        <v>96.442499999999995</v>
      </c>
      <c r="AD231" s="6">
        <v>0</v>
      </c>
      <c r="AE231" s="6">
        <f>MIN(Table1[[#This Row],[DiscountPct]], WhatIf!$B$2)</f>
        <v>0</v>
      </c>
      <c r="AF231" s="6">
        <f>IF(Table1[[#This Row],[DiscountPct]]&gt;0.2, 1, 0)</f>
        <v>0</v>
      </c>
      <c r="AG231" s="6" t="str">
        <f t="shared" si="50"/>
        <v>Low</v>
      </c>
      <c r="AH231" s="6">
        <f t="shared" si="51"/>
        <v>0.17467876718483258</v>
      </c>
      <c r="AI231" s="5">
        <v>6</v>
      </c>
      <c r="AJ231" s="6">
        <f>Table1[[#This Row],[Quantity]]*(1+WhatIf!$B$4)</f>
        <v>6.6000000000000005</v>
      </c>
    </row>
    <row r="232" spans="1:36" x14ac:dyDescent="0.3">
      <c r="A232" t="s">
        <v>633</v>
      </c>
      <c r="B232" s="3">
        <v>45578</v>
      </c>
      <c r="C232" s="3">
        <v>45589</v>
      </c>
      <c r="D232" s="3">
        <f t="shared" si="40"/>
        <v>45589</v>
      </c>
      <c r="E232" s="4">
        <f t="shared" si="39"/>
        <v>11</v>
      </c>
      <c r="F232" s="4">
        <f t="shared" si="41"/>
        <v>11</v>
      </c>
      <c r="G232" s="4">
        <f>IF(Table1[[#This Row],[CorrectedLeadTimeDays]]&lt;=7, 1, 0)</f>
        <v>0</v>
      </c>
      <c r="H232" s="4" t="str">
        <f t="shared" si="42"/>
        <v>October</v>
      </c>
      <c r="I232" s="4" t="str">
        <f t="shared" si="43"/>
        <v>Q4-2024</v>
      </c>
      <c r="J232" s="4" t="str">
        <f t="shared" si="44"/>
        <v>2023-01</v>
      </c>
      <c r="K232" s="3">
        <f t="shared" si="45"/>
        <v>44936</v>
      </c>
      <c r="L232" t="s">
        <v>649</v>
      </c>
      <c r="M232" t="s">
        <v>657</v>
      </c>
      <c r="N232" t="s">
        <v>690</v>
      </c>
      <c r="O232" t="s">
        <v>702</v>
      </c>
      <c r="P232" t="s">
        <v>710</v>
      </c>
      <c r="Q232" t="s">
        <v>721</v>
      </c>
      <c r="R232">
        <f t="shared" si="46"/>
        <v>21</v>
      </c>
      <c r="S232" t="s">
        <v>727</v>
      </c>
      <c r="T232" t="s">
        <v>1351</v>
      </c>
      <c r="U232" s="4">
        <v>816.7</v>
      </c>
      <c r="V232" s="4">
        <f>Table1[[#This Row],[UnitCost]]*(1+WhatIf!$B$3)</f>
        <v>857.53500000000008</v>
      </c>
      <c r="W232" s="4">
        <f t="shared" si="47"/>
        <v>35118.1</v>
      </c>
      <c r="X232" s="4">
        <f>Table1[[#This Row],[ScenarioRev]]-Table1[[#This Row],[ScenarioUnitCost]]</f>
        <v>44703.941675000002</v>
      </c>
      <c r="Y232" s="4">
        <v>1010.75</v>
      </c>
      <c r="Z232" s="4">
        <f t="shared" si="48"/>
        <v>41419.524249999995</v>
      </c>
      <c r="AA232" s="4">
        <f>Table1[[#This Row],[ScenarioQuanity]]*Table1[[#This Row],[UnitPrice]]*(1-Table1[[#This Row],[ScenarioDiscPct]])</f>
        <v>45561.476675000005</v>
      </c>
      <c r="AB232" s="4">
        <f t="shared" si="49"/>
        <v>6301.4242499999964</v>
      </c>
      <c r="AC232" s="4">
        <f>Table1[[#This Row],[ScenarioRev]] - Table1[[#This Row],[ScenarioCostOfGoods]]</f>
        <v>857.53500000000349</v>
      </c>
      <c r="AD232" s="6">
        <v>4.7E-2</v>
      </c>
      <c r="AE232" s="6">
        <f>MIN(Table1[[#This Row],[DiscountPct]], WhatIf!$B$2)</f>
        <v>4.7E-2</v>
      </c>
      <c r="AF232" s="6">
        <f>IF(Table1[[#This Row],[DiscountPct]]&gt;0.2, 1, 0)</f>
        <v>0</v>
      </c>
      <c r="AG232" s="6" t="str">
        <f t="shared" si="50"/>
        <v>High</v>
      </c>
      <c r="AH232" s="6">
        <f t="shared" si="51"/>
        <v>0.15213656757537472</v>
      </c>
      <c r="AI232" s="5">
        <v>43</v>
      </c>
      <c r="AJ232" s="6">
        <f>Table1[[#This Row],[Quantity]]*(1+WhatIf!$B$4)</f>
        <v>47.300000000000004</v>
      </c>
    </row>
    <row r="233" spans="1:36" x14ac:dyDescent="0.3">
      <c r="A233" t="s">
        <v>79</v>
      </c>
      <c r="B233" s="3">
        <v>44972</v>
      </c>
      <c r="C233" s="3">
        <v>44983</v>
      </c>
      <c r="D233" s="3">
        <f t="shared" si="40"/>
        <v>44983</v>
      </c>
      <c r="E233" s="4">
        <f t="shared" si="39"/>
        <v>11</v>
      </c>
      <c r="F233" s="4">
        <f t="shared" si="41"/>
        <v>11</v>
      </c>
      <c r="G233" s="4">
        <f>IF(Table1[[#This Row],[CorrectedLeadTimeDays]]&lt;=7, 1, 0)</f>
        <v>0</v>
      </c>
      <c r="H233" s="4" t="str">
        <f t="shared" si="42"/>
        <v>February</v>
      </c>
      <c r="I233" s="4" t="str">
        <f t="shared" si="43"/>
        <v>Q1-2023</v>
      </c>
      <c r="J233" s="4" t="str">
        <f t="shared" si="44"/>
        <v>2023-01</v>
      </c>
      <c r="K233" s="3">
        <f t="shared" si="45"/>
        <v>44933</v>
      </c>
      <c r="L233" t="s">
        <v>646</v>
      </c>
      <c r="M233" t="s">
        <v>661</v>
      </c>
      <c r="N233" t="s">
        <v>682</v>
      </c>
      <c r="O233" t="s">
        <v>703</v>
      </c>
      <c r="P233" t="s">
        <v>707</v>
      </c>
      <c r="Q233" t="s">
        <v>723</v>
      </c>
      <c r="R233">
        <f t="shared" si="46"/>
        <v>1</v>
      </c>
      <c r="S233" t="s">
        <v>731</v>
      </c>
      <c r="T233" t="s">
        <v>798</v>
      </c>
      <c r="U233" s="4">
        <v>498.5</v>
      </c>
      <c r="V233" s="4">
        <f>Table1[[#This Row],[UnitCost]]*(1+WhatIf!$B$3)</f>
        <v>523.42500000000007</v>
      </c>
      <c r="W233" s="4">
        <f t="shared" si="47"/>
        <v>19940</v>
      </c>
      <c r="X233" s="4">
        <f>Table1[[#This Row],[ScenarioRev]]-Table1[[#This Row],[ScenarioUnitCost]]</f>
        <v>28411.278599999998</v>
      </c>
      <c r="Y233" s="4">
        <v>755.87</v>
      </c>
      <c r="Z233" s="4">
        <f t="shared" si="48"/>
        <v>26304.275999999998</v>
      </c>
      <c r="AA233" s="4">
        <f>Table1[[#This Row],[ScenarioQuanity]]*Table1[[#This Row],[UnitPrice]]*(1-Table1[[#This Row],[ScenarioDiscPct]])</f>
        <v>28934.703599999997</v>
      </c>
      <c r="AB233" s="4">
        <f t="shared" si="49"/>
        <v>6364.275999999998</v>
      </c>
      <c r="AC233" s="4">
        <f>Table1[[#This Row],[ScenarioRev]] - Table1[[#This Row],[ScenarioCostOfGoods]]</f>
        <v>523.42499999999927</v>
      </c>
      <c r="AD233" s="6">
        <v>0.13</v>
      </c>
      <c r="AE233" s="6">
        <f>MIN(Table1[[#This Row],[DiscountPct]], WhatIf!$B$2)</f>
        <v>0.13</v>
      </c>
      <c r="AF233" s="6">
        <f>IF(Table1[[#This Row],[DiscountPct]]&gt;0.2, 1, 0)</f>
        <v>0</v>
      </c>
      <c r="AG233" s="6" t="str">
        <f t="shared" si="50"/>
        <v>Low</v>
      </c>
      <c r="AH233" s="6">
        <f t="shared" si="51"/>
        <v>0.24194834330357537</v>
      </c>
      <c r="AI233" s="5">
        <v>40</v>
      </c>
      <c r="AJ233" s="6">
        <f>Table1[[#This Row],[Quantity]]*(1+WhatIf!$B$4)</f>
        <v>44</v>
      </c>
    </row>
    <row r="234" spans="1:36" x14ac:dyDescent="0.3">
      <c r="A234" t="s">
        <v>60</v>
      </c>
      <c r="B234" s="3">
        <v>45035</v>
      </c>
      <c r="C234" s="3">
        <v>45046</v>
      </c>
      <c r="D234" s="3">
        <f t="shared" si="40"/>
        <v>45046</v>
      </c>
      <c r="E234" s="4">
        <f t="shared" si="39"/>
        <v>11</v>
      </c>
      <c r="F234" s="4">
        <f t="shared" si="41"/>
        <v>11</v>
      </c>
      <c r="G234" s="4">
        <f>IF(Table1[[#This Row],[CorrectedLeadTimeDays]]&lt;=7, 1, 0)</f>
        <v>0</v>
      </c>
      <c r="H234" s="4" t="str">
        <f t="shared" si="42"/>
        <v>April</v>
      </c>
      <c r="I234" s="4" t="str">
        <f t="shared" si="43"/>
        <v>Q2-2023</v>
      </c>
      <c r="J234" s="4" t="str">
        <f t="shared" si="44"/>
        <v>2023-01</v>
      </c>
      <c r="K234" s="3">
        <f t="shared" si="45"/>
        <v>44955</v>
      </c>
      <c r="L234" t="s">
        <v>647</v>
      </c>
      <c r="M234" t="s">
        <v>654</v>
      </c>
      <c r="N234" t="s">
        <v>680</v>
      </c>
      <c r="O234" t="s">
        <v>705</v>
      </c>
      <c r="P234" t="s">
        <v>707</v>
      </c>
      <c r="Q234" t="s">
        <v>720</v>
      </c>
      <c r="R234">
        <f t="shared" si="46"/>
        <v>2</v>
      </c>
      <c r="S234" t="s">
        <v>729</v>
      </c>
      <c r="T234" t="s">
        <v>779</v>
      </c>
      <c r="U234" s="4">
        <v>826.55</v>
      </c>
      <c r="V234" s="4">
        <f>Table1[[#This Row],[UnitCost]]*(1+WhatIf!$B$3)</f>
        <v>867.87749999999994</v>
      </c>
      <c r="W234" s="4">
        <f t="shared" si="47"/>
        <v>23143.399999999998</v>
      </c>
      <c r="X234" s="4">
        <f>Table1[[#This Row],[ScenarioRev]]-Table1[[#This Row],[ScenarioUnitCost]]</f>
        <v>34889.33784</v>
      </c>
      <c r="Y234" s="4">
        <v>1397.05</v>
      </c>
      <c r="Z234" s="4">
        <f t="shared" si="48"/>
        <v>32506.559399999998</v>
      </c>
      <c r="AA234" s="4">
        <f>Table1[[#This Row],[ScenarioQuanity]]*Table1[[#This Row],[UnitPrice]]*(1-Table1[[#This Row],[ScenarioDiscPct]])</f>
        <v>35757.215340000002</v>
      </c>
      <c r="AB234" s="4">
        <f t="shared" si="49"/>
        <v>9363.1594000000005</v>
      </c>
      <c r="AC234" s="4">
        <f>Table1[[#This Row],[ScenarioRev]] - Table1[[#This Row],[ScenarioCostOfGoods]]</f>
        <v>867.87750000000233</v>
      </c>
      <c r="AD234" s="6">
        <v>0.16900000000000001</v>
      </c>
      <c r="AE234" s="6">
        <f>MIN(Table1[[#This Row],[DiscountPct]], WhatIf!$B$2)</f>
        <v>0.16900000000000001</v>
      </c>
      <c r="AF234" s="6">
        <f>IF(Table1[[#This Row],[DiscountPct]]&gt;0.2, 1, 0)</f>
        <v>0</v>
      </c>
      <c r="AG234" s="6" t="str">
        <f t="shared" si="50"/>
        <v>High</v>
      </c>
      <c r="AH234" s="6">
        <f t="shared" si="51"/>
        <v>0.28803907804527601</v>
      </c>
      <c r="AI234" s="5">
        <v>28</v>
      </c>
      <c r="AJ234" s="6">
        <f>Table1[[#This Row],[Quantity]]*(1+WhatIf!$B$4)</f>
        <v>30.800000000000004</v>
      </c>
    </row>
    <row r="235" spans="1:36" x14ac:dyDescent="0.3">
      <c r="A235" t="s">
        <v>284</v>
      </c>
      <c r="B235" s="3">
        <v>45141</v>
      </c>
      <c r="C235" s="3">
        <v>45152</v>
      </c>
      <c r="D235" s="3">
        <f t="shared" si="40"/>
        <v>45152</v>
      </c>
      <c r="E235" s="4">
        <f t="shared" si="39"/>
        <v>11</v>
      </c>
      <c r="F235" s="4">
        <f t="shared" si="41"/>
        <v>11</v>
      </c>
      <c r="G235" s="4">
        <f>IF(Table1[[#This Row],[CorrectedLeadTimeDays]]&lt;=7, 1, 0)</f>
        <v>0</v>
      </c>
      <c r="H235" s="4" t="str">
        <f t="shared" si="42"/>
        <v>August</v>
      </c>
      <c r="I235" s="4" t="str">
        <f t="shared" si="43"/>
        <v>Q3-2023</v>
      </c>
      <c r="J235" s="4" t="str">
        <f t="shared" si="44"/>
        <v>2023-01</v>
      </c>
      <c r="K235" s="3">
        <f t="shared" si="45"/>
        <v>44955</v>
      </c>
      <c r="L235" t="s">
        <v>648</v>
      </c>
      <c r="M235" t="s">
        <v>655</v>
      </c>
      <c r="N235" t="s">
        <v>672</v>
      </c>
      <c r="O235" t="s">
        <v>701</v>
      </c>
      <c r="P235" t="s">
        <v>711</v>
      </c>
      <c r="Q235" t="s">
        <v>713</v>
      </c>
      <c r="R235">
        <f t="shared" si="46"/>
        <v>6</v>
      </c>
      <c r="S235" t="s">
        <v>733</v>
      </c>
      <c r="T235" t="s">
        <v>1004</v>
      </c>
      <c r="U235" s="4">
        <v>232.73</v>
      </c>
      <c r="V235" s="4">
        <f>Table1[[#This Row],[UnitCost]]*(1+WhatIf!$B$3)</f>
        <v>244.3665</v>
      </c>
      <c r="W235" s="4">
        <f t="shared" si="47"/>
        <v>5818.25</v>
      </c>
      <c r="X235" s="4">
        <f>Table1[[#This Row],[ScenarioRev]]-Table1[[#This Row],[ScenarioUnitCost]]</f>
        <v>7714.3683499999997</v>
      </c>
      <c r="Y235" s="4">
        <v>334.19</v>
      </c>
      <c r="Z235" s="4">
        <f t="shared" si="48"/>
        <v>7235.2134999999998</v>
      </c>
      <c r="AA235" s="4">
        <f>Table1[[#This Row],[ScenarioQuanity]]*Table1[[#This Row],[UnitPrice]]*(1-Table1[[#This Row],[ScenarioDiscPct]])</f>
        <v>7958.7348499999998</v>
      </c>
      <c r="AB235" s="4">
        <f t="shared" si="49"/>
        <v>1416.9634999999998</v>
      </c>
      <c r="AC235" s="4">
        <f>Table1[[#This Row],[ScenarioRev]] - Table1[[#This Row],[ScenarioCostOfGoods]]</f>
        <v>244.36650000000009</v>
      </c>
      <c r="AD235" s="6">
        <v>0.13400000000000001</v>
      </c>
      <c r="AE235" s="6">
        <f>MIN(Table1[[#This Row],[DiscountPct]], WhatIf!$B$2)</f>
        <v>0.13400000000000001</v>
      </c>
      <c r="AF235" s="6">
        <f>IF(Table1[[#This Row],[DiscountPct]]&gt;0.2, 1, 0)</f>
        <v>0</v>
      </c>
      <c r="AG235" s="6" t="str">
        <f t="shared" si="50"/>
        <v>Low</v>
      </c>
      <c r="AH235" s="6">
        <f t="shared" si="51"/>
        <v>0.1958426658729559</v>
      </c>
      <c r="AI235" s="5">
        <v>25</v>
      </c>
      <c r="AJ235" s="6">
        <f>Table1[[#This Row],[Quantity]]*(1+WhatIf!$B$4)</f>
        <v>27.500000000000004</v>
      </c>
    </row>
    <row r="236" spans="1:36" x14ac:dyDescent="0.3">
      <c r="A236" t="s">
        <v>445</v>
      </c>
      <c r="B236" s="3">
        <v>45654</v>
      </c>
      <c r="C236" s="3">
        <v>45665</v>
      </c>
      <c r="D236" s="3">
        <f t="shared" si="40"/>
        <v>45665</v>
      </c>
      <c r="E236" s="4">
        <f t="shared" si="39"/>
        <v>11</v>
      </c>
      <c r="F236" s="4">
        <f t="shared" si="41"/>
        <v>11</v>
      </c>
      <c r="G236" s="4">
        <f>IF(Table1[[#This Row],[CorrectedLeadTimeDays]]&lt;=7, 1, 0)</f>
        <v>0</v>
      </c>
      <c r="H236" s="4" t="str">
        <f t="shared" si="42"/>
        <v>December</v>
      </c>
      <c r="I236" s="4" t="str">
        <f t="shared" si="43"/>
        <v>Q4-2024</v>
      </c>
      <c r="J236" s="4" t="str">
        <f t="shared" si="44"/>
        <v>2023-01</v>
      </c>
      <c r="K236" s="3">
        <f t="shared" si="45"/>
        <v>44938</v>
      </c>
      <c r="L236" t="s">
        <v>647</v>
      </c>
      <c r="M236" t="s">
        <v>659</v>
      </c>
      <c r="N236" t="s">
        <v>676</v>
      </c>
      <c r="O236" t="s">
        <v>706</v>
      </c>
      <c r="P236" t="s">
        <v>708</v>
      </c>
      <c r="Q236" t="s">
        <v>723</v>
      </c>
      <c r="R236">
        <f t="shared" si="46"/>
        <v>23</v>
      </c>
      <c r="S236" t="s">
        <v>731</v>
      </c>
      <c r="T236" t="s">
        <v>1164</v>
      </c>
      <c r="U236" s="4">
        <v>1201.31</v>
      </c>
      <c r="V236" s="4">
        <f>Table1[[#This Row],[UnitCost]]*(1+WhatIf!$B$3)</f>
        <v>1261.3755000000001</v>
      </c>
      <c r="W236" s="4">
        <f t="shared" si="47"/>
        <v>25227.51</v>
      </c>
      <c r="X236" s="4">
        <f>Table1[[#This Row],[ScenarioRev]]-Table1[[#This Row],[ScenarioUnitCost]]</f>
        <v>62602.039500000006</v>
      </c>
      <c r="Y236" s="4">
        <v>2764.65</v>
      </c>
      <c r="Z236" s="4">
        <f t="shared" si="48"/>
        <v>58057.65</v>
      </c>
      <c r="AA236" s="4">
        <f>Table1[[#This Row],[ScenarioQuanity]]*Table1[[#This Row],[UnitPrice]]*(1-Table1[[#This Row],[ScenarioDiscPct]])</f>
        <v>63863.415000000008</v>
      </c>
      <c r="AB236" s="4">
        <f t="shared" si="49"/>
        <v>32830.14</v>
      </c>
      <c r="AC236" s="4">
        <f>Table1[[#This Row],[ScenarioRev]] - Table1[[#This Row],[ScenarioCostOfGoods]]</f>
        <v>1261.3755000000019</v>
      </c>
      <c r="AD236" s="6">
        <v>0</v>
      </c>
      <c r="AE236" s="6">
        <f>MIN(Table1[[#This Row],[DiscountPct]], WhatIf!$B$2)</f>
        <v>0</v>
      </c>
      <c r="AF236" s="6">
        <f>IF(Table1[[#This Row],[DiscountPct]]&gt;0.2, 1, 0)</f>
        <v>0</v>
      </c>
      <c r="AG236" s="6" t="str">
        <f t="shared" si="50"/>
        <v>High</v>
      </c>
      <c r="AH236" s="6">
        <f t="shared" si="51"/>
        <v>0.56547483406579491</v>
      </c>
      <c r="AI236" s="5">
        <v>21</v>
      </c>
      <c r="AJ236" s="6">
        <f>Table1[[#This Row],[Quantity]]*(1+WhatIf!$B$4)</f>
        <v>23.1</v>
      </c>
    </row>
    <row r="237" spans="1:36" x14ac:dyDescent="0.3">
      <c r="A237" t="s">
        <v>586</v>
      </c>
      <c r="B237" s="3">
        <v>45740</v>
      </c>
      <c r="C237" s="3">
        <v>45751</v>
      </c>
      <c r="D237" s="3">
        <f t="shared" si="40"/>
        <v>45751</v>
      </c>
      <c r="E237" s="4">
        <f t="shared" si="39"/>
        <v>11</v>
      </c>
      <c r="F237" s="4">
        <f t="shared" si="41"/>
        <v>11</v>
      </c>
      <c r="G237" s="4">
        <f>IF(Table1[[#This Row],[CorrectedLeadTimeDays]]&lt;=7, 1, 0)</f>
        <v>0</v>
      </c>
      <c r="H237" s="4" t="str">
        <f t="shared" si="42"/>
        <v>March</v>
      </c>
      <c r="I237" s="4" t="str">
        <f t="shared" si="43"/>
        <v>Q1-2025</v>
      </c>
      <c r="J237" s="4" t="str">
        <f t="shared" si="44"/>
        <v>2023-01</v>
      </c>
      <c r="K237" s="3">
        <f t="shared" si="45"/>
        <v>44955</v>
      </c>
      <c r="L237" t="s">
        <v>647</v>
      </c>
      <c r="M237" t="s">
        <v>654</v>
      </c>
      <c r="N237" t="s">
        <v>691</v>
      </c>
      <c r="O237" t="s">
        <v>702</v>
      </c>
      <c r="P237" t="s">
        <v>709</v>
      </c>
      <c r="Q237" t="s">
        <v>713</v>
      </c>
      <c r="R237">
        <f t="shared" si="46"/>
        <v>25</v>
      </c>
      <c r="S237" t="s">
        <v>730</v>
      </c>
      <c r="T237" t="s">
        <v>1304</v>
      </c>
      <c r="U237" s="4">
        <v>23.83</v>
      </c>
      <c r="V237" s="4">
        <f>Table1[[#This Row],[UnitCost]]*(1+WhatIf!$B$3)</f>
        <v>25.0215</v>
      </c>
      <c r="W237" s="4">
        <f t="shared" si="47"/>
        <v>452.77</v>
      </c>
      <c r="X237" s="4">
        <f>Table1[[#This Row],[ScenarioRev]]-Table1[[#This Row],[ScenarioUnitCost]]</f>
        <v>900.08439600000008</v>
      </c>
      <c r="Y237" s="4">
        <v>47.29</v>
      </c>
      <c r="Z237" s="4">
        <f t="shared" si="48"/>
        <v>841.00536</v>
      </c>
      <c r="AA237" s="4">
        <f>Table1[[#This Row],[ScenarioQuanity]]*Table1[[#This Row],[UnitPrice]]*(1-Table1[[#This Row],[ScenarioDiscPct]])</f>
        <v>925.10589600000003</v>
      </c>
      <c r="AB237" s="4">
        <f t="shared" si="49"/>
        <v>388.23536000000001</v>
      </c>
      <c r="AC237" s="4">
        <f>Table1[[#This Row],[ScenarioRev]] - Table1[[#This Row],[ScenarioCostOfGoods]]</f>
        <v>25.021499999999946</v>
      </c>
      <c r="AD237" s="6">
        <v>6.4000000000000001E-2</v>
      </c>
      <c r="AE237" s="6">
        <f>MIN(Table1[[#This Row],[DiscountPct]], WhatIf!$B$2)</f>
        <v>6.4000000000000001E-2</v>
      </c>
      <c r="AF237" s="6">
        <f>IF(Table1[[#This Row],[DiscountPct]]&gt;0.2, 1, 0)</f>
        <v>0</v>
      </c>
      <c r="AG237" s="6" t="str">
        <f t="shared" si="50"/>
        <v>Low</v>
      </c>
      <c r="AH237" s="6">
        <f t="shared" si="51"/>
        <v>0.46163244429262618</v>
      </c>
      <c r="AI237" s="5">
        <v>19</v>
      </c>
      <c r="AJ237" s="6">
        <f>Table1[[#This Row],[Quantity]]*(1+WhatIf!$B$4)</f>
        <v>20.900000000000002</v>
      </c>
    </row>
    <row r="238" spans="1:36" x14ac:dyDescent="0.3">
      <c r="A238" t="s">
        <v>501</v>
      </c>
      <c r="B238" s="3">
        <v>45613</v>
      </c>
      <c r="C238" s="3">
        <v>45624</v>
      </c>
      <c r="D238" s="3">
        <f t="shared" si="40"/>
        <v>45624</v>
      </c>
      <c r="E238" s="4">
        <f t="shared" si="39"/>
        <v>11</v>
      </c>
      <c r="F238" s="4">
        <f t="shared" si="41"/>
        <v>11</v>
      </c>
      <c r="G238" s="4">
        <f>IF(Table1[[#This Row],[CorrectedLeadTimeDays]]&lt;=7, 1, 0)</f>
        <v>0</v>
      </c>
      <c r="H238" s="4" t="str">
        <f t="shared" si="42"/>
        <v>November</v>
      </c>
      <c r="I238" s="4" t="str">
        <f t="shared" si="43"/>
        <v>Q4-2024</v>
      </c>
      <c r="J238" s="4" t="str">
        <f t="shared" si="44"/>
        <v>2023-01</v>
      </c>
      <c r="K238" s="3">
        <f t="shared" si="45"/>
        <v>44928</v>
      </c>
      <c r="L238" t="s">
        <v>648</v>
      </c>
      <c r="M238" t="s">
        <v>653</v>
      </c>
      <c r="O238" t="s">
        <v>704</v>
      </c>
      <c r="P238" t="s">
        <v>710</v>
      </c>
      <c r="Q238" t="s">
        <v>720</v>
      </c>
      <c r="R238">
        <f t="shared" si="46"/>
        <v>22</v>
      </c>
      <c r="S238" t="s">
        <v>728</v>
      </c>
      <c r="T238" t="s">
        <v>1220</v>
      </c>
      <c r="U238" s="4">
        <v>1008.16</v>
      </c>
      <c r="V238" s="4">
        <f>Table1[[#This Row],[UnitCost]]*(1+WhatIf!$B$3)</f>
        <v>1058.568</v>
      </c>
      <c r="W238" s="4">
        <f t="shared" si="47"/>
        <v>15122.4</v>
      </c>
      <c r="X238" s="4">
        <f>Table1[[#This Row],[ScenarioRev]]-Table1[[#This Row],[ScenarioUnitCost]]</f>
        <v>30683.554500000002</v>
      </c>
      <c r="Y238" s="4">
        <v>2077.5</v>
      </c>
      <c r="Z238" s="4">
        <f t="shared" si="48"/>
        <v>28856.475000000002</v>
      </c>
      <c r="AA238" s="4">
        <f>Table1[[#This Row],[ScenarioQuanity]]*Table1[[#This Row],[UnitPrice]]*(1-Table1[[#This Row],[ScenarioDiscPct]])</f>
        <v>31742.122500000001</v>
      </c>
      <c r="AB238" s="4">
        <f t="shared" si="49"/>
        <v>13734.075000000003</v>
      </c>
      <c r="AC238" s="4">
        <f>Table1[[#This Row],[ScenarioRev]] - Table1[[#This Row],[ScenarioCostOfGoods]]</f>
        <v>1058.5679999999993</v>
      </c>
      <c r="AD238" s="6">
        <v>7.3999999999999996E-2</v>
      </c>
      <c r="AE238" s="6">
        <f>MIN(Table1[[#This Row],[DiscountPct]], WhatIf!$B$2)</f>
        <v>7.3999999999999996E-2</v>
      </c>
      <c r="AF238" s="6">
        <f>IF(Table1[[#This Row],[DiscountPct]]&gt;0.2, 1, 0)</f>
        <v>0</v>
      </c>
      <c r="AG238" s="6" t="str">
        <f t="shared" si="50"/>
        <v>High</v>
      </c>
      <c r="AH238" s="6">
        <f t="shared" si="51"/>
        <v>0.47594430712691005</v>
      </c>
      <c r="AI238" s="5">
        <v>15</v>
      </c>
      <c r="AJ238" s="6">
        <f>Table1[[#This Row],[Quantity]]*(1+WhatIf!$B$4)</f>
        <v>16.5</v>
      </c>
    </row>
    <row r="239" spans="1:36" x14ac:dyDescent="0.3">
      <c r="A239" t="s">
        <v>575</v>
      </c>
      <c r="B239" s="3">
        <v>45590</v>
      </c>
      <c r="C239" s="3">
        <v>45601</v>
      </c>
      <c r="D239" s="3">
        <f t="shared" si="40"/>
        <v>45601</v>
      </c>
      <c r="E239" s="4">
        <f t="shared" si="39"/>
        <v>11</v>
      </c>
      <c r="F239" s="4">
        <f t="shared" si="41"/>
        <v>11</v>
      </c>
      <c r="G239" s="4">
        <f>IF(Table1[[#This Row],[CorrectedLeadTimeDays]]&lt;=7, 1, 0)</f>
        <v>0</v>
      </c>
      <c r="H239" s="4" t="str">
        <f t="shared" si="42"/>
        <v>October</v>
      </c>
      <c r="I239" s="4" t="str">
        <f t="shared" si="43"/>
        <v>Q4-2024</v>
      </c>
      <c r="J239" s="4" t="str">
        <f t="shared" si="44"/>
        <v>2023-01</v>
      </c>
      <c r="K239" s="3">
        <f t="shared" si="45"/>
        <v>44939</v>
      </c>
      <c r="L239" t="s">
        <v>648</v>
      </c>
      <c r="M239" t="s">
        <v>660</v>
      </c>
      <c r="N239" t="s">
        <v>700</v>
      </c>
      <c r="O239" t="s">
        <v>701</v>
      </c>
      <c r="P239" t="s">
        <v>710</v>
      </c>
      <c r="Q239" t="s">
        <v>725</v>
      </c>
      <c r="R239">
        <f t="shared" si="46"/>
        <v>21</v>
      </c>
      <c r="S239" t="s">
        <v>727</v>
      </c>
      <c r="T239" t="s">
        <v>1293</v>
      </c>
      <c r="U239" s="4">
        <v>446.66</v>
      </c>
      <c r="V239" s="4">
        <f>Table1[[#This Row],[UnitCost]]*(1+WhatIf!$B$3)</f>
        <v>468.99300000000005</v>
      </c>
      <c r="W239" s="4">
        <f t="shared" si="47"/>
        <v>6699.9000000000005</v>
      </c>
      <c r="X239" s="4">
        <f>Table1[[#This Row],[ScenarioRev]]-Table1[[#This Row],[ScenarioUnitCost]]</f>
        <v>6974.6882999999989</v>
      </c>
      <c r="Y239" s="4">
        <v>527.64</v>
      </c>
      <c r="Z239" s="4">
        <f t="shared" si="48"/>
        <v>6766.9829999999993</v>
      </c>
      <c r="AA239" s="4">
        <f>Table1[[#This Row],[ScenarioQuanity]]*Table1[[#This Row],[UnitPrice]]*(1-Table1[[#This Row],[ScenarioDiscPct]])</f>
        <v>7443.6812999999993</v>
      </c>
      <c r="AB239" s="4">
        <f t="shared" si="49"/>
        <v>67.082999999998719</v>
      </c>
      <c r="AC239" s="4">
        <f>Table1[[#This Row],[ScenarioRev]] - Table1[[#This Row],[ScenarioCostOfGoods]]</f>
        <v>468.99300000000039</v>
      </c>
      <c r="AD239" s="6">
        <v>0.14499999999999999</v>
      </c>
      <c r="AE239" s="6">
        <f>MIN(Table1[[#This Row],[DiscountPct]], WhatIf!$B$2)</f>
        <v>0.14499999999999999</v>
      </c>
      <c r="AF239" s="6">
        <f>IF(Table1[[#This Row],[DiscountPct]]&gt;0.2, 1, 0)</f>
        <v>0</v>
      </c>
      <c r="AG239" s="6" t="str">
        <f t="shared" si="50"/>
        <v>Low</v>
      </c>
      <c r="AH239" s="6">
        <f t="shared" si="51"/>
        <v>9.9132804087137105E-3</v>
      </c>
      <c r="AI239" s="5">
        <v>15</v>
      </c>
      <c r="AJ239" s="6">
        <f>Table1[[#This Row],[Quantity]]*(1+WhatIf!$B$4)</f>
        <v>16.5</v>
      </c>
    </row>
    <row r="240" spans="1:36" x14ac:dyDescent="0.3">
      <c r="A240" t="s">
        <v>193</v>
      </c>
      <c r="B240" s="3">
        <v>45021</v>
      </c>
      <c r="C240" s="3">
        <v>45032</v>
      </c>
      <c r="D240" s="3">
        <f t="shared" si="40"/>
        <v>45032</v>
      </c>
      <c r="E240" s="4">
        <f t="shared" si="39"/>
        <v>11</v>
      </c>
      <c r="F240" s="4">
        <f t="shared" si="41"/>
        <v>11</v>
      </c>
      <c r="G240" s="4">
        <f>IF(Table1[[#This Row],[CorrectedLeadTimeDays]]&lt;=7, 1, 0)</f>
        <v>0</v>
      </c>
      <c r="H240" s="4" t="str">
        <f t="shared" si="42"/>
        <v>April</v>
      </c>
      <c r="I240" s="4" t="str">
        <f t="shared" si="43"/>
        <v>Q2-2023</v>
      </c>
      <c r="J240" s="4" t="str">
        <f t="shared" si="44"/>
        <v>2023-01</v>
      </c>
      <c r="K240" s="3">
        <f t="shared" si="45"/>
        <v>44928</v>
      </c>
      <c r="L240" t="s">
        <v>648</v>
      </c>
      <c r="M240" t="s">
        <v>653</v>
      </c>
      <c r="N240" t="s">
        <v>688</v>
      </c>
      <c r="O240" t="s">
        <v>703</v>
      </c>
      <c r="P240" t="s">
        <v>708</v>
      </c>
      <c r="Q240" t="s">
        <v>719</v>
      </c>
      <c r="R240">
        <f t="shared" si="46"/>
        <v>3</v>
      </c>
      <c r="S240" t="s">
        <v>732</v>
      </c>
      <c r="T240" t="s">
        <v>912</v>
      </c>
      <c r="U240" s="4">
        <v>213.1</v>
      </c>
      <c r="V240" s="4">
        <f>Table1[[#This Row],[UnitCost]]*(1+WhatIf!$B$3)</f>
        <v>223.755</v>
      </c>
      <c r="W240" s="4">
        <f t="shared" si="47"/>
        <v>3196.5</v>
      </c>
      <c r="X240" s="4">
        <f>Table1[[#This Row],[ScenarioRev]]-Table1[[#This Row],[ScenarioUnitCost]]</f>
        <v>7584.6495599999989</v>
      </c>
      <c r="Y240" s="4">
        <v>501.31</v>
      </c>
      <c r="Z240" s="4">
        <f t="shared" si="48"/>
        <v>7098.5495999999994</v>
      </c>
      <c r="AA240" s="4">
        <f>Table1[[#This Row],[ScenarioQuanity]]*Table1[[#This Row],[UnitPrice]]*(1-Table1[[#This Row],[ScenarioDiscPct]])</f>
        <v>7808.404559999999</v>
      </c>
      <c r="AB240" s="4">
        <f t="shared" si="49"/>
        <v>3902.0495999999994</v>
      </c>
      <c r="AC240" s="4">
        <f>Table1[[#This Row],[ScenarioRev]] - Table1[[#This Row],[ScenarioCostOfGoods]]</f>
        <v>223.75500000000011</v>
      </c>
      <c r="AD240" s="6">
        <v>5.6000000000000001E-2</v>
      </c>
      <c r="AE240" s="6">
        <f>MIN(Table1[[#This Row],[DiscountPct]], WhatIf!$B$2)</f>
        <v>5.6000000000000001E-2</v>
      </c>
      <c r="AF240" s="6">
        <f>IF(Table1[[#This Row],[DiscountPct]]&gt;0.2, 1, 0)</f>
        <v>0</v>
      </c>
      <c r="AG240" s="6" t="str">
        <f t="shared" si="50"/>
        <v>Low</v>
      </c>
      <c r="AH240" s="6">
        <f t="shared" si="51"/>
        <v>0.54969674368409005</v>
      </c>
      <c r="AI240" s="5">
        <v>15</v>
      </c>
      <c r="AJ240" s="6">
        <f>Table1[[#This Row],[Quantity]]*(1+WhatIf!$B$4)</f>
        <v>16.5</v>
      </c>
    </row>
    <row r="241" spans="1:36" x14ac:dyDescent="0.3">
      <c r="A241" t="s">
        <v>539</v>
      </c>
      <c r="B241" s="3">
        <v>45398</v>
      </c>
      <c r="C241" s="3">
        <v>45409</v>
      </c>
      <c r="D241" s="3">
        <f t="shared" si="40"/>
        <v>45409</v>
      </c>
      <c r="E241" s="4">
        <f t="shared" si="39"/>
        <v>11</v>
      </c>
      <c r="F241" s="4">
        <f t="shared" si="41"/>
        <v>11</v>
      </c>
      <c r="G241" s="4">
        <f>IF(Table1[[#This Row],[CorrectedLeadTimeDays]]&lt;=7, 1, 0)</f>
        <v>0</v>
      </c>
      <c r="H241" s="4" t="str">
        <f t="shared" si="42"/>
        <v>April</v>
      </c>
      <c r="I241" s="4" t="str">
        <f t="shared" si="43"/>
        <v>Q2-2024</v>
      </c>
      <c r="J241" s="4" t="str">
        <f t="shared" si="44"/>
        <v>2023-01</v>
      </c>
      <c r="K241" s="3">
        <f t="shared" si="45"/>
        <v>44946</v>
      </c>
      <c r="L241" t="s">
        <v>646</v>
      </c>
      <c r="M241" t="s">
        <v>650</v>
      </c>
      <c r="N241" t="s">
        <v>678</v>
      </c>
      <c r="O241" t="s">
        <v>706</v>
      </c>
      <c r="P241" t="s">
        <v>708</v>
      </c>
      <c r="Q241" t="s">
        <v>726</v>
      </c>
      <c r="R241">
        <f t="shared" si="46"/>
        <v>14</v>
      </c>
      <c r="S241" t="s">
        <v>728</v>
      </c>
      <c r="T241" t="s">
        <v>1258</v>
      </c>
      <c r="U241" s="4">
        <v>401.3</v>
      </c>
      <c r="V241" s="4">
        <f>Table1[[#This Row],[UnitCost]]*(1+WhatIf!$B$3)</f>
        <v>421.36500000000001</v>
      </c>
      <c r="W241" s="4">
        <f t="shared" si="47"/>
        <v>5216.9000000000005</v>
      </c>
      <c r="X241" s="4">
        <f>Table1[[#This Row],[ScenarioRev]]-Table1[[#This Row],[ScenarioUnitCost]]</f>
        <v>9033.4518000000007</v>
      </c>
      <c r="Y241" s="4">
        <v>826.47</v>
      </c>
      <c r="Z241" s="4">
        <f t="shared" si="48"/>
        <v>8326.6852500000005</v>
      </c>
      <c r="AA241" s="4">
        <f>Table1[[#This Row],[ScenarioQuanity]]*Table1[[#This Row],[UnitPrice]]*(1-Table1[[#This Row],[ScenarioDiscPct]])</f>
        <v>9454.8168000000005</v>
      </c>
      <c r="AB241" s="4">
        <f t="shared" si="49"/>
        <v>3109.7852499999999</v>
      </c>
      <c r="AC241" s="4">
        <f>Table1[[#This Row],[ScenarioRev]] - Table1[[#This Row],[ScenarioCostOfGoods]]</f>
        <v>421.36499999999978</v>
      </c>
      <c r="AD241" s="6">
        <v>0.22500000000000001</v>
      </c>
      <c r="AE241" s="6">
        <f>MIN(Table1[[#This Row],[DiscountPct]], WhatIf!$B$2)</f>
        <v>0.2</v>
      </c>
      <c r="AF241" s="6">
        <f>IF(Table1[[#This Row],[DiscountPct]]&gt;0.2, 1, 0)</f>
        <v>1</v>
      </c>
      <c r="AG241" s="6" t="str">
        <f t="shared" si="50"/>
        <v>High</v>
      </c>
      <c r="AH241" s="6">
        <f t="shared" si="51"/>
        <v>0.37347217489696755</v>
      </c>
      <c r="AI241" s="5">
        <v>13</v>
      </c>
      <c r="AJ241" s="6">
        <f>Table1[[#This Row],[Quantity]]*(1+WhatIf!$B$4)</f>
        <v>14.3</v>
      </c>
    </row>
    <row r="242" spans="1:36" x14ac:dyDescent="0.3">
      <c r="A242" t="s">
        <v>448</v>
      </c>
      <c r="B242" s="3">
        <v>45542</v>
      </c>
      <c r="C242" s="3">
        <v>45553</v>
      </c>
      <c r="D242" s="3">
        <f t="shared" si="40"/>
        <v>45553</v>
      </c>
      <c r="E242" s="4">
        <f t="shared" si="39"/>
        <v>11</v>
      </c>
      <c r="F242" s="4">
        <f t="shared" si="41"/>
        <v>11</v>
      </c>
      <c r="G242" s="4">
        <f>IF(Table1[[#This Row],[CorrectedLeadTimeDays]]&lt;=7, 1, 0)</f>
        <v>0</v>
      </c>
      <c r="H242" s="4" t="str">
        <f t="shared" si="42"/>
        <v>September</v>
      </c>
      <c r="I242" s="4" t="str">
        <f t="shared" si="43"/>
        <v>Q3-2024</v>
      </c>
      <c r="J242" s="4" t="str">
        <f t="shared" si="44"/>
        <v>2023-01</v>
      </c>
      <c r="K242" s="3">
        <f t="shared" si="45"/>
        <v>44938</v>
      </c>
      <c r="L242" t="s">
        <v>647</v>
      </c>
      <c r="M242" t="s">
        <v>659</v>
      </c>
      <c r="N242" t="s">
        <v>699</v>
      </c>
      <c r="O242" t="s">
        <v>704</v>
      </c>
      <c r="P242" t="s">
        <v>710</v>
      </c>
      <c r="Q242" t="s">
        <v>719</v>
      </c>
      <c r="R242">
        <f t="shared" si="46"/>
        <v>19</v>
      </c>
      <c r="S242" t="s">
        <v>729</v>
      </c>
      <c r="T242" t="s">
        <v>1167</v>
      </c>
      <c r="U242" s="4">
        <v>181.74</v>
      </c>
      <c r="V242" s="4">
        <f>Table1[[#This Row],[UnitCost]]*(1+WhatIf!$B$3)</f>
        <v>190.82700000000003</v>
      </c>
      <c r="W242" s="4">
        <f t="shared" si="47"/>
        <v>2362.62</v>
      </c>
      <c r="X242" s="4">
        <f>Table1[[#This Row],[ScenarioRev]]-Table1[[#This Row],[ScenarioUnitCost]]</f>
        <v>1992.3826000000001</v>
      </c>
      <c r="Y242" s="4">
        <v>190.84</v>
      </c>
      <c r="Z242" s="4">
        <f t="shared" si="48"/>
        <v>1950.0031200000001</v>
      </c>
      <c r="AA242" s="4">
        <f>Table1[[#This Row],[ScenarioQuanity]]*Table1[[#This Row],[UnitPrice]]*(1-Table1[[#This Row],[ScenarioDiscPct]])</f>
        <v>2183.2096000000001</v>
      </c>
      <c r="AB242" s="4">
        <f t="shared" si="49"/>
        <v>-412.61687999999981</v>
      </c>
      <c r="AC242" s="4">
        <f>Table1[[#This Row],[ScenarioRev]] - Table1[[#This Row],[ScenarioCostOfGoods]]</f>
        <v>190.827</v>
      </c>
      <c r="AD242" s="6">
        <v>0.214</v>
      </c>
      <c r="AE242" s="6">
        <f>MIN(Table1[[#This Row],[DiscountPct]], WhatIf!$B$2)</f>
        <v>0.2</v>
      </c>
      <c r="AF242" s="6">
        <f>IF(Table1[[#This Row],[DiscountPct]]&gt;0.2, 1, 0)</f>
        <v>1</v>
      </c>
      <c r="AG242" s="6" t="str">
        <f t="shared" si="50"/>
        <v>Low</v>
      </c>
      <c r="AH242" s="6">
        <f t="shared" si="51"/>
        <v>-0.21159806144310159</v>
      </c>
      <c r="AI242" s="5">
        <v>13</v>
      </c>
      <c r="AJ242" s="6">
        <f>Table1[[#This Row],[Quantity]]*(1+WhatIf!$B$4)</f>
        <v>14.3</v>
      </c>
    </row>
    <row r="243" spans="1:36" x14ac:dyDescent="0.3">
      <c r="A243" t="s">
        <v>297</v>
      </c>
      <c r="B243" s="3">
        <v>45794</v>
      </c>
      <c r="C243" s="3">
        <v>45805</v>
      </c>
      <c r="D243" s="3">
        <f t="shared" si="40"/>
        <v>45805</v>
      </c>
      <c r="E243" s="4">
        <f t="shared" si="39"/>
        <v>11</v>
      </c>
      <c r="F243" s="4">
        <f t="shared" si="41"/>
        <v>11</v>
      </c>
      <c r="G243" s="4">
        <f>IF(Table1[[#This Row],[CorrectedLeadTimeDays]]&lt;=7, 1, 0)</f>
        <v>0</v>
      </c>
      <c r="H243" s="4" t="str">
        <f t="shared" si="42"/>
        <v>May</v>
      </c>
      <c r="I243" s="4" t="str">
        <f t="shared" si="43"/>
        <v>Q2-2025</v>
      </c>
      <c r="J243" s="4" t="str">
        <f t="shared" si="44"/>
        <v>2023-01</v>
      </c>
      <c r="K243" s="3">
        <f t="shared" si="45"/>
        <v>44955</v>
      </c>
      <c r="L243" t="s">
        <v>647</v>
      </c>
      <c r="M243" t="s">
        <v>654</v>
      </c>
      <c r="N243" t="s">
        <v>668</v>
      </c>
      <c r="O243" t="s">
        <v>701</v>
      </c>
      <c r="P243" t="s">
        <v>710</v>
      </c>
      <c r="Q243" t="s">
        <v>717</v>
      </c>
      <c r="R243">
        <f t="shared" si="46"/>
        <v>27</v>
      </c>
      <c r="S243" t="s">
        <v>731</v>
      </c>
      <c r="T243" t="s">
        <v>1017</v>
      </c>
      <c r="U243" s="4">
        <v>623.4</v>
      </c>
      <c r="V243" s="4">
        <f>Table1[[#This Row],[UnitCost]]*(1+WhatIf!$B$3)</f>
        <v>654.57000000000005</v>
      </c>
      <c r="W243" s="4">
        <f t="shared" si="47"/>
        <v>7480.7999999999993</v>
      </c>
      <c r="X243" s="4">
        <f>Table1[[#This Row],[ScenarioRev]]-Table1[[#This Row],[ScenarioUnitCost]]</f>
        <v>12211.202568000001</v>
      </c>
      <c r="Y243" s="4">
        <v>1100.0899999999999</v>
      </c>
      <c r="Z243" s="4">
        <f t="shared" si="48"/>
        <v>11696.156879999999</v>
      </c>
      <c r="AA243" s="4">
        <f>Table1[[#This Row],[ScenarioQuanity]]*Table1[[#This Row],[UnitPrice]]*(1-Table1[[#This Row],[ScenarioDiscPct]])</f>
        <v>12865.772568</v>
      </c>
      <c r="AB243" s="4">
        <f t="shared" si="49"/>
        <v>4215.3568799999994</v>
      </c>
      <c r="AC243" s="4">
        <f>Table1[[#This Row],[ScenarioRev]] - Table1[[#This Row],[ScenarioCostOfGoods]]</f>
        <v>654.56999999999971</v>
      </c>
      <c r="AD243" s="6">
        <v>0.114</v>
      </c>
      <c r="AE243" s="6">
        <f>MIN(Table1[[#This Row],[DiscountPct]], WhatIf!$B$2)</f>
        <v>0.114</v>
      </c>
      <c r="AF243" s="6">
        <f>IF(Table1[[#This Row],[DiscountPct]]&gt;0.2, 1, 0)</f>
        <v>0</v>
      </c>
      <c r="AG243" s="6" t="str">
        <f t="shared" si="50"/>
        <v>High</v>
      </c>
      <c r="AH243" s="6">
        <f t="shared" si="51"/>
        <v>0.36040529579490388</v>
      </c>
      <c r="AI243" s="5">
        <v>12</v>
      </c>
      <c r="AJ243" s="6">
        <f>Table1[[#This Row],[Quantity]]*(1+WhatIf!$B$4)</f>
        <v>13.200000000000001</v>
      </c>
    </row>
    <row r="244" spans="1:36" x14ac:dyDescent="0.3">
      <c r="A244" t="s">
        <v>444</v>
      </c>
      <c r="B244" s="3">
        <v>45597</v>
      </c>
      <c r="C244" s="3">
        <v>45608</v>
      </c>
      <c r="D244" s="3">
        <f t="shared" si="40"/>
        <v>45608</v>
      </c>
      <c r="E244" s="4">
        <f t="shared" si="39"/>
        <v>11</v>
      </c>
      <c r="F244" s="4">
        <f t="shared" si="41"/>
        <v>11</v>
      </c>
      <c r="G244" s="4">
        <f>IF(Table1[[#This Row],[CorrectedLeadTimeDays]]&lt;=7, 1, 0)</f>
        <v>0</v>
      </c>
      <c r="H244" s="4" t="str">
        <f t="shared" si="42"/>
        <v>November</v>
      </c>
      <c r="I244" s="4" t="str">
        <f t="shared" si="43"/>
        <v>Q4-2024</v>
      </c>
      <c r="J244" s="4" t="str">
        <f t="shared" si="44"/>
        <v>2023-01</v>
      </c>
      <c r="K244" s="3">
        <f t="shared" si="45"/>
        <v>44948</v>
      </c>
      <c r="L244" t="s">
        <v>649</v>
      </c>
      <c r="M244" t="s">
        <v>656</v>
      </c>
      <c r="N244" t="s">
        <v>698</v>
      </c>
      <c r="O244" t="s">
        <v>704</v>
      </c>
      <c r="P244" t="s">
        <v>708</v>
      </c>
      <c r="Q244" t="s">
        <v>717</v>
      </c>
      <c r="R244">
        <f t="shared" si="46"/>
        <v>21</v>
      </c>
      <c r="S244" t="s">
        <v>728</v>
      </c>
      <c r="T244" t="s">
        <v>1163</v>
      </c>
      <c r="U244" s="4">
        <v>599.84</v>
      </c>
      <c r="V244" s="4">
        <f>Table1[[#This Row],[UnitCost]]*(1+WhatIf!$B$3)</f>
        <v>629.83200000000011</v>
      </c>
      <c r="W244" s="4">
        <f t="shared" si="47"/>
        <v>6598.2400000000007</v>
      </c>
      <c r="X244" s="4">
        <f>Table1[[#This Row],[ScenarioRev]]-Table1[[#This Row],[ScenarioUnitCost]]</f>
        <v>13621.575225000001</v>
      </c>
      <c r="Y244" s="4">
        <v>1330.85</v>
      </c>
      <c r="Z244" s="4">
        <f t="shared" si="48"/>
        <v>12955.824749999998</v>
      </c>
      <c r="AA244" s="4">
        <f>Table1[[#This Row],[ScenarioQuanity]]*Table1[[#This Row],[UnitPrice]]*(1-Table1[[#This Row],[ScenarioDiscPct]])</f>
        <v>14251.407225000001</v>
      </c>
      <c r="AB244" s="4">
        <f t="shared" si="49"/>
        <v>6357.5847499999973</v>
      </c>
      <c r="AC244" s="4">
        <f>Table1[[#This Row],[ScenarioRev]] - Table1[[#This Row],[ScenarioCostOfGoods]]</f>
        <v>629.83200000000033</v>
      </c>
      <c r="AD244" s="6">
        <v>0.115</v>
      </c>
      <c r="AE244" s="6">
        <f>MIN(Table1[[#This Row],[DiscountPct]], WhatIf!$B$2)</f>
        <v>0.115</v>
      </c>
      <c r="AF244" s="6">
        <f>IF(Table1[[#This Row],[DiscountPct]]&gt;0.2, 1, 0)</f>
        <v>0</v>
      </c>
      <c r="AG244" s="6" t="str">
        <f t="shared" si="50"/>
        <v>High</v>
      </c>
      <c r="AH244" s="6">
        <f t="shared" si="51"/>
        <v>0.49071246892252063</v>
      </c>
      <c r="AI244" s="5">
        <v>11</v>
      </c>
      <c r="AJ244" s="6">
        <f>Table1[[#This Row],[Quantity]]*(1+WhatIf!$B$4)</f>
        <v>12.100000000000001</v>
      </c>
    </row>
    <row r="245" spans="1:36" x14ac:dyDescent="0.3">
      <c r="A245" t="s">
        <v>255</v>
      </c>
      <c r="B245" s="3">
        <v>45793</v>
      </c>
      <c r="C245" s="3">
        <v>45804</v>
      </c>
      <c r="D245" s="3">
        <f t="shared" si="40"/>
        <v>45804</v>
      </c>
      <c r="E245" s="4">
        <f t="shared" si="39"/>
        <v>11</v>
      </c>
      <c r="F245" s="4">
        <f t="shared" si="41"/>
        <v>11</v>
      </c>
      <c r="G245" s="4">
        <f>IF(Table1[[#This Row],[CorrectedLeadTimeDays]]&lt;=7, 1, 0)</f>
        <v>0</v>
      </c>
      <c r="H245" s="4" t="str">
        <f t="shared" si="42"/>
        <v>May</v>
      </c>
      <c r="I245" s="4" t="str">
        <f t="shared" si="43"/>
        <v>Q2-2025</v>
      </c>
      <c r="J245" s="4" t="str">
        <f t="shared" si="44"/>
        <v>2023-01</v>
      </c>
      <c r="K245" s="3">
        <f t="shared" si="45"/>
        <v>44938</v>
      </c>
      <c r="L245" t="s">
        <v>647</v>
      </c>
      <c r="M245" t="s">
        <v>659</v>
      </c>
      <c r="N245" t="s">
        <v>699</v>
      </c>
      <c r="O245" t="s">
        <v>706</v>
      </c>
      <c r="P245" t="s">
        <v>708</v>
      </c>
      <c r="Q245" t="s">
        <v>721</v>
      </c>
      <c r="R245">
        <f t="shared" si="46"/>
        <v>28</v>
      </c>
      <c r="S245" t="s">
        <v>730</v>
      </c>
      <c r="T245" t="s">
        <v>975</v>
      </c>
      <c r="U245" s="4">
        <v>918.12</v>
      </c>
      <c r="V245" s="4">
        <f>Table1[[#This Row],[UnitCost]]*(1+WhatIf!$B$3)</f>
        <v>964.02600000000007</v>
      </c>
      <c r="W245" s="4">
        <f t="shared" si="47"/>
        <v>7344.96</v>
      </c>
      <c r="X245" s="4">
        <f>Table1[[#This Row],[ScenarioRev]]-Table1[[#This Row],[ScenarioUnitCost]]</f>
        <v>9689.3371600000028</v>
      </c>
      <c r="Y245" s="4">
        <v>1337.69</v>
      </c>
      <c r="Z245" s="4">
        <f t="shared" si="48"/>
        <v>9684.8756000000012</v>
      </c>
      <c r="AA245" s="4">
        <f>Table1[[#This Row],[ScenarioQuanity]]*Table1[[#This Row],[UnitPrice]]*(1-Table1[[#This Row],[ScenarioDiscPct]])</f>
        <v>10653.363160000003</v>
      </c>
      <c r="AB245" s="4">
        <f t="shared" si="49"/>
        <v>2339.9156000000012</v>
      </c>
      <c r="AC245" s="4">
        <f>Table1[[#This Row],[ScenarioRev]] - Table1[[#This Row],[ScenarioCostOfGoods]]</f>
        <v>964.02599999999984</v>
      </c>
      <c r="AD245" s="6">
        <v>9.5000000000000001E-2</v>
      </c>
      <c r="AE245" s="6">
        <f>MIN(Table1[[#This Row],[DiscountPct]], WhatIf!$B$2)</f>
        <v>9.5000000000000001E-2</v>
      </c>
      <c r="AF245" s="6">
        <f>IF(Table1[[#This Row],[DiscountPct]]&gt;0.2, 1, 0)</f>
        <v>0</v>
      </c>
      <c r="AG245" s="6" t="str">
        <f t="shared" si="50"/>
        <v>High</v>
      </c>
      <c r="AH245" s="6">
        <f t="shared" si="51"/>
        <v>0.24160512707050164</v>
      </c>
      <c r="AI245" s="5">
        <v>8</v>
      </c>
      <c r="AJ245" s="6">
        <f>Table1[[#This Row],[Quantity]]*(1+WhatIf!$B$4)</f>
        <v>8.8000000000000007</v>
      </c>
    </row>
    <row r="246" spans="1:36" x14ac:dyDescent="0.3">
      <c r="A246" t="s">
        <v>189</v>
      </c>
      <c r="B246" s="3">
        <v>45435</v>
      </c>
      <c r="C246" s="3">
        <v>45446</v>
      </c>
      <c r="D246" s="3">
        <f t="shared" si="40"/>
        <v>45446</v>
      </c>
      <c r="E246" s="4">
        <f t="shared" si="39"/>
        <v>11</v>
      </c>
      <c r="F246" s="4">
        <f t="shared" si="41"/>
        <v>11</v>
      </c>
      <c r="G246" s="4">
        <f>IF(Table1[[#This Row],[CorrectedLeadTimeDays]]&lt;=7, 1, 0)</f>
        <v>0</v>
      </c>
      <c r="H246" s="4" t="str">
        <f t="shared" si="42"/>
        <v>May</v>
      </c>
      <c r="I246" s="4" t="str">
        <f t="shared" si="43"/>
        <v>Q2-2024</v>
      </c>
      <c r="J246" s="4" t="str">
        <f t="shared" si="44"/>
        <v>2023-01</v>
      </c>
      <c r="K246" s="3">
        <f t="shared" si="45"/>
        <v>44933</v>
      </c>
      <c r="L246" t="s">
        <v>646</v>
      </c>
      <c r="M246" t="s">
        <v>661</v>
      </c>
      <c r="N246" t="s">
        <v>682</v>
      </c>
      <c r="O246" t="s">
        <v>705</v>
      </c>
      <c r="P246" t="s">
        <v>710</v>
      </c>
      <c r="Q246" t="s">
        <v>721</v>
      </c>
      <c r="R246">
        <f t="shared" si="46"/>
        <v>16</v>
      </c>
      <c r="S246" t="s">
        <v>728</v>
      </c>
      <c r="T246" t="s">
        <v>908</v>
      </c>
      <c r="U246" s="4">
        <v>180.89</v>
      </c>
      <c r="V246" s="4">
        <f>Table1[[#This Row],[UnitCost]]*(1+WhatIf!$B$3)</f>
        <v>189.93449999999999</v>
      </c>
      <c r="W246" s="4">
        <f t="shared" si="47"/>
        <v>1447.12</v>
      </c>
      <c r="X246" s="4">
        <f>Table1[[#This Row],[ScenarioRev]]-Table1[[#This Row],[ScenarioUnitCost]]</f>
        <v>1957.9647479999996</v>
      </c>
      <c r="Y246" s="4">
        <v>249.57</v>
      </c>
      <c r="Z246" s="4">
        <f t="shared" si="48"/>
        <v>1952.6356799999999</v>
      </c>
      <c r="AA246" s="4">
        <f>Table1[[#This Row],[ScenarioQuanity]]*Table1[[#This Row],[UnitPrice]]*(1-Table1[[#This Row],[ScenarioDiscPct]])</f>
        <v>2147.8992479999997</v>
      </c>
      <c r="AB246" s="4">
        <f t="shared" si="49"/>
        <v>505.51567999999997</v>
      </c>
      <c r="AC246" s="4">
        <f>Table1[[#This Row],[ScenarioRev]] - Table1[[#This Row],[ScenarioCostOfGoods]]</f>
        <v>189.93450000000007</v>
      </c>
      <c r="AD246" s="6">
        <v>2.1999999999999999E-2</v>
      </c>
      <c r="AE246" s="6">
        <f>MIN(Table1[[#This Row],[DiscountPct]], WhatIf!$B$2)</f>
        <v>2.1999999999999999E-2</v>
      </c>
      <c r="AF246" s="6">
        <f>IF(Table1[[#This Row],[DiscountPct]]&gt;0.2, 1, 0)</f>
        <v>0</v>
      </c>
      <c r="AG246" s="6" t="str">
        <f t="shared" si="50"/>
        <v>Low</v>
      </c>
      <c r="AH246" s="6">
        <f t="shared" si="51"/>
        <v>0.25888888806948362</v>
      </c>
      <c r="AI246" s="5">
        <v>8</v>
      </c>
      <c r="AJ246" s="6">
        <f>Table1[[#This Row],[Quantity]]*(1+WhatIf!$B$4)</f>
        <v>8.8000000000000007</v>
      </c>
    </row>
    <row r="247" spans="1:36" x14ac:dyDescent="0.3">
      <c r="A247" t="s">
        <v>74</v>
      </c>
      <c r="B247" s="3">
        <v>45779</v>
      </c>
      <c r="C247" s="3">
        <v>45790</v>
      </c>
      <c r="D247" s="3">
        <f t="shared" si="40"/>
        <v>45790</v>
      </c>
      <c r="E247" s="4">
        <f t="shared" si="39"/>
        <v>11</v>
      </c>
      <c r="F247" s="4">
        <f t="shared" si="41"/>
        <v>11</v>
      </c>
      <c r="G247" s="4">
        <f>IF(Table1[[#This Row],[CorrectedLeadTimeDays]]&lt;=7, 1, 0)</f>
        <v>0</v>
      </c>
      <c r="H247" s="4" t="str">
        <f t="shared" si="42"/>
        <v>May</v>
      </c>
      <c r="I247" s="4" t="str">
        <f t="shared" si="43"/>
        <v>Q2-2025</v>
      </c>
      <c r="J247" s="4" t="str">
        <f t="shared" si="44"/>
        <v>2023-01</v>
      </c>
      <c r="K247" s="3">
        <f t="shared" si="45"/>
        <v>44946</v>
      </c>
      <c r="L247" t="s">
        <v>646</v>
      </c>
      <c r="M247" t="s">
        <v>650</v>
      </c>
      <c r="N247" t="s">
        <v>678</v>
      </c>
      <c r="O247" t="s">
        <v>705</v>
      </c>
      <c r="P247" t="s">
        <v>708</v>
      </c>
      <c r="Q247" t="s">
        <v>720</v>
      </c>
      <c r="R247">
        <f t="shared" si="46"/>
        <v>27</v>
      </c>
      <c r="S247" t="s">
        <v>733</v>
      </c>
      <c r="T247" t="s">
        <v>793</v>
      </c>
      <c r="U247" s="4">
        <v>1057.5999999999999</v>
      </c>
      <c r="V247" s="4">
        <f>Table1[[#This Row],[UnitCost]]*(1+WhatIf!$B$3)</f>
        <v>1110.48</v>
      </c>
      <c r="W247" s="4">
        <f t="shared" si="47"/>
        <v>4230.3999999999996</v>
      </c>
      <c r="X247" s="4">
        <f>Table1[[#This Row],[ScenarioRev]]-Table1[[#This Row],[ScenarioUnitCost]]</f>
        <v>3947.9712000000004</v>
      </c>
      <c r="Y247" s="4">
        <v>1437.06</v>
      </c>
      <c r="Z247" s="4">
        <f t="shared" si="48"/>
        <v>4569.8508000000002</v>
      </c>
      <c r="AA247" s="4">
        <f>Table1[[#This Row],[ScenarioQuanity]]*Table1[[#This Row],[UnitPrice]]*(1-Table1[[#This Row],[ScenarioDiscPct]])</f>
        <v>5058.4512000000004</v>
      </c>
      <c r="AB247" s="4">
        <f t="shared" si="49"/>
        <v>339.45080000000053</v>
      </c>
      <c r="AC247" s="4">
        <f>Table1[[#This Row],[ScenarioRev]] - Table1[[#This Row],[ScenarioCostOfGoods]]</f>
        <v>1110.48</v>
      </c>
      <c r="AD247" s="6">
        <v>0.20499999999999999</v>
      </c>
      <c r="AE247" s="6">
        <f>MIN(Table1[[#This Row],[DiscountPct]], WhatIf!$B$2)</f>
        <v>0.2</v>
      </c>
      <c r="AF247" s="6">
        <f>IF(Table1[[#This Row],[DiscountPct]]&gt;0.2, 1, 0)</f>
        <v>1</v>
      </c>
      <c r="AG247" s="6" t="str">
        <f t="shared" si="50"/>
        <v>High</v>
      </c>
      <c r="AH247" s="6">
        <f t="shared" si="51"/>
        <v>7.4280499485891424E-2</v>
      </c>
      <c r="AI247" s="5">
        <v>4</v>
      </c>
      <c r="AJ247" s="6">
        <f>Table1[[#This Row],[Quantity]]*(1+WhatIf!$B$4)</f>
        <v>4.4000000000000004</v>
      </c>
    </row>
    <row r="248" spans="1:36" x14ac:dyDescent="0.3">
      <c r="A248" t="s">
        <v>579</v>
      </c>
      <c r="B248" s="3">
        <v>45315</v>
      </c>
      <c r="C248" s="3">
        <v>45326</v>
      </c>
      <c r="D248" s="3">
        <f t="shared" si="40"/>
        <v>45326</v>
      </c>
      <c r="E248" s="4">
        <f t="shared" si="39"/>
        <v>11</v>
      </c>
      <c r="F248" s="4">
        <f t="shared" si="41"/>
        <v>11</v>
      </c>
      <c r="G248" s="4">
        <f>IF(Table1[[#This Row],[CorrectedLeadTimeDays]]&lt;=7, 1, 0)</f>
        <v>0</v>
      </c>
      <c r="H248" s="4" t="str">
        <f t="shared" si="42"/>
        <v>January</v>
      </c>
      <c r="I248" s="4" t="str">
        <f t="shared" si="43"/>
        <v>Q1-2024</v>
      </c>
      <c r="J248" s="4" t="str">
        <f t="shared" si="44"/>
        <v>2023-01</v>
      </c>
      <c r="K248" s="3">
        <f t="shared" si="45"/>
        <v>44945</v>
      </c>
      <c r="L248" t="s">
        <v>649</v>
      </c>
      <c r="M248" t="s">
        <v>658</v>
      </c>
      <c r="N248" t="s">
        <v>693</v>
      </c>
      <c r="O248" t="s">
        <v>704</v>
      </c>
      <c r="P248" t="s">
        <v>707</v>
      </c>
      <c r="Q248" t="s">
        <v>717</v>
      </c>
      <c r="R248">
        <f t="shared" si="46"/>
        <v>12</v>
      </c>
      <c r="S248" t="s">
        <v>731</v>
      </c>
      <c r="T248" t="s">
        <v>1297</v>
      </c>
      <c r="U248" s="4">
        <v>525.34</v>
      </c>
      <c r="V248" s="4">
        <f>Table1[[#This Row],[UnitCost]]*(1+WhatIf!$B$3)</f>
        <v>551.60700000000008</v>
      </c>
      <c r="W248" s="4">
        <f t="shared" si="47"/>
        <v>2101.36</v>
      </c>
      <c r="X248" s="4">
        <f>Table1[[#This Row],[ScenarioRev]]-Table1[[#This Row],[ScenarioUnitCost]]</f>
        <v>4100.7683320000006</v>
      </c>
      <c r="Y248" s="4">
        <v>1233.79</v>
      </c>
      <c r="Z248" s="4">
        <f t="shared" si="48"/>
        <v>4229.4321199999995</v>
      </c>
      <c r="AA248" s="4">
        <f>Table1[[#This Row],[ScenarioQuanity]]*Table1[[#This Row],[UnitPrice]]*(1-Table1[[#This Row],[ScenarioDiscPct]])</f>
        <v>4652.3753320000005</v>
      </c>
      <c r="AB248" s="4">
        <f t="shared" si="49"/>
        <v>2128.0721199999994</v>
      </c>
      <c r="AC248" s="4">
        <f>Table1[[#This Row],[ScenarioRev]] - Table1[[#This Row],[ScenarioCostOfGoods]]</f>
        <v>551.60699999999997</v>
      </c>
      <c r="AD248" s="6">
        <v>0.14299999999999999</v>
      </c>
      <c r="AE248" s="6">
        <f>MIN(Table1[[#This Row],[DiscountPct]], WhatIf!$B$2)</f>
        <v>0.14299999999999999</v>
      </c>
      <c r="AF248" s="6">
        <f>IF(Table1[[#This Row],[DiscountPct]]&gt;0.2, 1, 0)</f>
        <v>0</v>
      </c>
      <c r="AG248" s="6" t="str">
        <f t="shared" si="50"/>
        <v>High</v>
      </c>
      <c r="AH248" s="6">
        <f t="shared" si="51"/>
        <v>0.50315788494082736</v>
      </c>
      <c r="AI248" s="5">
        <v>4</v>
      </c>
      <c r="AJ248" s="6">
        <f>Table1[[#This Row],[Quantity]]*(1+WhatIf!$B$4)</f>
        <v>4.4000000000000004</v>
      </c>
    </row>
    <row r="249" spans="1:36" x14ac:dyDescent="0.3">
      <c r="A249" t="s">
        <v>459</v>
      </c>
      <c r="B249" s="3">
        <v>45090</v>
      </c>
      <c r="C249" s="3">
        <v>45101</v>
      </c>
      <c r="D249" s="3">
        <f t="shared" si="40"/>
        <v>45101</v>
      </c>
      <c r="E249" s="4">
        <f t="shared" si="39"/>
        <v>11</v>
      </c>
      <c r="F249" s="4">
        <f t="shared" si="41"/>
        <v>11</v>
      </c>
      <c r="G249" s="4">
        <f>IF(Table1[[#This Row],[CorrectedLeadTimeDays]]&lt;=7, 1, 0)</f>
        <v>0</v>
      </c>
      <c r="H249" s="4" t="str">
        <f t="shared" si="42"/>
        <v>June</v>
      </c>
      <c r="I249" s="4" t="str">
        <f t="shared" si="43"/>
        <v>Q2-2023</v>
      </c>
      <c r="J249" s="4" t="str">
        <f t="shared" si="44"/>
        <v>2023-01</v>
      </c>
      <c r="K249" s="3">
        <f t="shared" si="45"/>
        <v>44928</v>
      </c>
      <c r="L249" t="s">
        <v>648</v>
      </c>
      <c r="M249" t="s">
        <v>653</v>
      </c>
      <c r="N249" t="s">
        <v>667</v>
      </c>
      <c r="O249" t="s">
        <v>701</v>
      </c>
      <c r="P249" t="s">
        <v>708</v>
      </c>
      <c r="Q249" t="s">
        <v>712</v>
      </c>
      <c r="R249">
        <f t="shared" si="46"/>
        <v>5</v>
      </c>
      <c r="S249" t="s">
        <v>728</v>
      </c>
      <c r="T249" t="s">
        <v>1178</v>
      </c>
      <c r="U249" s="4">
        <v>247.07</v>
      </c>
      <c r="V249" s="4">
        <f>Table1[[#This Row],[UnitCost]]*(1+WhatIf!$B$3)</f>
        <v>259.42349999999999</v>
      </c>
      <c r="W249" s="4">
        <f t="shared" si="47"/>
        <v>988.28</v>
      </c>
      <c r="X249" s="4">
        <f>Table1[[#This Row],[ScenarioRev]]-Table1[[#This Row],[ScenarioUnitCost]]</f>
        <v>1858.4050920000004</v>
      </c>
      <c r="Y249" s="4">
        <v>495.19</v>
      </c>
      <c r="Z249" s="4">
        <f t="shared" si="48"/>
        <v>1925.29872</v>
      </c>
      <c r="AA249" s="4">
        <f>Table1[[#This Row],[ScenarioQuanity]]*Table1[[#This Row],[UnitPrice]]*(1-Table1[[#This Row],[ScenarioDiscPct]])</f>
        <v>2117.8285920000003</v>
      </c>
      <c r="AB249" s="4">
        <f t="shared" si="49"/>
        <v>937.01872000000003</v>
      </c>
      <c r="AC249" s="4">
        <f>Table1[[#This Row],[ScenarioRev]] - Table1[[#This Row],[ScenarioCostOfGoods]]</f>
        <v>259.42349999999988</v>
      </c>
      <c r="AD249" s="6">
        <v>2.8000000000000001E-2</v>
      </c>
      <c r="AE249" s="6">
        <f>MIN(Table1[[#This Row],[DiscountPct]], WhatIf!$B$2)</f>
        <v>2.8000000000000001E-2</v>
      </c>
      <c r="AF249" s="6">
        <f>IF(Table1[[#This Row],[DiscountPct]]&gt;0.2, 1, 0)</f>
        <v>0</v>
      </c>
      <c r="AG249" s="6" t="str">
        <f t="shared" si="50"/>
        <v>Low</v>
      </c>
      <c r="AH249" s="6">
        <f t="shared" si="51"/>
        <v>0.48668744764968214</v>
      </c>
      <c r="AI249" s="5">
        <v>4</v>
      </c>
      <c r="AJ249" s="6">
        <f>Table1[[#This Row],[Quantity]]*(1+WhatIf!$B$4)</f>
        <v>4.4000000000000004</v>
      </c>
    </row>
    <row r="250" spans="1:36" x14ac:dyDescent="0.3">
      <c r="A250" t="s">
        <v>175</v>
      </c>
      <c r="B250" s="3">
        <v>44977</v>
      </c>
      <c r="C250" s="3">
        <v>44989</v>
      </c>
      <c r="D250" s="3">
        <f t="shared" si="40"/>
        <v>44989</v>
      </c>
      <c r="E250" s="4">
        <f t="shared" si="39"/>
        <v>12</v>
      </c>
      <c r="F250" s="4">
        <f t="shared" si="41"/>
        <v>12</v>
      </c>
      <c r="G250" s="4">
        <f>IF(Table1[[#This Row],[CorrectedLeadTimeDays]]&lt;=7, 1, 0)</f>
        <v>0</v>
      </c>
      <c r="H250" s="4" t="str">
        <f t="shared" si="42"/>
        <v>February</v>
      </c>
      <c r="I250" s="4" t="str">
        <f t="shared" si="43"/>
        <v>Q1-2023</v>
      </c>
      <c r="J250" s="4" t="str">
        <f t="shared" si="44"/>
        <v>2023-01</v>
      </c>
      <c r="K250" s="3">
        <f t="shared" si="45"/>
        <v>44955</v>
      </c>
      <c r="L250" t="s">
        <v>647</v>
      </c>
      <c r="M250" t="s">
        <v>654</v>
      </c>
      <c r="N250" t="s">
        <v>680</v>
      </c>
      <c r="O250" t="s">
        <v>704</v>
      </c>
      <c r="P250" t="s">
        <v>710</v>
      </c>
      <c r="Q250" t="s">
        <v>724</v>
      </c>
      <c r="R250">
        <f t="shared" si="46"/>
        <v>0</v>
      </c>
      <c r="S250" t="s">
        <v>732</v>
      </c>
      <c r="T250" t="s">
        <v>894</v>
      </c>
      <c r="U250" s="4">
        <v>299.75</v>
      </c>
      <c r="V250" s="4">
        <f>Table1[[#This Row],[UnitCost]]*(1+WhatIf!$B$3)</f>
        <v>314.73750000000001</v>
      </c>
      <c r="W250" s="4">
        <f t="shared" si="47"/>
        <v>14987.5</v>
      </c>
      <c r="X250" s="4">
        <f>Table1[[#This Row],[ScenarioRev]]-Table1[[#This Row],[ScenarioUnitCost]]</f>
        <v>23934.621150000003</v>
      </c>
      <c r="Y250" s="4">
        <v>523.01</v>
      </c>
      <c r="Z250" s="4">
        <f t="shared" si="48"/>
        <v>22044.871499999997</v>
      </c>
      <c r="AA250" s="4">
        <f>Table1[[#This Row],[ScenarioQuanity]]*Table1[[#This Row],[UnitPrice]]*(1-Table1[[#This Row],[ScenarioDiscPct]])</f>
        <v>24249.358650000002</v>
      </c>
      <c r="AB250" s="4">
        <f t="shared" si="49"/>
        <v>7057.3714999999975</v>
      </c>
      <c r="AC250" s="4">
        <f>Table1[[#This Row],[ScenarioRev]] - Table1[[#This Row],[ScenarioCostOfGoods]]</f>
        <v>314.73749999999927</v>
      </c>
      <c r="AD250" s="6">
        <v>0.157</v>
      </c>
      <c r="AE250" s="6">
        <f>MIN(Table1[[#This Row],[DiscountPct]], WhatIf!$B$2)</f>
        <v>0.157</v>
      </c>
      <c r="AF250" s="6">
        <f>IF(Table1[[#This Row],[DiscountPct]]&gt;0.2, 1, 0)</f>
        <v>0</v>
      </c>
      <c r="AG250" s="6" t="str">
        <f t="shared" si="50"/>
        <v>Low</v>
      </c>
      <c r="AH250" s="6">
        <f t="shared" si="51"/>
        <v>0.32013665854210122</v>
      </c>
      <c r="AI250" s="5">
        <v>50</v>
      </c>
      <c r="AJ250" s="6">
        <f>Table1[[#This Row],[Quantity]]*(1+WhatIf!$B$4)</f>
        <v>55.000000000000007</v>
      </c>
    </row>
    <row r="251" spans="1:36" x14ac:dyDescent="0.3">
      <c r="A251" t="s">
        <v>502</v>
      </c>
      <c r="B251" s="3">
        <v>45424</v>
      </c>
      <c r="C251" s="3">
        <v>45436</v>
      </c>
      <c r="D251" s="3">
        <f t="shared" si="40"/>
        <v>45436</v>
      </c>
      <c r="E251" s="4">
        <f t="shared" si="39"/>
        <v>12</v>
      </c>
      <c r="F251" s="4">
        <f t="shared" si="41"/>
        <v>12</v>
      </c>
      <c r="G251" s="4">
        <f>IF(Table1[[#This Row],[CorrectedLeadTimeDays]]&lt;=7, 1, 0)</f>
        <v>0</v>
      </c>
      <c r="H251" s="4" t="str">
        <f t="shared" si="42"/>
        <v>May</v>
      </c>
      <c r="I251" s="4" t="str">
        <f t="shared" si="43"/>
        <v>Q2-2024</v>
      </c>
      <c r="J251" s="4" t="str">
        <f t="shared" si="44"/>
        <v>2023-01</v>
      </c>
      <c r="K251" s="3">
        <f t="shared" si="45"/>
        <v>44945</v>
      </c>
      <c r="L251" t="s">
        <v>649</v>
      </c>
      <c r="M251" t="s">
        <v>658</v>
      </c>
      <c r="N251" t="s">
        <v>693</v>
      </c>
      <c r="O251" t="s">
        <v>702</v>
      </c>
      <c r="P251" t="s">
        <v>709</v>
      </c>
      <c r="Q251" t="s">
        <v>723</v>
      </c>
      <c r="R251">
        <f t="shared" si="46"/>
        <v>15</v>
      </c>
      <c r="S251" t="s">
        <v>728</v>
      </c>
      <c r="T251" t="s">
        <v>1221</v>
      </c>
      <c r="U251" s="4">
        <v>111.02</v>
      </c>
      <c r="V251" s="4">
        <f>Table1[[#This Row],[UnitCost]]*(1+WhatIf!$B$3)</f>
        <v>116.571</v>
      </c>
      <c r="W251" s="4">
        <f t="shared" si="47"/>
        <v>3219.58</v>
      </c>
      <c r="X251" s="4">
        <f>Table1[[#This Row],[ScenarioRev]]-Table1[[#This Row],[ScenarioUnitCost]]</f>
        <v>4311.8712159999995</v>
      </c>
      <c r="Y251" s="4">
        <v>172.88</v>
      </c>
      <c r="Z251" s="4">
        <f t="shared" si="48"/>
        <v>4025.8565599999993</v>
      </c>
      <c r="AA251" s="4">
        <f>Table1[[#This Row],[ScenarioQuanity]]*Table1[[#This Row],[UnitPrice]]*(1-Table1[[#This Row],[ScenarioDiscPct]])</f>
        <v>4428.4422159999995</v>
      </c>
      <c r="AB251" s="4">
        <f t="shared" si="49"/>
        <v>806.27655999999934</v>
      </c>
      <c r="AC251" s="4">
        <f>Table1[[#This Row],[ScenarioRev]] - Table1[[#This Row],[ScenarioCostOfGoods]]</f>
        <v>116.57099999999991</v>
      </c>
      <c r="AD251" s="6">
        <v>0.19700000000000001</v>
      </c>
      <c r="AE251" s="6">
        <f>MIN(Table1[[#This Row],[DiscountPct]], WhatIf!$B$2)</f>
        <v>0.19700000000000001</v>
      </c>
      <c r="AF251" s="6">
        <f>IF(Table1[[#This Row],[DiscountPct]]&gt;0.2, 1, 0)</f>
        <v>0</v>
      </c>
      <c r="AG251" s="6" t="str">
        <f t="shared" si="50"/>
        <v>Low</v>
      </c>
      <c r="AH251" s="6">
        <f t="shared" si="51"/>
        <v>0.20027453735212053</v>
      </c>
      <c r="AI251" s="5">
        <v>29</v>
      </c>
      <c r="AJ251" s="6">
        <f>Table1[[#This Row],[Quantity]]*(1+WhatIf!$B$4)</f>
        <v>31.900000000000002</v>
      </c>
    </row>
    <row r="252" spans="1:36" x14ac:dyDescent="0.3">
      <c r="A252" t="s">
        <v>25</v>
      </c>
      <c r="B252" s="3">
        <v>45319</v>
      </c>
      <c r="C252" s="3">
        <v>45331</v>
      </c>
      <c r="D252" s="3">
        <f t="shared" si="40"/>
        <v>45331</v>
      </c>
      <c r="E252" s="4">
        <f t="shared" si="39"/>
        <v>12</v>
      </c>
      <c r="F252" s="4">
        <f t="shared" si="41"/>
        <v>12</v>
      </c>
      <c r="G252" s="4">
        <f>IF(Table1[[#This Row],[CorrectedLeadTimeDays]]&lt;=7, 1, 0)</f>
        <v>0</v>
      </c>
      <c r="H252" s="4" t="str">
        <f t="shared" si="42"/>
        <v>January</v>
      </c>
      <c r="I252" s="4" t="str">
        <f t="shared" si="43"/>
        <v>Q1-2024</v>
      </c>
      <c r="J252" s="4" t="str">
        <f t="shared" si="44"/>
        <v>2023-01</v>
      </c>
      <c r="K252" s="3">
        <f t="shared" si="45"/>
        <v>44948</v>
      </c>
      <c r="L252" t="s">
        <v>649</v>
      </c>
      <c r="M252" t="s">
        <v>656</v>
      </c>
      <c r="N252" t="s">
        <v>671</v>
      </c>
      <c r="O252" t="s">
        <v>701</v>
      </c>
      <c r="P252" t="s">
        <v>708</v>
      </c>
      <c r="Q252" t="s">
        <v>715</v>
      </c>
      <c r="R252">
        <f t="shared" si="46"/>
        <v>12</v>
      </c>
      <c r="S252" t="s">
        <v>733</v>
      </c>
      <c r="T252" t="s">
        <v>744</v>
      </c>
      <c r="U252" s="4">
        <v>644.16999999999996</v>
      </c>
      <c r="V252" s="4">
        <f>Table1[[#This Row],[UnitCost]]*(1+WhatIf!$B$3)</f>
        <v>676.37850000000003</v>
      </c>
      <c r="W252" s="4">
        <f t="shared" si="47"/>
        <v>14815.91</v>
      </c>
      <c r="X252" s="4">
        <f>Table1[[#This Row],[ScenarioRev]]-Table1[[#This Row],[ScenarioUnitCost]]</f>
        <v>16930.379284000002</v>
      </c>
      <c r="Y252" s="4">
        <v>700.12</v>
      </c>
      <c r="Z252" s="4">
        <f t="shared" si="48"/>
        <v>16006.14344</v>
      </c>
      <c r="AA252" s="4">
        <f>Table1[[#This Row],[ScenarioQuanity]]*Table1[[#This Row],[UnitPrice]]*(1-Table1[[#This Row],[ScenarioDiscPct]])</f>
        <v>17606.757784000001</v>
      </c>
      <c r="AB252" s="4">
        <f t="shared" si="49"/>
        <v>1190.23344</v>
      </c>
      <c r="AC252" s="4">
        <f>Table1[[#This Row],[ScenarioRev]] - Table1[[#This Row],[ScenarioCostOfGoods]]</f>
        <v>676.37849999999889</v>
      </c>
      <c r="AD252" s="6">
        <v>6.0000000000000001E-3</v>
      </c>
      <c r="AE252" s="6">
        <f>MIN(Table1[[#This Row],[DiscountPct]], WhatIf!$B$2)</f>
        <v>6.0000000000000001E-3</v>
      </c>
      <c r="AF252" s="6">
        <f>IF(Table1[[#This Row],[DiscountPct]]&gt;0.2, 1, 0)</f>
        <v>0</v>
      </c>
      <c r="AG252" s="6" t="str">
        <f t="shared" si="50"/>
        <v>Low</v>
      </c>
      <c r="AH252" s="6">
        <f t="shared" si="51"/>
        <v>7.436103796405813E-2</v>
      </c>
      <c r="AI252" s="5">
        <v>23</v>
      </c>
      <c r="AJ252" s="6">
        <f>Table1[[#This Row],[Quantity]]*(1+WhatIf!$B$4)</f>
        <v>25.3</v>
      </c>
    </row>
    <row r="253" spans="1:36" x14ac:dyDescent="0.3">
      <c r="A253" t="s">
        <v>367</v>
      </c>
      <c r="B253" s="3">
        <v>45512</v>
      </c>
      <c r="C253" s="3">
        <v>45524</v>
      </c>
      <c r="D253" s="3">
        <f t="shared" si="40"/>
        <v>45524</v>
      </c>
      <c r="E253" s="4">
        <f t="shared" si="39"/>
        <v>12</v>
      </c>
      <c r="F253" s="4">
        <f t="shared" si="41"/>
        <v>12</v>
      </c>
      <c r="G253" s="4">
        <f>IF(Table1[[#This Row],[CorrectedLeadTimeDays]]&lt;=7, 1, 0)</f>
        <v>0</v>
      </c>
      <c r="H253" s="4" t="str">
        <f t="shared" si="42"/>
        <v>August</v>
      </c>
      <c r="I253" s="4" t="str">
        <f t="shared" si="43"/>
        <v>Q3-2024</v>
      </c>
      <c r="J253" s="4" t="str">
        <f t="shared" si="44"/>
        <v>2023-03</v>
      </c>
      <c r="K253" s="3">
        <f t="shared" si="45"/>
        <v>44988</v>
      </c>
      <c r="L253" t="s">
        <v>647</v>
      </c>
      <c r="M253" t="s">
        <v>652</v>
      </c>
      <c r="N253" t="s">
        <v>666</v>
      </c>
      <c r="O253" t="s">
        <v>705</v>
      </c>
      <c r="P253" t="s">
        <v>707</v>
      </c>
      <c r="Q253" t="s">
        <v>722</v>
      </c>
      <c r="R253">
        <f t="shared" si="46"/>
        <v>17</v>
      </c>
      <c r="S253" t="s">
        <v>729</v>
      </c>
      <c r="T253" t="s">
        <v>1087</v>
      </c>
      <c r="U253" s="4">
        <v>1233.3599999999999</v>
      </c>
      <c r="V253" s="4">
        <f>Table1[[#This Row],[UnitCost]]*(1+WhatIf!$B$3)</f>
        <v>1295.028</v>
      </c>
      <c r="W253" s="4">
        <f t="shared" si="47"/>
        <v>24667.199999999997</v>
      </c>
      <c r="X253" s="4">
        <f>Table1[[#This Row],[ScenarioRev]]-Table1[[#This Row],[ScenarioUnitCost]]</f>
        <v>37003.6368</v>
      </c>
      <c r="Y253" s="4">
        <v>2120.4</v>
      </c>
      <c r="Z253" s="4">
        <f t="shared" si="48"/>
        <v>34816.968000000001</v>
      </c>
      <c r="AA253" s="4">
        <f>Table1[[#This Row],[ScenarioQuanity]]*Table1[[#This Row],[UnitPrice]]*(1-Table1[[#This Row],[ScenarioDiscPct]])</f>
        <v>38298.664799999999</v>
      </c>
      <c r="AB253" s="4">
        <f t="shared" si="49"/>
        <v>10149.768000000004</v>
      </c>
      <c r="AC253" s="4">
        <f>Table1[[#This Row],[ScenarioRev]] - Table1[[#This Row],[ScenarioCostOfGoods]]</f>
        <v>1295.0279999999984</v>
      </c>
      <c r="AD253" s="6">
        <v>0.17899999999999999</v>
      </c>
      <c r="AE253" s="6">
        <f>MIN(Table1[[#This Row],[DiscountPct]], WhatIf!$B$2)</f>
        <v>0.17899999999999999</v>
      </c>
      <c r="AF253" s="6">
        <f>IF(Table1[[#This Row],[DiscountPct]]&gt;0.2, 1, 0)</f>
        <v>0</v>
      </c>
      <c r="AG253" s="6" t="str">
        <f t="shared" si="50"/>
        <v>High</v>
      </c>
      <c r="AH253" s="6">
        <f t="shared" si="51"/>
        <v>0.29151785991244278</v>
      </c>
      <c r="AI253" s="5">
        <v>20</v>
      </c>
      <c r="AJ253" s="6">
        <f>Table1[[#This Row],[Quantity]]*(1+WhatIf!$B$4)</f>
        <v>22</v>
      </c>
    </row>
    <row r="254" spans="1:36" x14ac:dyDescent="0.3">
      <c r="A254" t="s">
        <v>409</v>
      </c>
      <c r="B254" s="3">
        <v>45804</v>
      </c>
      <c r="C254" s="3">
        <v>45816</v>
      </c>
      <c r="D254" s="3">
        <f t="shared" si="40"/>
        <v>45816</v>
      </c>
      <c r="E254" s="4">
        <f t="shared" si="39"/>
        <v>12</v>
      </c>
      <c r="F254" s="4">
        <f t="shared" si="41"/>
        <v>12</v>
      </c>
      <c r="G254" s="4">
        <f>IF(Table1[[#This Row],[CorrectedLeadTimeDays]]&lt;=7, 1, 0)</f>
        <v>0</v>
      </c>
      <c r="H254" s="4" t="str">
        <f t="shared" si="42"/>
        <v>May</v>
      </c>
      <c r="I254" s="4" t="str">
        <f t="shared" si="43"/>
        <v>Q2-2025</v>
      </c>
      <c r="J254" s="4" t="str">
        <f t="shared" si="44"/>
        <v>2023-03</v>
      </c>
      <c r="K254" s="3">
        <f t="shared" si="45"/>
        <v>44988</v>
      </c>
      <c r="L254" t="s">
        <v>647</v>
      </c>
      <c r="M254" t="s">
        <v>652</v>
      </c>
      <c r="N254" t="s">
        <v>666</v>
      </c>
      <c r="O254" t="s">
        <v>701</v>
      </c>
      <c r="P254" t="s">
        <v>707</v>
      </c>
      <c r="Q254" t="s">
        <v>722</v>
      </c>
      <c r="R254">
        <f t="shared" si="46"/>
        <v>26</v>
      </c>
      <c r="S254" t="s">
        <v>733</v>
      </c>
      <c r="T254" t="s">
        <v>1128</v>
      </c>
      <c r="U254" s="4">
        <v>653.6</v>
      </c>
      <c r="V254" s="4">
        <f>Table1[[#This Row],[UnitCost]]*(1+WhatIf!$B$3)</f>
        <v>686.28000000000009</v>
      </c>
      <c r="W254" s="4">
        <f t="shared" si="47"/>
        <v>12418.4</v>
      </c>
      <c r="X254" s="4">
        <f>Table1[[#This Row],[ScenarioRev]]-Table1[[#This Row],[ScenarioUnitCost]]</f>
        <v>15188.632262000003</v>
      </c>
      <c r="Y254" s="4">
        <v>842.09</v>
      </c>
      <c r="Z254" s="4">
        <f t="shared" si="48"/>
        <v>14431.738420000001</v>
      </c>
      <c r="AA254" s="4">
        <f>Table1[[#This Row],[ScenarioQuanity]]*Table1[[#This Row],[UnitPrice]]*(1-Table1[[#This Row],[ScenarioDiscPct]])</f>
        <v>15874.912262000003</v>
      </c>
      <c r="AB254" s="4">
        <f t="shared" si="49"/>
        <v>2013.3384200000019</v>
      </c>
      <c r="AC254" s="4">
        <f>Table1[[#This Row],[ScenarioRev]] - Table1[[#This Row],[ScenarioCostOfGoods]]</f>
        <v>686.28000000000065</v>
      </c>
      <c r="AD254" s="6">
        <v>9.8000000000000004E-2</v>
      </c>
      <c r="AE254" s="6">
        <f>MIN(Table1[[#This Row],[DiscountPct]], WhatIf!$B$2)</f>
        <v>9.8000000000000004E-2</v>
      </c>
      <c r="AF254" s="6">
        <f>IF(Table1[[#This Row],[DiscountPct]]&gt;0.2, 1, 0)</f>
        <v>0</v>
      </c>
      <c r="AG254" s="6" t="str">
        <f t="shared" si="50"/>
        <v>High</v>
      </c>
      <c r="AH254" s="6">
        <f t="shared" si="51"/>
        <v>0.13950768517324622</v>
      </c>
      <c r="AI254" s="5">
        <v>19</v>
      </c>
      <c r="AJ254" s="6">
        <f>Table1[[#This Row],[Quantity]]*(1+WhatIf!$B$4)</f>
        <v>20.900000000000002</v>
      </c>
    </row>
    <row r="255" spans="1:36" x14ac:dyDescent="0.3">
      <c r="A255" t="s">
        <v>152</v>
      </c>
      <c r="B255" s="3">
        <v>45016</v>
      </c>
      <c r="C255" s="3">
        <v>45028</v>
      </c>
      <c r="D255" s="3">
        <f t="shared" si="40"/>
        <v>45028</v>
      </c>
      <c r="E255" s="4">
        <f t="shared" si="39"/>
        <v>12</v>
      </c>
      <c r="F255" s="4">
        <f t="shared" si="41"/>
        <v>12</v>
      </c>
      <c r="G255" s="4">
        <f>IF(Table1[[#This Row],[CorrectedLeadTimeDays]]&lt;=7, 1, 0)</f>
        <v>0</v>
      </c>
      <c r="H255" s="4" t="str">
        <f t="shared" si="42"/>
        <v>March</v>
      </c>
      <c r="I255" s="4" t="str">
        <f t="shared" si="43"/>
        <v>Q1-2023</v>
      </c>
      <c r="J255" s="4" t="str">
        <f t="shared" si="44"/>
        <v>2023-01</v>
      </c>
      <c r="K255" s="3">
        <f t="shared" si="45"/>
        <v>44946</v>
      </c>
      <c r="L255" t="s">
        <v>646</v>
      </c>
      <c r="M255" t="s">
        <v>650</v>
      </c>
      <c r="N255" t="s">
        <v>675</v>
      </c>
      <c r="O255" t="s">
        <v>705</v>
      </c>
      <c r="P255" t="s">
        <v>708</v>
      </c>
      <c r="Q255" t="s">
        <v>712</v>
      </c>
      <c r="R255">
        <f t="shared" si="46"/>
        <v>2</v>
      </c>
      <c r="S255" t="s">
        <v>730</v>
      </c>
      <c r="T255" t="s">
        <v>871</v>
      </c>
      <c r="U255" s="4">
        <v>304.22000000000003</v>
      </c>
      <c r="V255" s="4">
        <f>Table1[[#This Row],[UnitCost]]*(1+WhatIf!$B$3)</f>
        <v>319.43100000000004</v>
      </c>
      <c r="W255" s="4">
        <f t="shared" si="47"/>
        <v>4563.3</v>
      </c>
      <c r="X255" s="4">
        <f>Table1[[#This Row],[ScenarioRev]]-Table1[[#This Row],[ScenarioUnitCost]]</f>
        <v>4872.2610000000004</v>
      </c>
      <c r="Y255" s="4">
        <v>393.31</v>
      </c>
      <c r="Z255" s="4">
        <f t="shared" si="48"/>
        <v>4336.2427499999994</v>
      </c>
      <c r="AA255" s="4">
        <f>Table1[[#This Row],[ScenarioQuanity]]*Table1[[#This Row],[UnitPrice]]*(1-Table1[[#This Row],[ScenarioDiscPct]])</f>
        <v>5191.692</v>
      </c>
      <c r="AB255" s="4">
        <f t="shared" si="49"/>
        <v>-227.05725000000075</v>
      </c>
      <c r="AC255" s="4">
        <f>Table1[[#This Row],[ScenarioRev]] - Table1[[#This Row],[ScenarioCostOfGoods]]</f>
        <v>319.43099999999959</v>
      </c>
      <c r="AD255" s="6">
        <v>0.26500000000000001</v>
      </c>
      <c r="AE255" s="6">
        <f>MIN(Table1[[#This Row],[DiscountPct]], WhatIf!$B$2)</f>
        <v>0.2</v>
      </c>
      <c r="AF255" s="6">
        <f>IF(Table1[[#This Row],[DiscountPct]]&gt;0.2, 1, 0)</f>
        <v>1</v>
      </c>
      <c r="AG255" s="6" t="str">
        <f t="shared" si="50"/>
        <v>Low</v>
      </c>
      <c r="AH255" s="6">
        <f t="shared" si="51"/>
        <v>-5.2362670424759034E-2</v>
      </c>
      <c r="AI255" s="5">
        <v>15</v>
      </c>
      <c r="AJ255" s="6">
        <f>Table1[[#This Row],[Quantity]]*(1+WhatIf!$B$4)</f>
        <v>16.5</v>
      </c>
    </row>
    <row r="256" spans="1:36" x14ac:dyDescent="0.3">
      <c r="A256" t="s">
        <v>361</v>
      </c>
      <c r="B256" s="3">
        <v>45050</v>
      </c>
      <c r="C256" s="3">
        <v>45062</v>
      </c>
      <c r="D256" s="3">
        <f t="shared" si="40"/>
        <v>45062</v>
      </c>
      <c r="E256" s="4">
        <f t="shared" si="39"/>
        <v>12</v>
      </c>
      <c r="F256" s="4">
        <f t="shared" si="41"/>
        <v>12</v>
      </c>
      <c r="G256" s="4">
        <f>IF(Table1[[#This Row],[CorrectedLeadTimeDays]]&lt;=7, 1, 0)</f>
        <v>0</v>
      </c>
      <c r="H256" s="4" t="str">
        <f t="shared" si="42"/>
        <v>May</v>
      </c>
      <c r="I256" s="4" t="str">
        <f t="shared" si="43"/>
        <v>Q2-2023</v>
      </c>
      <c r="J256" s="4" t="str">
        <f t="shared" si="44"/>
        <v>2023-01</v>
      </c>
      <c r="K256" s="3">
        <f t="shared" si="45"/>
        <v>44941</v>
      </c>
      <c r="L256" t="s">
        <v>646</v>
      </c>
      <c r="M256" t="s">
        <v>651</v>
      </c>
      <c r="N256" t="s">
        <v>669</v>
      </c>
      <c r="O256" t="s">
        <v>705</v>
      </c>
      <c r="P256" t="s">
        <v>709</v>
      </c>
      <c r="Q256" t="s">
        <v>713</v>
      </c>
      <c r="R256">
        <f t="shared" si="46"/>
        <v>3</v>
      </c>
      <c r="S256" t="s">
        <v>730</v>
      </c>
      <c r="T256" t="s">
        <v>1081</v>
      </c>
      <c r="U256" s="4">
        <v>77.739999999999995</v>
      </c>
      <c r="V256" s="4">
        <f>Table1[[#This Row],[UnitCost]]*(1+WhatIf!$B$3)</f>
        <v>81.626999999999995</v>
      </c>
      <c r="W256" s="4">
        <f t="shared" si="47"/>
        <v>1166.0999999999999</v>
      </c>
      <c r="X256" s="4">
        <f>Table1[[#This Row],[ScenarioRev]]-Table1[[#This Row],[ScenarioUnitCost]]</f>
        <v>2345.8530000000001</v>
      </c>
      <c r="Y256" s="4">
        <v>147.12</v>
      </c>
      <c r="Z256" s="4">
        <f t="shared" si="48"/>
        <v>2206.8000000000002</v>
      </c>
      <c r="AA256" s="4">
        <f>Table1[[#This Row],[ScenarioQuanity]]*Table1[[#This Row],[UnitPrice]]*(1-Table1[[#This Row],[ScenarioDiscPct]])</f>
        <v>2427.48</v>
      </c>
      <c r="AB256" s="4">
        <f t="shared" si="49"/>
        <v>1040.7000000000003</v>
      </c>
      <c r="AC256" s="4">
        <f>Table1[[#This Row],[ScenarioRev]] - Table1[[#This Row],[ScenarioCostOfGoods]]</f>
        <v>81.626999999999953</v>
      </c>
      <c r="AD256" s="6">
        <v>0</v>
      </c>
      <c r="AE256" s="6">
        <f>MIN(Table1[[#This Row],[DiscountPct]], WhatIf!$B$2)</f>
        <v>0</v>
      </c>
      <c r="AF256" s="6">
        <f>IF(Table1[[#This Row],[DiscountPct]]&gt;0.2, 1, 0)</f>
        <v>0</v>
      </c>
      <c r="AG256" s="6" t="str">
        <f t="shared" si="50"/>
        <v>Low</v>
      </c>
      <c r="AH256" s="6">
        <f t="shared" si="51"/>
        <v>0.47158781946710177</v>
      </c>
      <c r="AI256" s="5">
        <v>15</v>
      </c>
      <c r="AJ256" s="6">
        <f>Table1[[#This Row],[Quantity]]*(1+WhatIf!$B$4)</f>
        <v>16.5</v>
      </c>
    </row>
    <row r="257" spans="1:36" x14ac:dyDescent="0.3">
      <c r="A257" t="s">
        <v>202</v>
      </c>
      <c r="B257" s="3">
        <v>45126</v>
      </c>
      <c r="C257" s="3">
        <v>45138</v>
      </c>
      <c r="D257" s="3">
        <f t="shared" si="40"/>
        <v>45138</v>
      </c>
      <c r="E257" s="4">
        <f t="shared" si="39"/>
        <v>12</v>
      </c>
      <c r="F257" s="4">
        <f t="shared" si="41"/>
        <v>12</v>
      </c>
      <c r="G257" s="4">
        <f>IF(Table1[[#This Row],[CorrectedLeadTimeDays]]&lt;=7, 1, 0)</f>
        <v>0</v>
      </c>
      <c r="H257" s="4" t="str">
        <f t="shared" si="42"/>
        <v>July</v>
      </c>
      <c r="I257" s="4" t="str">
        <f t="shared" si="43"/>
        <v>Q3-2023</v>
      </c>
      <c r="J257" s="4" t="str">
        <f t="shared" si="44"/>
        <v>2023-01</v>
      </c>
      <c r="K257" s="3">
        <f t="shared" si="45"/>
        <v>44955</v>
      </c>
      <c r="L257" t="s">
        <v>648</v>
      </c>
      <c r="M257" t="s">
        <v>655</v>
      </c>
      <c r="N257" t="s">
        <v>692</v>
      </c>
      <c r="O257" t="s">
        <v>701</v>
      </c>
      <c r="P257" t="s">
        <v>707</v>
      </c>
      <c r="Q257" t="s">
        <v>712</v>
      </c>
      <c r="R257">
        <f t="shared" si="46"/>
        <v>5</v>
      </c>
      <c r="S257" t="s">
        <v>732</v>
      </c>
      <c r="T257" t="s">
        <v>922</v>
      </c>
      <c r="U257" s="4">
        <v>1334.64</v>
      </c>
      <c r="V257" s="4">
        <f>Table1[[#This Row],[UnitCost]]*(1+WhatIf!$B$3)</f>
        <v>1401.3720000000001</v>
      </c>
      <c r="W257" s="4">
        <f t="shared" si="47"/>
        <v>18684.960000000003</v>
      </c>
      <c r="X257" s="4">
        <f>Table1[[#This Row],[ScenarioRev]]-Table1[[#This Row],[ScenarioUnitCost]]</f>
        <v>29478.037176000005</v>
      </c>
      <c r="Y257" s="4">
        <v>2273.42</v>
      </c>
      <c r="Z257" s="4">
        <f t="shared" si="48"/>
        <v>28072.190160000002</v>
      </c>
      <c r="AA257" s="4">
        <f>Table1[[#This Row],[ScenarioQuanity]]*Table1[[#This Row],[UnitPrice]]*(1-Table1[[#This Row],[ScenarioDiscPct]])</f>
        <v>30879.409176000005</v>
      </c>
      <c r="AB257" s="4">
        <f t="shared" si="49"/>
        <v>9387.2301599999992</v>
      </c>
      <c r="AC257" s="4">
        <f>Table1[[#This Row],[ScenarioRev]] - Table1[[#This Row],[ScenarioCostOfGoods]]</f>
        <v>1401.3719999999994</v>
      </c>
      <c r="AD257" s="6">
        <v>0.11799999999999999</v>
      </c>
      <c r="AE257" s="6">
        <f>MIN(Table1[[#This Row],[DiscountPct]], WhatIf!$B$2)</f>
        <v>0.11799999999999999</v>
      </c>
      <c r="AF257" s="6">
        <f>IF(Table1[[#This Row],[DiscountPct]]&gt;0.2, 1, 0)</f>
        <v>0</v>
      </c>
      <c r="AG257" s="6" t="str">
        <f t="shared" si="50"/>
        <v>High</v>
      </c>
      <c r="AH257" s="6">
        <f t="shared" si="51"/>
        <v>0.33439607335575267</v>
      </c>
      <c r="AI257" s="5">
        <v>14</v>
      </c>
      <c r="AJ257" s="6">
        <f>Table1[[#This Row],[Quantity]]*(1+WhatIf!$B$4)</f>
        <v>15.400000000000002</v>
      </c>
    </row>
    <row r="258" spans="1:36" x14ac:dyDescent="0.3">
      <c r="A258" t="s">
        <v>637</v>
      </c>
      <c r="B258" s="3">
        <v>45857</v>
      </c>
      <c r="C258" s="3">
        <v>45869</v>
      </c>
      <c r="D258" s="3">
        <f t="shared" si="40"/>
        <v>45869</v>
      </c>
      <c r="E258" s="4">
        <f t="shared" ref="E258:E321" si="52">C258-B258</f>
        <v>12</v>
      </c>
      <c r="F258" s="4">
        <f t="shared" si="41"/>
        <v>12</v>
      </c>
      <c r="G258" s="4">
        <f>IF(Table1[[#This Row],[CorrectedLeadTimeDays]]&lt;=7, 1, 0)</f>
        <v>0</v>
      </c>
      <c r="H258" s="4" t="str">
        <f t="shared" si="42"/>
        <v>July</v>
      </c>
      <c r="I258" s="4" t="str">
        <f t="shared" si="43"/>
        <v>Q3-2025</v>
      </c>
      <c r="J258" s="4" t="str">
        <f t="shared" si="44"/>
        <v>2023-01</v>
      </c>
      <c r="K258" s="3">
        <f t="shared" si="45"/>
        <v>44946</v>
      </c>
      <c r="L258" t="s">
        <v>646</v>
      </c>
      <c r="M258" t="s">
        <v>650</v>
      </c>
      <c r="N258" t="s">
        <v>664</v>
      </c>
      <c r="O258" t="s">
        <v>705</v>
      </c>
      <c r="P258" t="s">
        <v>709</v>
      </c>
      <c r="Q258" t="s">
        <v>719</v>
      </c>
      <c r="R258">
        <f t="shared" si="46"/>
        <v>29</v>
      </c>
      <c r="S258" t="s">
        <v>733</v>
      </c>
      <c r="T258" t="s">
        <v>1355</v>
      </c>
      <c r="U258" s="4">
        <v>619.64</v>
      </c>
      <c r="V258" s="4">
        <f>Table1[[#This Row],[UnitCost]]*(1+WhatIf!$B$3)</f>
        <v>650.62199999999996</v>
      </c>
      <c r="W258" s="4">
        <f t="shared" si="47"/>
        <v>8674.9599999999991</v>
      </c>
      <c r="X258" s="4">
        <f>Table1[[#This Row],[ScenarioRev]]-Table1[[#This Row],[ScenarioUnitCost]]</f>
        <v>11112.651368000003</v>
      </c>
      <c r="Y258" s="4">
        <v>861.16</v>
      </c>
      <c r="Z258" s="4">
        <f t="shared" si="48"/>
        <v>10693.88488</v>
      </c>
      <c r="AA258" s="4">
        <f>Table1[[#This Row],[ScenarioQuanity]]*Table1[[#This Row],[UnitPrice]]*(1-Table1[[#This Row],[ScenarioDiscPct]])</f>
        <v>11763.273368000002</v>
      </c>
      <c r="AB258" s="4">
        <f t="shared" si="49"/>
        <v>2018.9248800000005</v>
      </c>
      <c r="AC258" s="4">
        <f>Table1[[#This Row],[ScenarioRev]] - Table1[[#This Row],[ScenarioCostOfGoods]]</f>
        <v>650.62199999999939</v>
      </c>
      <c r="AD258" s="6">
        <v>0.113</v>
      </c>
      <c r="AE258" s="6">
        <f>MIN(Table1[[#This Row],[DiscountPct]], WhatIf!$B$2)</f>
        <v>0.113</v>
      </c>
      <c r="AF258" s="6">
        <f>IF(Table1[[#This Row],[DiscountPct]]&gt;0.2, 1, 0)</f>
        <v>0</v>
      </c>
      <c r="AG258" s="6" t="str">
        <f t="shared" si="50"/>
        <v>High</v>
      </c>
      <c r="AH258" s="6">
        <f t="shared" si="51"/>
        <v>0.18879246435276761</v>
      </c>
      <c r="AI258" s="5">
        <v>14</v>
      </c>
      <c r="AJ258" s="6">
        <f>Table1[[#This Row],[Quantity]]*(1+WhatIf!$B$4)</f>
        <v>15.400000000000002</v>
      </c>
    </row>
    <row r="259" spans="1:36" x14ac:dyDescent="0.3">
      <c r="A259" t="s">
        <v>345</v>
      </c>
      <c r="B259" s="3">
        <v>45914</v>
      </c>
      <c r="C259" s="3">
        <v>45926</v>
      </c>
      <c r="D259" s="3">
        <f t="shared" ref="D259:D322" si="53">IF(C259&lt;B259, B259+14, C259)</f>
        <v>45926</v>
      </c>
      <c r="E259" s="4">
        <f t="shared" si="52"/>
        <v>12</v>
      </c>
      <c r="F259" s="4">
        <f t="shared" ref="F259:F322" si="54">D259-B259</f>
        <v>12</v>
      </c>
      <c r="G259" s="4">
        <f>IF(Table1[[#This Row],[CorrectedLeadTimeDays]]&lt;=7, 1, 0)</f>
        <v>0</v>
      </c>
      <c r="H259" s="4" t="str">
        <f t="shared" ref="H259:H322" si="55">TEXT(B259, "mmmm")</f>
        <v>September</v>
      </c>
      <c r="I259" s="4" t="str">
        <f t="shared" ref="I259:I322" si="56">"Q"&amp;ROUNDUP(MONTH(B259)/3,0)&amp;"-"&amp;YEAR(B259)</f>
        <v>Q3-2025</v>
      </c>
      <c r="J259" s="4" t="str">
        <f t="shared" ref="J259:J322" si="57">TEXT(K259, "yyyy-mm")</f>
        <v>2023-01</v>
      </c>
      <c r="K259" s="3">
        <f t="shared" ref="K259:K322" si="58">_xlfn.MINIFS($B:$B,$M:$M,M259)</f>
        <v>44945</v>
      </c>
      <c r="L259" t="s">
        <v>649</v>
      </c>
      <c r="M259" t="s">
        <v>658</v>
      </c>
      <c r="N259" t="s">
        <v>683</v>
      </c>
      <c r="O259" t="s">
        <v>705</v>
      </c>
      <c r="P259" t="s">
        <v>711</v>
      </c>
      <c r="Q259" t="s">
        <v>725</v>
      </c>
      <c r="R259">
        <f t="shared" ref="R259:R322" si="59">DATEDIF(K259,B259,"m")</f>
        <v>31</v>
      </c>
      <c r="S259" t="s">
        <v>729</v>
      </c>
      <c r="T259" t="s">
        <v>1065</v>
      </c>
      <c r="U259" s="4">
        <v>425.15</v>
      </c>
      <c r="V259" s="4">
        <f>Table1[[#This Row],[UnitCost]]*(1+WhatIf!$B$3)</f>
        <v>446.40749999999997</v>
      </c>
      <c r="W259" s="4">
        <f t="shared" ref="W259:W322" si="60">U259*AI259</f>
        <v>5526.95</v>
      </c>
      <c r="X259" s="4">
        <f>Table1[[#This Row],[ScenarioRev]]-Table1[[#This Row],[ScenarioUnitCost]]</f>
        <v>9688.5173000000013</v>
      </c>
      <c r="Y259" s="4">
        <v>885.92</v>
      </c>
      <c r="Z259" s="4">
        <f t="shared" ref="Z259:Z322" si="61">Y259*AI259*(1-AD259)</f>
        <v>8764.4065599999994</v>
      </c>
      <c r="AA259" s="4">
        <f>Table1[[#This Row],[ScenarioQuanity]]*Table1[[#This Row],[UnitPrice]]*(1-Table1[[#This Row],[ScenarioDiscPct]])</f>
        <v>10134.924800000001</v>
      </c>
      <c r="AB259" s="4">
        <f t="shared" ref="AB259:AB322" si="62">Z259-W259</f>
        <v>3237.4565599999996</v>
      </c>
      <c r="AC259" s="4">
        <f>Table1[[#This Row],[ScenarioRev]] - Table1[[#This Row],[ScenarioCostOfGoods]]</f>
        <v>446.40749999999935</v>
      </c>
      <c r="AD259" s="6">
        <v>0.23899999999999999</v>
      </c>
      <c r="AE259" s="6">
        <f>MIN(Table1[[#This Row],[DiscountPct]], WhatIf!$B$2)</f>
        <v>0.2</v>
      </c>
      <c r="AF259" s="6">
        <f>IF(Table1[[#This Row],[DiscountPct]]&gt;0.2, 1, 0)</f>
        <v>1</v>
      </c>
      <c r="AG259" s="6" t="str">
        <f t="shared" ref="AG259:AG322" si="63">IF(Y259&lt;=_xlfn.PERCENTILE.INC($Y:$Y,0.33),"Low",
 IF(D259&lt;=_xlfn.PERCENTILE.INC($Y:$Y,0.66),"Medium",
 "High"))</f>
        <v>High</v>
      </c>
      <c r="AH259" s="6">
        <f t="shared" ref="AH259:AH322" si="64">IF(Z259=0, 0, AB259/Z259)</f>
        <v>0.3693868532725848</v>
      </c>
      <c r="AI259" s="5">
        <v>13</v>
      </c>
      <c r="AJ259" s="6">
        <f>Table1[[#This Row],[Quantity]]*(1+WhatIf!$B$4)</f>
        <v>14.3</v>
      </c>
    </row>
    <row r="260" spans="1:36" x14ac:dyDescent="0.3">
      <c r="A260" t="s">
        <v>344</v>
      </c>
      <c r="B260" s="3">
        <v>45668</v>
      </c>
      <c r="C260" s="3">
        <v>45680</v>
      </c>
      <c r="D260" s="3">
        <f t="shared" si="53"/>
        <v>45680</v>
      </c>
      <c r="E260" s="4">
        <f t="shared" si="52"/>
        <v>12</v>
      </c>
      <c r="F260" s="4">
        <f t="shared" si="54"/>
        <v>12</v>
      </c>
      <c r="G260" s="4">
        <f>IF(Table1[[#This Row],[CorrectedLeadTimeDays]]&lt;=7, 1, 0)</f>
        <v>0</v>
      </c>
      <c r="H260" s="4" t="str">
        <f t="shared" si="55"/>
        <v>January</v>
      </c>
      <c r="I260" s="4" t="str">
        <f t="shared" si="56"/>
        <v>Q1-2025</v>
      </c>
      <c r="J260" s="4" t="str">
        <f t="shared" si="57"/>
        <v>2023-01</v>
      </c>
      <c r="K260" s="3">
        <f t="shared" si="58"/>
        <v>44939</v>
      </c>
      <c r="L260" t="s">
        <v>648</v>
      </c>
      <c r="M260" t="s">
        <v>660</v>
      </c>
      <c r="N260" t="s">
        <v>697</v>
      </c>
      <c r="O260" t="s">
        <v>704</v>
      </c>
      <c r="P260" t="s">
        <v>710</v>
      </c>
      <c r="Q260" t="s">
        <v>722</v>
      </c>
      <c r="R260">
        <f t="shared" si="59"/>
        <v>23</v>
      </c>
      <c r="S260" t="s">
        <v>730</v>
      </c>
      <c r="T260" t="s">
        <v>1064</v>
      </c>
      <c r="U260" s="4">
        <v>100.69</v>
      </c>
      <c r="V260" s="4">
        <f>Table1[[#This Row],[UnitCost]]*(1+WhatIf!$B$3)</f>
        <v>105.72450000000001</v>
      </c>
      <c r="W260" s="4">
        <f t="shared" si="60"/>
        <v>1208.28</v>
      </c>
      <c r="X260" s="4">
        <f>Table1[[#This Row],[ScenarioRev]]-Table1[[#This Row],[ScenarioUnitCost]]</f>
        <v>2685.2953800000005</v>
      </c>
      <c r="Y260" s="4">
        <v>226.14</v>
      </c>
      <c r="Z260" s="4">
        <f t="shared" si="61"/>
        <v>2537.2908000000002</v>
      </c>
      <c r="AA260" s="4">
        <f>Table1[[#This Row],[ScenarioQuanity]]*Table1[[#This Row],[UnitPrice]]*(1-Table1[[#This Row],[ScenarioDiscPct]])</f>
        <v>2791.0198800000003</v>
      </c>
      <c r="AB260" s="4">
        <f t="shared" si="62"/>
        <v>1329.0108000000002</v>
      </c>
      <c r="AC260" s="4">
        <f>Table1[[#This Row],[ScenarioRev]] - Table1[[#This Row],[ScenarioCostOfGoods]]</f>
        <v>105.72449999999981</v>
      </c>
      <c r="AD260" s="6">
        <v>6.5000000000000002E-2</v>
      </c>
      <c r="AE260" s="6">
        <f>MIN(Table1[[#This Row],[DiscountPct]], WhatIf!$B$2)</f>
        <v>6.5000000000000002E-2</v>
      </c>
      <c r="AF260" s="6">
        <f>IF(Table1[[#This Row],[DiscountPct]]&gt;0.2, 1, 0)</f>
        <v>0</v>
      </c>
      <c r="AG260" s="6" t="str">
        <f t="shared" si="63"/>
        <v>Low</v>
      </c>
      <c r="AH260" s="6">
        <f t="shared" si="64"/>
        <v>0.52379128162999689</v>
      </c>
      <c r="AI260" s="5">
        <v>12</v>
      </c>
      <c r="AJ260" s="6">
        <f>Table1[[#This Row],[Quantity]]*(1+WhatIf!$B$4)</f>
        <v>13.200000000000001</v>
      </c>
    </row>
    <row r="261" spans="1:36" x14ac:dyDescent="0.3">
      <c r="A261" t="s">
        <v>179</v>
      </c>
      <c r="B261" s="3">
        <v>45447</v>
      </c>
      <c r="C261" s="3">
        <v>45459</v>
      </c>
      <c r="D261" s="3">
        <f t="shared" si="53"/>
        <v>45459</v>
      </c>
      <c r="E261" s="4">
        <f t="shared" si="52"/>
        <v>12</v>
      </c>
      <c r="F261" s="4">
        <f t="shared" si="54"/>
        <v>12</v>
      </c>
      <c r="G261" s="4">
        <f>IF(Table1[[#This Row],[CorrectedLeadTimeDays]]&lt;=7, 1, 0)</f>
        <v>0</v>
      </c>
      <c r="H261" s="4" t="str">
        <f t="shared" si="55"/>
        <v>June</v>
      </c>
      <c r="I261" s="4" t="str">
        <f t="shared" si="56"/>
        <v>Q2-2024</v>
      </c>
      <c r="J261" s="4" t="str">
        <f t="shared" si="57"/>
        <v>2023-01</v>
      </c>
      <c r="K261" s="3">
        <f t="shared" si="58"/>
        <v>44938</v>
      </c>
      <c r="L261" t="s">
        <v>647</v>
      </c>
      <c r="M261" t="s">
        <v>659</v>
      </c>
      <c r="N261" t="s">
        <v>685</v>
      </c>
      <c r="O261" t="s">
        <v>701</v>
      </c>
      <c r="P261" t="s">
        <v>707</v>
      </c>
      <c r="Q261" t="s">
        <v>713</v>
      </c>
      <c r="R261">
        <f t="shared" si="59"/>
        <v>16</v>
      </c>
      <c r="S261" t="s">
        <v>728</v>
      </c>
      <c r="T261" t="s">
        <v>898</v>
      </c>
      <c r="U261" s="4">
        <v>918.42</v>
      </c>
      <c r="V261" s="4">
        <f>Table1[[#This Row],[UnitCost]]*(1+WhatIf!$B$3)</f>
        <v>964.34100000000001</v>
      </c>
      <c r="W261" s="4">
        <f t="shared" si="60"/>
        <v>7347.36</v>
      </c>
      <c r="X261" s="4">
        <f>Table1[[#This Row],[ScenarioRev]]-Table1[[#This Row],[ScenarioUnitCost]]</f>
        <v>12072.64604</v>
      </c>
      <c r="Y261" s="4">
        <v>1511.71</v>
      </c>
      <c r="Z261" s="4">
        <f t="shared" si="61"/>
        <v>11851.806399999999</v>
      </c>
      <c r="AA261" s="4">
        <f>Table1[[#This Row],[ScenarioQuanity]]*Table1[[#This Row],[UnitPrice]]*(1-Table1[[#This Row],[ScenarioDiscPct]])</f>
        <v>13036.98704</v>
      </c>
      <c r="AB261" s="4">
        <f t="shared" si="62"/>
        <v>4504.4463999999998</v>
      </c>
      <c r="AC261" s="4">
        <f>Table1[[#This Row],[ScenarioRev]] - Table1[[#This Row],[ScenarioCostOfGoods]]</f>
        <v>964.34100000000035</v>
      </c>
      <c r="AD261" s="6">
        <v>0.02</v>
      </c>
      <c r="AE261" s="6">
        <f>MIN(Table1[[#This Row],[DiscountPct]], WhatIf!$B$2)</f>
        <v>0.02</v>
      </c>
      <c r="AF261" s="6">
        <f>IF(Table1[[#This Row],[DiscountPct]]&gt;0.2, 1, 0)</f>
        <v>0</v>
      </c>
      <c r="AG261" s="6" t="str">
        <f t="shared" si="63"/>
        <v>High</v>
      </c>
      <c r="AH261" s="6">
        <f t="shared" si="64"/>
        <v>0.38006412254590999</v>
      </c>
      <c r="AI261" s="5">
        <v>8</v>
      </c>
      <c r="AJ261" s="6">
        <f>Table1[[#This Row],[Quantity]]*(1+WhatIf!$B$4)</f>
        <v>8.8000000000000007</v>
      </c>
    </row>
    <row r="262" spans="1:36" x14ac:dyDescent="0.3">
      <c r="A262" t="s">
        <v>245</v>
      </c>
      <c r="B262" s="3">
        <v>45771</v>
      </c>
      <c r="C262" s="3">
        <v>45783</v>
      </c>
      <c r="D262" s="3">
        <f t="shared" si="53"/>
        <v>45783</v>
      </c>
      <c r="E262" s="4">
        <f t="shared" si="52"/>
        <v>12</v>
      </c>
      <c r="F262" s="4">
        <f t="shared" si="54"/>
        <v>12</v>
      </c>
      <c r="G262" s="4">
        <f>IF(Table1[[#This Row],[CorrectedLeadTimeDays]]&lt;=7, 1, 0)</f>
        <v>0</v>
      </c>
      <c r="H262" s="4" t="str">
        <f t="shared" si="55"/>
        <v>April</v>
      </c>
      <c r="I262" s="4" t="str">
        <f t="shared" si="56"/>
        <v>Q2-2025</v>
      </c>
      <c r="J262" s="4" t="str">
        <f t="shared" si="57"/>
        <v>2023-01</v>
      </c>
      <c r="K262" s="3">
        <f t="shared" si="58"/>
        <v>44955</v>
      </c>
      <c r="L262" t="s">
        <v>648</v>
      </c>
      <c r="M262" t="s">
        <v>655</v>
      </c>
      <c r="N262" t="s">
        <v>672</v>
      </c>
      <c r="O262" t="s">
        <v>704</v>
      </c>
      <c r="P262" t="s">
        <v>708</v>
      </c>
      <c r="Q262" t="s">
        <v>712</v>
      </c>
      <c r="R262">
        <f t="shared" si="59"/>
        <v>26</v>
      </c>
      <c r="S262" t="s">
        <v>730</v>
      </c>
      <c r="T262" t="s">
        <v>965</v>
      </c>
      <c r="U262" s="4">
        <v>394.13</v>
      </c>
      <c r="V262" s="4">
        <f>Table1[[#This Row],[UnitCost]]*(1+WhatIf!$B$3)</f>
        <v>413.8365</v>
      </c>
      <c r="W262" s="4">
        <f t="shared" si="60"/>
        <v>2758.91</v>
      </c>
      <c r="X262" s="4">
        <f>Table1[[#This Row],[ScenarioRev]]-Table1[[#This Row],[ScenarioUnitCost]]</f>
        <v>5982.325503</v>
      </c>
      <c r="Y262" s="4">
        <v>932.29</v>
      </c>
      <c r="Z262" s="4">
        <f t="shared" si="61"/>
        <v>5814.6927299999998</v>
      </c>
      <c r="AA262" s="4">
        <f>Table1[[#This Row],[ScenarioQuanity]]*Table1[[#This Row],[UnitPrice]]*(1-Table1[[#This Row],[ScenarioDiscPct]])</f>
        <v>6396.1620030000004</v>
      </c>
      <c r="AB262" s="4">
        <f t="shared" si="62"/>
        <v>3055.7827299999999</v>
      </c>
      <c r="AC262" s="4">
        <f>Table1[[#This Row],[ScenarioRev]] - Table1[[#This Row],[ScenarioCostOfGoods]]</f>
        <v>413.83650000000034</v>
      </c>
      <c r="AD262" s="6">
        <v>0.109</v>
      </c>
      <c r="AE262" s="6">
        <f>MIN(Table1[[#This Row],[DiscountPct]], WhatIf!$B$2)</f>
        <v>0.109</v>
      </c>
      <c r="AF262" s="6">
        <f>IF(Table1[[#This Row],[DiscountPct]]&gt;0.2, 1, 0)</f>
        <v>0</v>
      </c>
      <c r="AG262" s="6" t="str">
        <f t="shared" si="63"/>
        <v>High</v>
      </c>
      <c r="AH262" s="6">
        <f t="shared" si="64"/>
        <v>0.5255278089303268</v>
      </c>
      <c r="AI262" s="5">
        <v>7</v>
      </c>
      <c r="AJ262" s="6">
        <f>Table1[[#This Row],[Quantity]]*(1+WhatIf!$B$4)</f>
        <v>7.7000000000000011</v>
      </c>
    </row>
    <row r="263" spans="1:36" x14ac:dyDescent="0.3">
      <c r="A263" t="s">
        <v>603</v>
      </c>
      <c r="B263" s="3">
        <v>45703</v>
      </c>
      <c r="C263" s="3">
        <v>45715</v>
      </c>
      <c r="D263" s="3">
        <f t="shared" si="53"/>
        <v>45715</v>
      </c>
      <c r="E263" s="4">
        <f t="shared" si="52"/>
        <v>12</v>
      </c>
      <c r="F263" s="4">
        <f t="shared" si="54"/>
        <v>12</v>
      </c>
      <c r="G263" s="4">
        <f>IF(Table1[[#This Row],[CorrectedLeadTimeDays]]&lt;=7, 1, 0)</f>
        <v>0</v>
      </c>
      <c r="H263" s="4" t="str">
        <f t="shared" si="55"/>
        <v>February</v>
      </c>
      <c r="I263" s="4" t="str">
        <f t="shared" si="56"/>
        <v>Q1-2025</v>
      </c>
      <c r="J263" s="4" t="str">
        <f t="shared" si="57"/>
        <v>2023-01</v>
      </c>
      <c r="K263" s="3">
        <f t="shared" si="58"/>
        <v>44936</v>
      </c>
      <c r="L263" t="s">
        <v>649</v>
      </c>
      <c r="M263" t="s">
        <v>657</v>
      </c>
      <c r="N263" t="s">
        <v>679</v>
      </c>
      <c r="O263" t="s">
        <v>703</v>
      </c>
      <c r="P263" t="s">
        <v>711</v>
      </c>
      <c r="Q263" t="s">
        <v>723</v>
      </c>
      <c r="R263">
        <f t="shared" si="59"/>
        <v>25</v>
      </c>
      <c r="S263" t="s">
        <v>733</v>
      </c>
      <c r="T263" t="s">
        <v>1321</v>
      </c>
      <c r="U263" s="4">
        <v>1027.26</v>
      </c>
      <c r="V263" s="4">
        <f>Table1[[#This Row],[UnitCost]]*(1+WhatIf!$B$3)</f>
        <v>1078.623</v>
      </c>
      <c r="W263" s="4">
        <f t="shared" si="60"/>
        <v>6163.5599999999995</v>
      </c>
      <c r="X263" s="4">
        <f>Table1[[#This Row],[ScenarioRev]]-Table1[[#This Row],[ScenarioUnitCost]]</f>
        <v>12166.084872000001</v>
      </c>
      <c r="Y263" s="4">
        <v>2200.41</v>
      </c>
      <c r="Z263" s="4">
        <f t="shared" si="61"/>
        <v>12040.64352</v>
      </c>
      <c r="AA263" s="4">
        <f>Table1[[#This Row],[ScenarioQuanity]]*Table1[[#This Row],[UnitPrice]]*(1-Table1[[#This Row],[ScenarioDiscPct]])</f>
        <v>13244.707872000001</v>
      </c>
      <c r="AB263" s="4">
        <f t="shared" si="62"/>
        <v>5877.0835200000001</v>
      </c>
      <c r="AC263" s="4">
        <f>Table1[[#This Row],[ScenarioRev]] - Table1[[#This Row],[ScenarioCostOfGoods]]</f>
        <v>1078.6229999999996</v>
      </c>
      <c r="AD263" s="6">
        <v>8.7999999999999995E-2</v>
      </c>
      <c r="AE263" s="6">
        <f>MIN(Table1[[#This Row],[DiscountPct]], WhatIf!$B$2)</f>
        <v>8.7999999999999995E-2</v>
      </c>
      <c r="AF263" s="6">
        <f>IF(Table1[[#This Row],[DiscountPct]]&gt;0.2, 1, 0)</f>
        <v>0</v>
      </c>
      <c r="AG263" s="6" t="str">
        <f t="shared" si="63"/>
        <v>High</v>
      </c>
      <c r="AH263" s="6">
        <f t="shared" si="64"/>
        <v>0.48810377204822358</v>
      </c>
      <c r="AI263" s="5">
        <v>6</v>
      </c>
      <c r="AJ263" s="6">
        <f>Table1[[#This Row],[Quantity]]*(1+WhatIf!$B$4)</f>
        <v>6.6000000000000005</v>
      </c>
    </row>
    <row r="264" spans="1:36" x14ac:dyDescent="0.3">
      <c r="A264" t="s">
        <v>560</v>
      </c>
      <c r="B264" s="3">
        <v>45355</v>
      </c>
      <c r="C264" s="3">
        <v>45367</v>
      </c>
      <c r="D264" s="3">
        <f t="shared" si="53"/>
        <v>45367</v>
      </c>
      <c r="E264" s="4">
        <f t="shared" si="52"/>
        <v>12</v>
      </c>
      <c r="F264" s="4">
        <f t="shared" si="54"/>
        <v>12</v>
      </c>
      <c r="G264" s="4">
        <f>IF(Table1[[#This Row],[CorrectedLeadTimeDays]]&lt;=7, 1, 0)</f>
        <v>0</v>
      </c>
      <c r="H264" s="4" t="str">
        <f t="shared" si="55"/>
        <v>March</v>
      </c>
      <c r="I264" s="4" t="str">
        <f t="shared" si="56"/>
        <v>Q1-2024</v>
      </c>
      <c r="J264" s="4" t="str">
        <f t="shared" si="57"/>
        <v>2023-01</v>
      </c>
      <c r="K264" s="3">
        <f t="shared" si="58"/>
        <v>44933</v>
      </c>
      <c r="L264" t="s">
        <v>646</v>
      </c>
      <c r="M264" t="s">
        <v>661</v>
      </c>
      <c r="N264" t="s">
        <v>682</v>
      </c>
      <c r="O264" t="s">
        <v>706</v>
      </c>
      <c r="P264" t="s">
        <v>710</v>
      </c>
      <c r="Q264" t="s">
        <v>724</v>
      </c>
      <c r="R264">
        <f t="shared" si="59"/>
        <v>13</v>
      </c>
      <c r="S264" t="s">
        <v>732</v>
      </c>
      <c r="T264" t="s">
        <v>1278</v>
      </c>
      <c r="U264" s="4">
        <v>441.08</v>
      </c>
      <c r="V264" s="4">
        <f>Table1[[#This Row],[UnitCost]]*(1+WhatIf!$B$3)</f>
        <v>463.13400000000001</v>
      </c>
      <c r="W264" s="4">
        <f t="shared" si="60"/>
        <v>2646.48</v>
      </c>
      <c r="X264" s="4">
        <f>Table1[[#This Row],[ScenarioRev]]-Table1[[#This Row],[ScenarioUnitCost]]</f>
        <v>5103.5172000000002</v>
      </c>
      <c r="Y264" s="4">
        <v>1054.29</v>
      </c>
      <c r="Z264" s="4">
        <f t="shared" si="61"/>
        <v>4826.5396199999996</v>
      </c>
      <c r="AA264" s="4">
        <f>Table1[[#This Row],[ScenarioQuanity]]*Table1[[#This Row],[UnitPrice]]*(1-Table1[[#This Row],[ScenarioDiscPct]])</f>
        <v>5566.6512000000002</v>
      </c>
      <c r="AB264" s="4">
        <f t="shared" si="62"/>
        <v>2180.0596199999995</v>
      </c>
      <c r="AC264" s="4">
        <f>Table1[[#This Row],[ScenarioRev]] - Table1[[#This Row],[ScenarioCostOfGoods]]</f>
        <v>463.13400000000001</v>
      </c>
      <c r="AD264" s="6">
        <v>0.23699999999999999</v>
      </c>
      <c r="AE264" s="6">
        <f>MIN(Table1[[#This Row],[DiscountPct]], WhatIf!$B$2)</f>
        <v>0.2</v>
      </c>
      <c r="AF264" s="6">
        <f>IF(Table1[[#This Row],[DiscountPct]]&gt;0.2, 1, 0)</f>
        <v>1</v>
      </c>
      <c r="AG264" s="6" t="str">
        <f t="shared" si="63"/>
        <v>High</v>
      </c>
      <c r="AH264" s="6">
        <f t="shared" si="64"/>
        <v>0.45168169985932899</v>
      </c>
      <c r="AI264" s="5">
        <v>6</v>
      </c>
      <c r="AJ264" s="6">
        <f>Table1[[#This Row],[Quantity]]*(1+WhatIf!$B$4)</f>
        <v>6.6000000000000005</v>
      </c>
    </row>
    <row r="265" spans="1:36" x14ac:dyDescent="0.3">
      <c r="A265" t="s">
        <v>372</v>
      </c>
      <c r="B265" s="3">
        <v>45621</v>
      </c>
      <c r="C265" s="3">
        <v>45633</v>
      </c>
      <c r="D265" s="3">
        <f t="shared" si="53"/>
        <v>45633</v>
      </c>
      <c r="E265" s="4">
        <f t="shared" si="52"/>
        <v>12</v>
      </c>
      <c r="F265" s="4">
        <f t="shared" si="54"/>
        <v>12</v>
      </c>
      <c r="G265" s="4">
        <f>IF(Table1[[#This Row],[CorrectedLeadTimeDays]]&lt;=7, 1, 0)</f>
        <v>0</v>
      </c>
      <c r="H265" s="4" t="str">
        <f t="shared" si="55"/>
        <v>November</v>
      </c>
      <c r="I265" s="4" t="str">
        <f t="shared" si="56"/>
        <v>Q4-2024</v>
      </c>
      <c r="J265" s="4" t="str">
        <f t="shared" si="57"/>
        <v>2023-01</v>
      </c>
      <c r="K265" s="3">
        <f t="shared" si="58"/>
        <v>44938</v>
      </c>
      <c r="L265" t="s">
        <v>647</v>
      </c>
      <c r="M265" t="s">
        <v>659</v>
      </c>
      <c r="N265" t="s">
        <v>685</v>
      </c>
      <c r="O265" t="s">
        <v>701</v>
      </c>
      <c r="P265" t="s">
        <v>710</v>
      </c>
      <c r="Q265" t="s">
        <v>720</v>
      </c>
      <c r="R265">
        <f t="shared" si="59"/>
        <v>22</v>
      </c>
      <c r="S265" t="s">
        <v>733</v>
      </c>
      <c r="T265" t="s">
        <v>1092</v>
      </c>
      <c r="U265" s="4">
        <v>769.9</v>
      </c>
      <c r="V265" s="4">
        <f>Table1[[#This Row],[UnitCost]]*(1+WhatIf!$B$3)</f>
        <v>808.39499999999998</v>
      </c>
      <c r="W265" s="4">
        <f t="shared" si="60"/>
        <v>3849.5</v>
      </c>
      <c r="X265" s="4">
        <f>Table1[[#This Row],[ScenarioRev]]-Table1[[#This Row],[ScenarioUnitCost]]</f>
        <v>3670.5850000000005</v>
      </c>
      <c r="Y265" s="4">
        <v>814.36</v>
      </c>
      <c r="Z265" s="4">
        <f t="shared" si="61"/>
        <v>4071.8</v>
      </c>
      <c r="AA265" s="4">
        <f>Table1[[#This Row],[ScenarioQuanity]]*Table1[[#This Row],[UnitPrice]]*(1-Table1[[#This Row],[ScenarioDiscPct]])</f>
        <v>4478.9800000000005</v>
      </c>
      <c r="AB265" s="4">
        <f t="shared" si="62"/>
        <v>222.30000000000018</v>
      </c>
      <c r="AC265" s="4">
        <f>Table1[[#This Row],[ScenarioRev]] - Table1[[#This Row],[ScenarioCostOfGoods]]</f>
        <v>808.39499999999998</v>
      </c>
      <c r="AD265" s="6">
        <v>0</v>
      </c>
      <c r="AE265" s="6">
        <f>MIN(Table1[[#This Row],[DiscountPct]], WhatIf!$B$2)</f>
        <v>0</v>
      </c>
      <c r="AF265" s="6">
        <f>IF(Table1[[#This Row],[DiscountPct]]&gt;0.2, 1, 0)</f>
        <v>0</v>
      </c>
      <c r="AG265" s="6" t="str">
        <f t="shared" si="63"/>
        <v>Low</v>
      </c>
      <c r="AH265" s="6">
        <f t="shared" si="64"/>
        <v>5.4595019401738831E-2</v>
      </c>
      <c r="AI265" s="5">
        <v>5</v>
      </c>
      <c r="AJ265" s="6">
        <f>Table1[[#This Row],[Quantity]]*(1+WhatIf!$B$4)</f>
        <v>5.5</v>
      </c>
    </row>
    <row r="266" spans="1:36" x14ac:dyDescent="0.3">
      <c r="A266" t="s">
        <v>102</v>
      </c>
      <c r="B266" s="3">
        <v>45876</v>
      </c>
      <c r="C266" s="3">
        <v>45888</v>
      </c>
      <c r="D266" s="3">
        <f t="shared" si="53"/>
        <v>45888</v>
      </c>
      <c r="E266" s="4">
        <f t="shared" si="52"/>
        <v>12</v>
      </c>
      <c r="F266" s="4">
        <f t="shared" si="54"/>
        <v>12</v>
      </c>
      <c r="G266" s="4">
        <f>IF(Table1[[#This Row],[CorrectedLeadTimeDays]]&lt;=7, 1, 0)</f>
        <v>0</v>
      </c>
      <c r="H266" s="4" t="str">
        <f t="shared" si="55"/>
        <v>August</v>
      </c>
      <c r="I266" s="4" t="str">
        <f t="shared" si="56"/>
        <v>Q3-2025</v>
      </c>
      <c r="J266" s="4" t="str">
        <f t="shared" si="57"/>
        <v>2023-01</v>
      </c>
      <c r="K266" s="3">
        <f t="shared" si="58"/>
        <v>44946</v>
      </c>
      <c r="L266" t="s">
        <v>646</v>
      </c>
      <c r="M266" t="s">
        <v>650</v>
      </c>
      <c r="N266" t="s">
        <v>678</v>
      </c>
      <c r="O266" t="s">
        <v>701</v>
      </c>
      <c r="Q266" t="s">
        <v>724</v>
      </c>
      <c r="R266">
        <f t="shared" si="59"/>
        <v>30</v>
      </c>
      <c r="S266" t="s">
        <v>727</v>
      </c>
      <c r="T266" t="s">
        <v>821</v>
      </c>
      <c r="U266" s="4">
        <v>601.51</v>
      </c>
      <c r="V266" s="4">
        <f>Table1[[#This Row],[UnitCost]]*(1+WhatIf!$B$3)</f>
        <v>631.58550000000002</v>
      </c>
      <c r="W266" s="4">
        <f t="shared" si="60"/>
        <v>1804.53</v>
      </c>
      <c r="X266" s="4">
        <f>Table1[[#This Row],[ScenarioRev]]-Table1[[#This Row],[ScenarioUnitCost]]</f>
        <v>1188.8007600000005</v>
      </c>
      <c r="Y266" s="4">
        <v>679.35</v>
      </c>
      <c r="Z266" s="4">
        <f t="shared" si="61"/>
        <v>1654.8966000000003</v>
      </c>
      <c r="AA266" s="4">
        <f>Table1[[#This Row],[ScenarioQuanity]]*Table1[[#This Row],[UnitPrice]]*(1-Table1[[#This Row],[ScenarioDiscPct]])</f>
        <v>1820.3862600000004</v>
      </c>
      <c r="AB266" s="4">
        <f t="shared" si="62"/>
        <v>-149.63339999999971</v>
      </c>
      <c r="AC266" s="4">
        <f>Table1[[#This Row],[ScenarioRev]] - Table1[[#This Row],[ScenarioCostOfGoods]]</f>
        <v>631.58549999999991</v>
      </c>
      <c r="AD266" s="6">
        <v>0.188</v>
      </c>
      <c r="AE266" s="6">
        <f>MIN(Table1[[#This Row],[DiscountPct]], WhatIf!$B$2)</f>
        <v>0.188</v>
      </c>
      <c r="AF266" s="6">
        <f>IF(Table1[[#This Row],[DiscountPct]]&gt;0.2, 1, 0)</f>
        <v>0</v>
      </c>
      <c r="AG266" s="6" t="str">
        <f t="shared" si="63"/>
        <v>Low</v>
      </c>
      <c r="AH266" s="6">
        <f t="shared" si="64"/>
        <v>-9.0418579626062243E-2</v>
      </c>
      <c r="AI266" s="5">
        <v>3</v>
      </c>
      <c r="AJ266" s="6">
        <f>Table1[[#This Row],[Quantity]]*(1+WhatIf!$B$4)</f>
        <v>3.3000000000000003</v>
      </c>
    </row>
    <row r="267" spans="1:36" x14ac:dyDescent="0.3">
      <c r="A267" t="s">
        <v>442</v>
      </c>
      <c r="B267" s="3">
        <v>45347</v>
      </c>
      <c r="C267" s="3">
        <v>45360</v>
      </c>
      <c r="D267" s="3">
        <f t="shared" si="53"/>
        <v>45360</v>
      </c>
      <c r="E267" s="4">
        <f t="shared" si="52"/>
        <v>13</v>
      </c>
      <c r="F267" s="4">
        <f t="shared" si="54"/>
        <v>13</v>
      </c>
      <c r="G267" s="4">
        <f>IF(Table1[[#This Row],[CorrectedLeadTimeDays]]&lt;=7, 1, 0)</f>
        <v>0</v>
      </c>
      <c r="H267" s="4" t="str">
        <f t="shared" si="55"/>
        <v>February</v>
      </c>
      <c r="I267" s="4" t="str">
        <f t="shared" si="56"/>
        <v>Q1-2024</v>
      </c>
      <c r="J267" s="4" t="str">
        <f t="shared" si="57"/>
        <v>2023-01</v>
      </c>
      <c r="K267" s="3">
        <f t="shared" si="58"/>
        <v>44936</v>
      </c>
      <c r="L267" t="s">
        <v>649</v>
      </c>
      <c r="M267" t="s">
        <v>657</v>
      </c>
      <c r="N267" t="s">
        <v>673</v>
      </c>
      <c r="O267" t="s">
        <v>705</v>
      </c>
      <c r="P267" t="s">
        <v>710</v>
      </c>
      <c r="Q267" t="s">
        <v>718</v>
      </c>
      <c r="R267">
        <f t="shared" si="59"/>
        <v>13</v>
      </c>
      <c r="S267" t="s">
        <v>732</v>
      </c>
      <c r="T267" t="s">
        <v>1161</v>
      </c>
      <c r="U267" s="4">
        <v>322.44</v>
      </c>
      <c r="V267" s="4">
        <f>Table1[[#This Row],[UnitCost]]*(1+WhatIf!$B$3)</f>
        <v>338.56200000000001</v>
      </c>
      <c r="W267" s="4">
        <f t="shared" si="60"/>
        <v>10962.96</v>
      </c>
      <c r="X267" s="4">
        <f>Table1[[#This Row],[ScenarioRev]]-Table1[[#This Row],[ScenarioUnitCost]]</f>
        <v>14457.252000000002</v>
      </c>
      <c r="Y267" s="4">
        <v>395.61</v>
      </c>
      <c r="Z267" s="4">
        <f t="shared" si="61"/>
        <v>13450.74</v>
      </c>
      <c r="AA267" s="4">
        <f>Table1[[#This Row],[ScenarioQuanity]]*Table1[[#This Row],[UnitPrice]]*(1-Table1[[#This Row],[ScenarioDiscPct]])</f>
        <v>14795.814000000002</v>
      </c>
      <c r="AB267" s="4">
        <f t="shared" si="62"/>
        <v>2487.7800000000007</v>
      </c>
      <c r="AC267" s="4">
        <f>Table1[[#This Row],[ScenarioRev]] - Table1[[#This Row],[ScenarioCostOfGoods]]</f>
        <v>338.5619999999999</v>
      </c>
      <c r="AD267" s="6">
        <v>0</v>
      </c>
      <c r="AE267" s="6">
        <f>MIN(Table1[[#This Row],[DiscountPct]], WhatIf!$B$2)</f>
        <v>0</v>
      </c>
      <c r="AF267" s="6">
        <f>IF(Table1[[#This Row],[DiscountPct]]&gt;0.2, 1, 0)</f>
        <v>0</v>
      </c>
      <c r="AG267" s="6" t="str">
        <f t="shared" si="63"/>
        <v>Low</v>
      </c>
      <c r="AH267" s="6">
        <f t="shared" si="64"/>
        <v>0.18495487980586947</v>
      </c>
      <c r="AI267" s="5">
        <v>34</v>
      </c>
      <c r="AJ267" s="6">
        <f>Table1[[#This Row],[Quantity]]*(1+WhatIf!$B$4)</f>
        <v>37.400000000000006</v>
      </c>
    </row>
    <row r="268" spans="1:36" x14ac:dyDescent="0.3">
      <c r="A268" t="s">
        <v>457</v>
      </c>
      <c r="B268" s="3">
        <v>45526</v>
      </c>
      <c r="C268" s="3">
        <v>45539</v>
      </c>
      <c r="D268" s="3">
        <f t="shared" si="53"/>
        <v>45539</v>
      </c>
      <c r="E268" s="4">
        <f t="shared" si="52"/>
        <v>13</v>
      </c>
      <c r="F268" s="4">
        <f t="shared" si="54"/>
        <v>13</v>
      </c>
      <c r="G268" s="4">
        <f>IF(Table1[[#This Row],[CorrectedLeadTimeDays]]&lt;=7, 1, 0)</f>
        <v>0</v>
      </c>
      <c r="H268" s="4" t="str">
        <f t="shared" si="55"/>
        <v>August</v>
      </c>
      <c r="I268" s="4" t="str">
        <f t="shared" si="56"/>
        <v>Q3-2024</v>
      </c>
      <c r="J268" s="4" t="str">
        <f t="shared" si="57"/>
        <v>2023-01</v>
      </c>
      <c r="K268" s="3">
        <f t="shared" si="58"/>
        <v>44948</v>
      </c>
      <c r="L268" t="s">
        <v>649</v>
      </c>
      <c r="M268" t="s">
        <v>656</v>
      </c>
      <c r="N268" t="s">
        <v>698</v>
      </c>
      <c r="O268" t="s">
        <v>703</v>
      </c>
      <c r="P268" t="s">
        <v>707</v>
      </c>
      <c r="Q268" t="s">
        <v>716</v>
      </c>
      <c r="R268">
        <f t="shared" si="59"/>
        <v>19</v>
      </c>
      <c r="S268" t="s">
        <v>728</v>
      </c>
      <c r="T268" t="s">
        <v>1176</v>
      </c>
      <c r="U268" s="4">
        <v>90.04</v>
      </c>
      <c r="V268" s="4">
        <f>Table1[[#This Row],[UnitCost]]*(1+WhatIf!$B$3)</f>
        <v>94.542000000000016</v>
      </c>
      <c r="W268" s="4">
        <f t="shared" si="60"/>
        <v>2881.28</v>
      </c>
      <c r="X268" s="4">
        <f>Table1[[#This Row],[ScenarioRev]]-Table1[[#This Row],[ScenarioUnitCost]]</f>
        <v>6461.5051679999997</v>
      </c>
      <c r="Y268" s="4">
        <v>194.62</v>
      </c>
      <c r="Z268" s="4">
        <f t="shared" si="61"/>
        <v>5960.04288</v>
      </c>
      <c r="AA268" s="4">
        <f>Table1[[#This Row],[ScenarioQuanity]]*Table1[[#This Row],[UnitPrice]]*(1-Table1[[#This Row],[ScenarioDiscPct]])</f>
        <v>6556.0471680000001</v>
      </c>
      <c r="AB268" s="4">
        <f t="shared" si="62"/>
        <v>3078.7628799999998</v>
      </c>
      <c r="AC268" s="4">
        <f>Table1[[#This Row],[ScenarioRev]] - Table1[[#This Row],[ScenarioCostOfGoods]]</f>
        <v>94.542000000000371</v>
      </c>
      <c r="AD268" s="6">
        <v>4.2999999999999997E-2</v>
      </c>
      <c r="AE268" s="6">
        <f>MIN(Table1[[#This Row],[DiscountPct]], WhatIf!$B$2)</f>
        <v>4.2999999999999997E-2</v>
      </c>
      <c r="AF268" s="6">
        <f>IF(Table1[[#This Row],[DiscountPct]]&gt;0.2, 1, 0)</f>
        <v>0</v>
      </c>
      <c r="AG268" s="6" t="str">
        <f t="shared" si="63"/>
        <v>Low</v>
      </c>
      <c r="AH268" s="6">
        <f t="shared" si="64"/>
        <v>0.51656723650954672</v>
      </c>
      <c r="AI268" s="5">
        <v>32</v>
      </c>
      <c r="AJ268" s="6">
        <f>Table1[[#This Row],[Quantity]]*(1+WhatIf!$B$4)</f>
        <v>35.200000000000003</v>
      </c>
    </row>
    <row r="269" spans="1:36" x14ac:dyDescent="0.3">
      <c r="A269" t="s">
        <v>322</v>
      </c>
      <c r="B269" s="3">
        <v>45679</v>
      </c>
      <c r="C269" s="3">
        <v>45692</v>
      </c>
      <c r="D269" s="3">
        <f t="shared" si="53"/>
        <v>45692</v>
      </c>
      <c r="E269" s="4">
        <f t="shared" si="52"/>
        <v>13</v>
      </c>
      <c r="F269" s="4">
        <f t="shared" si="54"/>
        <v>13</v>
      </c>
      <c r="G269" s="4">
        <f>IF(Table1[[#This Row],[CorrectedLeadTimeDays]]&lt;=7, 1, 0)</f>
        <v>0</v>
      </c>
      <c r="H269" s="4" t="str">
        <f t="shared" si="55"/>
        <v>January</v>
      </c>
      <c r="I269" s="4" t="str">
        <f t="shared" si="56"/>
        <v>Q1-2025</v>
      </c>
      <c r="J269" s="4" t="str">
        <f t="shared" si="57"/>
        <v>2023-03</v>
      </c>
      <c r="K269" s="3">
        <f t="shared" si="58"/>
        <v>44988</v>
      </c>
      <c r="L269" t="s">
        <v>647</v>
      </c>
      <c r="M269" t="s">
        <v>652</v>
      </c>
      <c r="N269" t="s">
        <v>689</v>
      </c>
      <c r="O269" t="s">
        <v>705</v>
      </c>
      <c r="P269" t="s">
        <v>710</v>
      </c>
      <c r="Q269" t="s">
        <v>716</v>
      </c>
      <c r="R269">
        <f t="shared" si="59"/>
        <v>22</v>
      </c>
      <c r="S269" t="s">
        <v>728</v>
      </c>
      <c r="T269" t="s">
        <v>1042</v>
      </c>
      <c r="U269" s="4">
        <v>122.29</v>
      </c>
      <c r="V269" s="4">
        <f>Table1[[#This Row],[UnitCost]]*(1+WhatIf!$B$3)</f>
        <v>128.40450000000001</v>
      </c>
      <c r="W269" s="4">
        <f t="shared" si="60"/>
        <v>3424.1200000000003</v>
      </c>
      <c r="X269" s="4">
        <f>Table1[[#This Row],[ScenarioRev]]-Table1[[#This Row],[ScenarioUnitCost]]</f>
        <v>5740.0011200000008</v>
      </c>
      <c r="Y269" s="4">
        <v>224.95</v>
      </c>
      <c r="Z269" s="4">
        <f t="shared" si="61"/>
        <v>5334.9141999999993</v>
      </c>
      <c r="AA269" s="4">
        <f>Table1[[#This Row],[ScenarioQuanity]]*Table1[[#This Row],[UnitPrice]]*(1-Table1[[#This Row],[ScenarioDiscPct]])</f>
        <v>5868.4056200000005</v>
      </c>
      <c r="AB269" s="4">
        <f t="shared" si="62"/>
        <v>1910.7941999999989</v>
      </c>
      <c r="AC269" s="4">
        <f>Table1[[#This Row],[ScenarioRev]] - Table1[[#This Row],[ScenarioCostOfGoods]]</f>
        <v>128.40449999999964</v>
      </c>
      <c r="AD269" s="6">
        <v>0.153</v>
      </c>
      <c r="AE269" s="6">
        <f>MIN(Table1[[#This Row],[DiscountPct]], WhatIf!$B$2)</f>
        <v>0.153</v>
      </c>
      <c r="AF269" s="6">
        <f>IF(Table1[[#This Row],[DiscountPct]]&gt;0.2, 1, 0)</f>
        <v>0</v>
      </c>
      <c r="AG269" s="6" t="str">
        <f t="shared" si="63"/>
        <v>Low</v>
      </c>
      <c r="AH269" s="6">
        <f t="shared" si="64"/>
        <v>0.3581677471026618</v>
      </c>
      <c r="AI269" s="5">
        <v>28</v>
      </c>
      <c r="AJ269" s="6">
        <f>Table1[[#This Row],[Quantity]]*(1+WhatIf!$B$4)</f>
        <v>30.800000000000004</v>
      </c>
    </row>
    <row r="270" spans="1:36" x14ac:dyDescent="0.3">
      <c r="A270" t="s">
        <v>59</v>
      </c>
      <c r="B270" s="3">
        <v>45432</v>
      </c>
      <c r="C270" s="3">
        <v>45445</v>
      </c>
      <c r="D270" s="3">
        <f t="shared" si="53"/>
        <v>45445</v>
      </c>
      <c r="E270" s="4">
        <f t="shared" si="52"/>
        <v>13</v>
      </c>
      <c r="F270" s="4">
        <f t="shared" si="54"/>
        <v>13</v>
      </c>
      <c r="G270" s="4">
        <f>IF(Table1[[#This Row],[CorrectedLeadTimeDays]]&lt;=7, 1, 0)</f>
        <v>0</v>
      </c>
      <c r="H270" s="4" t="str">
        <f t="shared" si="55"/>
        <v>May</v>
      </c>
      <c r="I270" s="4" t="str">
        <f t="shared" si="56"/>
        <v>Q2-2024</v>
      </c>
      <c r="J270" s="4" t="str">
        <f t="shared" si="57"/>
        <v>2023-01</v>
      </c>
      <c r="K270" s="3">
        <f t="shared" si="58"/>
        <v>44928</v>
      </c>
      <c r="L270" t="s">
        <v>648</v>
      </c>
      <c r="M270" t="s">
        <v>653</v>
      </c>
      <c r="N270" t="s">
        <v>688</v>
      </c>
      <c r="O270" t="s">
        <v>706</v>
      </c>
      <c r="P270" t="s">
        <v>709</v>
      </c>
      <c r="Q270" t="s">
        <v>723</v>
      </c>
      <c r="R270">
        <f t="shared" si="59"/>
        <v>16</v>
      </c>
      <c r="S270" t="s">
        <v>727</v>
      </c>
      <c r="T270" t="s">
        <v>778</v>
      </c>
      <c r="U270" s="4">
        <v>675.43</v>
      </c>
      <c r="V270" s="4">
        <f>Table1[[#This Row],[UnitCost]]*(1+WhatIf!$B$3)</f>
        <v>709.20150000000001</v>
      </c>
      <c r="W270" s="4">
        <f t="shared" si="60"/>
        <v>14859.46</v>
      </c>
      <c r="X270" s="4">
        <f>Table1[[#This Row],[ScenarioRev]]-Table1[[#This Row],[ScenarioUnitCost]]</f>
        <v>19014.342516000004</v>
      </c>
      <c r="Y270" s="4">
        <v>996.36</v>
      </c>
      <c r="Z270" s="4">
        <f t="shared" si="61"/>
        <v>17930.494560000003</v>
      </c>
      <c r="AA270" s="4">
        <f>Table1[[#This Row],[ScenarioQuanity]]*Table1[[#This Row],[UnitPrice]]*(1-Table1[[#This Row],[ScenarioDiscPct]])</f>
        <v>19723.544016000003</v>
      </c>
      <c r="AB270" s="4">
        <f t="shared" si="62"/>
        <v>3071.0345600000037</v>
      </c>
      <c r="AC270" s="4">
        <f>Table1[[#This Row],[ScenarioRev]] - Table1[[#This Row],[ScenarioCostOfGoods]]</f>
        <v>709.20149999999921</v>
      </c>
      <c r="AD270" s="6">
        <v>0.182</v>
      </c>
      <c r="AE270" s="6">
        <f>MIN(Table1[[#This Row],[DiscountPct]], WhatIf!$B$2)</f>
        <v>0.182</v>
      </c>
      <c r="AF270" s="6">
        <f>IF(Table1[[#This Row],[DiscountPct]]&gt;0.2, 1, 0)</f>
        <v>0</v>
      </c>
      <c r="AG270" s="6" t="str">
        <f t="shared" si="63"/>
        <v>High</v>
      </c>
      <c r="AH270" s="6">
        <f t="shared" si="64"/>
        <v>0.17127439233332575</v>
      </c>
      <c r="AI270" s="5">
        <v>22</v>
      </c>
      <c r="AJ270" s="6">
        <f>Table1[[#This Row],[Quantity]]*(1+WhatIf!$B$4)</f>
        <v>24.200000000000003</v>
      </c>
    </row>
    <row r="271" spans="1:36" x14ac:dyDescent="0.3">
      <c r="A271" t="s">
        <v>614</v>
      </c>
      <c r="B271" s="3">
        <v>45360</v>
      </c>
      <c r="C271" s="3">
        <v>45373</v>
      </c>
      <c r="D271" s="3">
        <f t="shared" si="53"/>
        <v>45373</v>
      </c>
      <c r="E271" s="4">
        <f t="shared" si="52"/>
        <v>13</v>
      </c>
      <c r="F271" s="4">
        <f t="shared" si="54"/>
        <v>13</v>
      </c>
      <c r="G271" s="4">
        <f>IF(Table1[[#This Row],[CorrectedLeadTimeDays]]&lt;=7, 1, 0)</f>
        <v>0</v>
      </c>
      <c r="H271" s="4" t="str">
        <f t="shared" si="55"/>
        <v>March</v>
      </c>
      <c r="I271" s="4" t="str">
        <f t="shared" si="56"/>
        <v>Q1-2024</v>
      </c>
      <c r="J271" s="4" t="str">
        <f t="shared" si="57"/>
        <v>2023-01</v>
      </c>
      <c r="K271" s="3">
        <f t="shared" si="58"/>
        <v>44945</v>
      </c>
      <c r="L271" t="s">
        <v>649</v>
      </c>
      <c r="M271" t="s">
        <v>658</v>
      </c>
      <c r="N271" t="s">
        <v>693</v>
      </c>
      <c r="O271" t="s">
        <v>704</v>
      </c>
      <c r="P271" t="s">
        <v>708</v>
      </c>
      <c r="Q271" t="s">
        <v>718</v>
      </c>
      <c r="R271">
        <f t="shared" si="59"/>
        <v>13</v>
      </c>
      <c r="S271" t="s">
        <v>731</v>
      </c>
      <c r="T271" t="s">
        <v>1332</v>
      </c>
      <c r="U271" s="4">
        <v>985.45</v>
      </c>
      <c r="V271" s="4">
        <f>Table1[[#This Row],[UnitCost]]*(1+WhatIf!$B$3)</f>
        <v>1034.7225000000001</v>
      </c>
      <c r="W271" s="4">
        <f t="shared" si="60"/>
        <v>18723.55</v>
      </c>
      <c r="X271" s="4">
        <f>Table1[[#This Row],[ScenarioRev]]-Table1[[#This Row],[ScenarioUnitCost]]</f>
        <v>36297.234536000004</v>
      </c>
      <c r="Y271" s="4">
        <v>1802.44</v>
      </c>
      <c r="Z271" s="4">
        <f t="shared" si="61"/>
        <v>33938.142760000002</v>
      </c>
      <c r="AA271" s="4">
        <f>Table1[[#This Row],[ScenarioQuanity]]*Table1[[#This Row],[UnitPrice]]*(1-Table1[[#This Row],[ScenarioDiscPct]])</f>
        <v>37331.957036000007</v>
      </c>
      <c r="AB271" s="4">
        <f t="shared" si="62"/>
        <v>15214.592760000003</v>
      </c>
      <c r="AC271" s="4">
        <f>Table1[[#This Row],[ScenarioRev]] - Table1[[#This Row],[ScenarioCostOfGoods]]</f>
        <v>1034.7225000000035</v>
      </c>
      <c r="AD271" s="6">
        <v>8.9999999999999993E-3</v>
      </c>
      <c r="AE271" s="6">
        <f>MIN(Table1[[#This Row],[DiscountPct]], WhatIf!$B$2)</f>
        <v>8.9999999999999993E-3</v>
      </c>
      <c r="AF271" s="6">
        <f>IF(Table1[[#This Row],[DiscountPct]]&gt;0.2, 1, 0)</f>
        <v>0</v>
      </c>
      <c r="AG271" s="6" t="str">
        <f t="shared" si="63"/>
        <v>High</v>
      </c>
      <c r="AH271" s="6">
        <f t="shared" si="64"/>
        <v>0.44830363486867486</v>
      </c>
      <c r="AI271" s="5">
        <v>19</v>
      </c>
      <c r="AJ271" s="6">
        <f>Table1[[#This Row],[Quantity]]*(1+WhatIf!$B$4)</f>
        <v>20.900000000000002</v>
      </c>
    </row>
    <row r="272" spans="1:36" x14ac:dyDescent="0.3">
      <c r="A272" t="s">
        <v>570</v>
      </c>
      <c r="B272" s="3">
        <v>45053</v>
      </c>
      <c r="C272" s="3">
        <v>45066</v>
      </c>
      <c r="D272" s="3">
        <f t="shared" si="53"/>
        <v>45066</v>
      </c>
      <c r="E272" s="4">
        <f t="shared" si="52"/>
        <v>13</v>
      </c>
      <c r="F272" s="4">
        <f t="shared" si="54"/>
        <v>13</v>
      </c>
      <c r="G272" s="4">
        <f>IF(Table1[[#This Row],[CorrectedLeadTimeDays]]&lt;=7, 1, 0)</f>
        <v>0</v>
      </c>
      <c r="H272" s="4" t="str">
        <f t="shared" si="55"/>
        <v>May</v>
      </c>
      <c r="I272" s="4" t="str">
        <f t="shared" si="56"/>
        <v>Q2-2023</v>
      </c>
      <c r="J272" s="4" t="str">
        <f t="shared" si="57"/>
        <v>2023-01</v>
      </c>
      <c r="K272" s="3">
        <f t="shared" si="58"/>
        <v>44955</v>
      </c>
      <c r="L272" t="s">
        <v>647</v>
      </c>
      <c r="M272" t="s">
        <v>654</v>
      </c>
      <c r="N272" t="s">
        <v>691</v>
      </c>
      <c r="O272" t="s">
        <v>706</v>
      </c>
      <c r="P272" t="s">
        <v>707</v>
      </c>
      <c r="Q272" t="s">
        <v>726</v>
      </c>
      <c r="R272">
        <f t="shared" si="59"/>
        <v>3</v>
      </c>
      <c r="S272" t="s">
        <v>733</v>
      </c>
      <c r="T272" t="s">
        <v>1288</v>
      </c>
      <c r="U272" s="4">
        <v>1443.28</v>
      </c>
      <c r="V272" s="4">
        <f>Table1[[#This Row],[UnitCost]]*(1+WhatIf!$B$3)</f>
        <v>1515.444</v>
      </c>
      <c r="W272" s="4">
        <f t="shared" si="60"/>
        <v>25979.040000000001</v>
      </c>
      <c r="X272" s="4">
        <f>Table1[[#This Row],[ScenarioRev]]-Table1[[#This Row],[ScenarioUnitCost]]</f>
        <v>49579.842000000004</v>
      </c>
      <c r="Y272" s="4">
        <v>2580.5700000000002</v>
      </c>
      <c r="Z272" s="4">
        <f t="shared" si="61"/>
        <v>46450.26</v>
      </c>
      <c r="AA272" s="4">
        <f>Table1[[#This Row],[ScenarioQuanity]]*Table1[[#This Row],[UnitPrice]]*(1-Table1[[#This Row],[ScenarioDiscPct]])</f>
        <v>51095.286000000007</v>
      </c>
      <c r="AB272" s="4">
        <f t="shared" si="62"/>
        <v>20471.22</v>
      </c>
      <c r="AC272" s="4">
        <f>Table1[[#This Row],[ScenarioRev]] - Table1[[#This Row],[ScenarioCostOfGoods]]</f>
        <v>1515.4440000000031</v>
      </c>
      <c r="AD272" s="6">
        <v>0</v>
      </c>
      <c r="AE272" s="6">
        <f>MIN(Table1[[#This Row],[DiscountPct]], WhatIf!$B$2)</f>
        <v>0</v>
      </c>
      <c r="AF272" s="6">
        <f>IF(Table1[[#This Row],[DiscountPct]]&gt;0.2, 1, 0)</f>
        <v>0</v>
      </c>
      <c r="AG272" s="6" t="str">
        <f t="shared" si="63"/>
        <v>High</v>
      </c>
      <c r="AH272" s="6">
        <f t="shared" si="64"/>
        <v>0.4407127107577008</v>
      </c>
      <c r="AI272" s="5">
        <v>18</v>
      </c>
      <c r="AJ272" s="6">
        <f>Table1[[#This Row],[Quantity]]*(1+WhatIf!$B$4)</f>
        <v>19.8</v>
      </c>
    </row>
    <row r="273" spans="1:36" x14ac:dyDescent="0.3">
      <c r="A273" t="s">
        <v>588</v>
      </c>
      <c r="B273" s="3">
        <v>45279</v>
      </c>
      <c r="C273" s="3">
        <v>45292</v>
      </c>
      <c r="D273" s="3">
        <f t="shared" si="53"/>
        <v>45292</v>
      </c>
      <c r="E273" s="4">
        <f t="shared" si="52"/>
        <v>13</v>
      </c>
      <c r="F273" s="4">
        <f t="shared" si="54"/>
        <v>13</v>
      </c>
      <c r="G273" s="4">
        <f>IF(Table1[[#This Row],[CorrectedLeadTimeDays]]&lt;=7, 1, 0)</f>
        <v>0</v>
      </c>
      <c r="H273" s="4" t="str">
        <f t="shared" si="55"/>
        <v>December</v>
      </c>
      <c r="I273" s="4" t="str">
        <f t="shared" si="56"/>
        <v>Q4-2023</v>
      </c>
      <c r="J273" s="4" t="str">
        <f t="shared" si="57"/>
        <v>2023-01</v>
      </c>
      <c r="K273" s="3">
        <f t="shared" si="58"/>
        <v>44928</v>
      </c>
      <c r="L273" t="s">
        <v>648</v>
      </c>
      <c r="M273" t="s">
        <v>653</v>
      </c>
      <c r="N273" t="s">
        <v>667</v>
      </c>
      <c r="O273" t="s">
        <v>706</v>
      </c>
      <c r="P273" t="s">
        <v>707</v>
      </c>
      <c r="Q273" t="s">
        <v>723</v>
      </c>
      <c r="R273">
        <f t="shared" si="59"/>
        <v>11</v>
      </c>
      <c r="S273" t="s">
        <v>732</v>
      </c>
      <c r="T273" t="s">
        <v>1306</v>
      </c>
      <c r="U273" s="4">
        <v>856.1</v>
      </c>
      <c r="V273" s="4">
        <f>Table1[[#This Row],[UnitCost]]*(1+WhatIf!$B$3)</f>
        <v>898.90500000000009</v>
      </c>
      <c r="W273" s="4">
        <f t="shared" si="60"/>
        <v>14553.7</v>
      </c>
      <c r="X273" s="4">
        <f>Table1[[#This Row],[ScenarioRev]]-Table1[[#This Row],[ScenarioUnitCost]]</f>
        <v>15014.741144000001</v>
      </c>
      <c r="Y273" s="4">
        <v>901.48</v>
      </c>
      <c r="Z273" s="4">
        <f t="shared" si="61"/>
        <v>14466.95104</v>
      </c>
      <c r="AA273" s="4">
        <f>Table1[[#This Row],[ScenarioQuanity]]*Table1[[#This Row],[UnitPrice]]*(1-Table1[[#This Row],[ScenarioDiscPct]])</f>
        <v>15913.646144000002</v>
      </c>
      <c r="AB273" s="4">
        <f t="shared" si="62"/>
        <v>-86.748960000000807</v>
      </c>
      <c r="AC273" s="4">
        <f>Table1[[#This Row],[ScenarioRev]] - Table1[[#This Row],[ScenarioCostOfGoods]]</f>
        <v>898.90500000000065</v>
      </c>
      <c r="AD273" s="6">
        <v>5.6000000000000001E-2</v>
      </c>
      <c r="AE273" s="6">
        <f>MIN(Table1[[#This Row],[DiscountPct]], WhatIf!$B$2)</f>
        <v>5.6000000000000001E-2</v>
      </c>
      <c r="AF273" s="6">
        <f>IF(Table1[[#This Row],[DiscountPct]]&gt;0.2, 1, 0)</f>
        <v>0</v>
      </c>
      <c r="AG273" s="6" t="str">
        <f t="shared" si="63"/>
        <v>High</v>
      </c>
      <c r="AH273" s="6">
        <f t="shared" si="64"/>
        <v>-5.9963540182134192E-3</v>
      </c>
      <c r="AI273" s="5">
        <v>17</v>
      </c>
      <c r="AJ273" s="6">
        <f>Table1[[#This Row],[Quantity]]*(1+WhatIf!$B$4)</f>
        <v>18.700000000000003</v>
      </c>
    </row>
    <row r="274" spans="1:36" x14ac:dyDescent="0.3">
      <c r="A274" t="s">
        <v>494</v>
      </c>
      <c r="B274" s="3">
        <v>45293</v>
      </c>
      <c r="C274" s="3">
        <v>45306</v>
      </c>
      <c r="D274" s="3">
        <f t="shared" si="53"/>
        <v>45306</v>
      </c>
      <c r="E274" s="4">
        <f t="shared" si="52"/>
        <v>13</v>
      </c>
      <c r="F274" s="4">
        <f t="shared" si="54"/>
        <v>13</v>
      </c>
      <c r="G274" s="4">
        <f>IF(Table1[[#This Row],[CorrectedLeadTimeDays]]&lt;=7, 1, 0)</f>
        <v>0</v>
      </c>
      <c r="H274" s="4" t="str">
        <f t="shared" si="55"/>
        <v>January</v>
      </c>
      <c r="I274" s="4" t="str">
        <f t="shared" si="56"/>
        <v>Q1-2024</v>
      </c>
      <c r="J274" s="4" t="str">
        <f t="shared" si="57"/>
        <v>2023-03</v>
      </c>
      <c r="K274" s="3">
        <f t="shared" si="58"/>
        <v>44988</v>
      </c>
      <c r="L274" t="s">
        <v>647</v>
      </c>
      <c r="M274" t="s">
        <v>652</v>
      </c>
      <c r="N274" t="s">
        <v>694</v>
      </c>
      <c r="O274" t="s">
        <v>705</v>
      </c>
      <c r="P274" t="s">
        <v>709</v>
      </c>
      <c r="Q274" t="s">
        <v>715</v>
      </c>
      <c r="R274">
        <f t="shared" si="59"/>
        <v>9</v>
      </c>
      <c r="S274" t="s">
        <v>729</v>
      </c>
      <c r="T274" t="s">
        <v>1213</v>
      </c>
      <c r="U274" s="4">
        <v>1219.06</v>
      </c>
      <c r="V274" s="4">
        <f>Table1[[#This Row],[UnitCost]]*(1+WhatIf!$B$3)</f>
        <v>1280.0129999999999</v>
      </c>
      <c r="W274" s="4">
        <f t="shared" si="60"/>
        <v>19504.96</v>
      </c>
      <c r="X274" s="4">
        <f>Table1[[#This Row],[ScenarioRev]]-Table1[[#This Row],[ScenarioUnitCost]]</f>
        <v>43257.659256000006</v>
      </c>
      <c r="Y274" s="4">
        <v>2738.69</v>
      </c>
      <c r="Z274" s="4">
        <f t="shared" si="61"/>
        <v>40488.792960000006</v>
      </c>
      <c r="AA274" s="4">
        <f>Table1[[#This Row],[ScenarioQuanity]]*Table1[[#This Row],[UnitPrice]]*(1-Table1[[#This Row],[ScenarioDiscPct]])</f>
        <v>44537.672256000005</v>
      </c>
      <c r="AB274" s="4">
        <f t="shared" si="62"/>
        <v>20983.832960000007</v>
      </c>
      <c r="AC274" s="4">
        <f>Table1[[#This Row],[ScenarioRev]] - Table1[[#This Row],[ScenarioCostOfGoods]]</f>
        <v>1280.012999999999</v>
      </c>
      <c r="AD274" s="6">
        <v>7.5999999999999998E-2</v>
      </c>
      <c r="AE274" s="6">
        <f>MIN(Table1[[#This Row],[DiscountPct]], WhatIf!$B$2)</f>
        <v>7.5999999999999998E-2</v>
      </c>
      <c r="AF274" s="6">
        <f>IF(Table1[[#This Row],[DiscountPct]]&gt;0.2, 1, 0)</f>
        <v>0</v>
      </c>
      <c r="AG274" s="6" t="str">
        <f t="shared" si="63"/>
        <v>High</v>
      </c>
      <c r="AH274" s="6">
        <f t="shared" si="64"/>
        <v>0.51826274447673737</v>
      </c>
      <c r="AI274" s="5">
        <v>16</v>
      </c>
      <c r="AJ274" s="6">
        <f>Table1[[#This Row],[Quantity]]*(1+WhatIf!$B$4)</f>
        <v>17.600000000000001</v>
      </c>
    </row>
    <row r="275" spans="1:36" x14ac:dyDescent="0.3">
      <c r="A275" t="s">
        <v>604</v>
      </c>
      <c r="B275" s="3">
        <v>45019</v>
      </c>
      <c r="C275" s="3">
        <v>45032</v>
      </c>
      <c r="D275" s="3">
        <f t="shared" si="53"/>
        <v>45032</v>
      </c>
      <c r="E275" s="4">
        <f t="shared" si="52"/>
        <v>13</v>
      </c>
      <c r="F275" s="4">
        <f t="shared" si="54"/>
        <v>13</v>
      </c>
      <c r="G275" s="4">
        <f>IF(Table1[[#This Row],[CorrectedLeadTimeDays]]&lt;=7, 1, 0)</f>
        <v>0</v>
      </c>
      <c r="H275" s="4" t="str">
        <f t="shared" si="55"/>
        <v>April</v>
      </c>
      <c r="I275" s="4" t="str">
        <f t="shared" si="56"/>
        <v>Q2-2023</v>
      </c>
      <c r="J275" s="4" t="str">
        <f t="shared" si="57"/>
        <v>2023-01</v>
      </c>
      <c r="K275" s="3">
        <f t="shared" si="58"/>
        <v>44936</v>
      </c>
      <c r="L275" t="s">
        <v>649</v>
      </c>
      <c r="M275" t="s">
        <v>657</v>
      </c>
      <c r="N275" t="s">
        <v>673</v>
      </c>
      <c r="O275" t="s">
        <v>703</v>
      </c>
      <c r="P275" t="s">
        <v>709</v>
      </c>
      <c r="Q275" t="s">
        <v>724</v>
      </c>
      <c r="R275">
        <f t="shared" si="59"/>
        <v>2</v>
      </c>
      <c r="S275" t="s">
        <v>733</v>
      </c>
      <c r="T275" t="s">
        <v>1322</v>
      </c>
      <c r="U275" s="4">
        <v>790.54</v>
      </c>
      <c r="V275" s="4">
        <f>Table1[[#This Row],[UnitCost]]*(1+WhatIf!$B$3)</f>
        <v>830.06700000000001</v>
      </c>
      <c r="W275" s="4">
        <f t="shared" si="60"/>
        <v>11858.099999999999</v>
      </c>
      <c r="X275" s="4">
        <f>Table1[[#This Row],[ScenarioRev]]-Table1[[#This Row],[ScenarioUnitCost]]</f>
        <v>9094.518</v>
      </c>
      <c r="Y275" s="4">
        <v>601.49</v>
      </c>
      <c r="Z275" s="4">
        <f t="shared" si="61"/>
        <v>9022.35</v>
      </c>
      <c r="AA275" s="4">
        <f>Table1[[#This Row],[ScenarioQuanity]]*Table1[[#This Row],[UnitPrice]]*(1-Table1[[#This Row],[ScenarioDiscPct]])</f>
        <v>9924.5850000000009</v>
      </c>
      <c r="AB275" s="4">
        <f t="shared" si="62"/>
        <v>-2835.7499999999982</v>
      </c>
      <c r="AC275" s="4">
        <f>Table1[[#This Row],[ScenarioRev]] - Table1[[#This Row],[ScenarioCostOfGoods]]</f>
        <v>830.06700000000092</v>
      </c>
      <c r="AD275" s="6">
        <v>0</v>
      </c>
      <c r="AE275" s="6">
        <f>MIN(Table1[[#This Row],[DiscountPct]], WhatIf!$B$2)</f>
        <v>0</v>
      </c>
      <c r="AF275" s="6">
        <f>IF(Table1[[#This Row],[DiscountPct]]&gt;0.2, 1, 0)</f>
        <v>0</v>
      </c>
      <c r="AG275" s="6" t="str">
        <f t="shared" si="63"/>
        <v>Low</v>
      </c>
      <c r="AH275" s="6">
        <f t="shared" si="64"/>
        <v>-0.31430281467688553</v>
      </c>
      <c r="AI275" s="5">
        <v>15</v>
      </c>
      <c r="AJ275" s="6">
        <f>Table1[[#This Row],[Quantity]]*(1+WhatIf!$B$4)</f>
        <v>16.5</v>
      </c>
    </row>
    <row r="276" spans="1:36" x14ac:dyDescent="0.3">
      <c r="A276" t="s">
        <v>590</v>
      </c>
      <c r="B276" s="3">
        <v>45872</v>
      </c>
      <c r="C276" s="3">
        <v>45885</v>
      </c>
      <c r="D276" s="3">
        <f t="shared" si="53"/>
        <v>45885</v>
      </c>
      <c r="E276" s="4">
        <f t="shared" si="52"/>
        <v>13</v>
      </c>
      <c r="F276" s="4">
        <f t="shared" si="54"/>
        <v>13</v>
      </c>
      <c r="G276" s="4">
        <f>IF(Table1[[#This Row],[CorrectedLeadTimeDays]]&lt;=7, 1, 0)</f>
        <v>0</v>
      </c>
      <c r="H276" s="4" t="str">
        <f t="shared" si="55"/>
        <v>August</v>
      </c>
      <c r="I276" s="4" t="str">
        <f t="shared" si="56"/>
        <v>Q3-2025</v>
      </c>
      <c r="J276" s="4" t="str">
        <f t="shared" si="57"/>
        <v>2023-01</v>
      </c>
      <c r="K276" s="3">
        <f t="shared" si="58"/>
        <v>44928</v>
      </c>
      <c r="L276" t="s">
        <v>648</v>
      </c>
      <c r="M276" t="s">
        <v>653</v>
      </c>
      <c r="N276" t="s">
        <v>681</v>
      </c>
      <c r="O276" t="s">
        <v>706</v>
      </c>
      <c r="P276" t="s">
        <v>710</v>
      </c>
      <c r="Q276" t="s">
        <v>719</v>
      </c>
      <c r="R276">
        <f t="shared" si="59"/>
        <v>31</v>
      </c>
      <c r="S276" t="s">
        <v>729</v>
      </c>
      <c r="T276" t="s">
        <v>1308</v>
      </c>
      <c r="U276" s="4">
        <v>698.66</v>
      </c>
      <c r="V276" s="4">
        <f>Table1[[#This Row],[UnitCost]]*(1+WhatIf!$B$3)</f>
        <v>733.59299999999996</v>
      </c>
      <c r="W276" s="4">
        <f t="shared" si="60"/>
        <v>10479.9</v>
      </c>
      <c r="X276" s="4">
        <f>Table1[[#This Row],[ScenarioRev]]-Table1[[#This Row],[ScenarioUnitCost]]</f>
        <v>12566.71644</v>
      </c>
      <c r="Y276" s="4">
        <v>868.62</v>
      </c>
      <c r="Z276" s="4">
        <f t="shared" si="61"/>
        <v>12091.190399999999</v>
      </c>
      <c r="AA276" s="4">
        <f>Table1[[#This Row],[ScenarioQuanity]]*Table1[[#This Row],[UnitPrice]]*(1-Table1[[#This Row],[ScenarioDiscPct]])</f>
        <v>13300.309440000001</v>
      </c>
      <c r="AB276" s="4">
        <f t="shared" si="62"/>
        <v>1611.2903999999999</v>
      </c>
      <c r="AC276" s="4">
        <f>Table1[[#This Row],[ScenarioRev]] - Table1[[#This Row],[ScenarioCostOfGoods]]</f>
        <v>733.59300000000076</v>
      </c>
      <c r="AD276" s="6">
        <v>7.1999999999999995E-2</v>
      </c>
      <c r="AE276" s="6">
        <f>MIN(Table1[[#This Row],[DiscountPct]], WhatIf!$B$2)</f>
        <v>7.1999999999999995E-2</v>
      </c>
      <c r="AF276" s="6">
        <f>IF(Table1[[#This Row],[DiscountPct]]&gt;0.2, 1, 0)</f>
        <v>0</v>
      </c>
      <c r="AG276" s="6" t="str">
        <f t="shared" si="63"/>
        <v>High</v>
      </c>
      <c r="AH276" s="6">
        <f t="shared" si="64"/>
        <v>0.13326151906432637</v>
      </c>
      <c r="AI276" s="5">
        <v>15</v>
      </c>
      <c r="AJ276" s="6">
        <f>Table1[[#This Row],[Quantity]]*(1+WhatIf!$B$4)</f>
        <v>16.5</v>
      </c>
    </row>
    <row r="277" spans="1:36" x14ac:dyDescent="0.3">
      <c r="A277" t="s">
        <v>593</v>
      </c>
      <c r="B277" s="3">
        <v>45607</v>
      </c>
      <c r="C277" s="3">
        <v>45620</v>
      </c>
      <c r="D277" s="3">
        <f t="shared" si="53"/>
        <v>45620</v>
      </c>
      <c r="E277" s="4">
        <f t="shared" si="52"/>
        <v>13</v>
      </c>
      <c r="F277" s="4">
        <f t="shared" si="54"/>
        <v>13</v>
      </c>
      <c r="G277" s="4">
        <f>IF(Table1[[#This Row],[CorrectedLeadTimeDays]]&lt;=7, 1, 0)</f>
        <v>0</v>
      </c>
      <c r="H277" s="4" t="str">
        <f t="shared" si="55"/>
        <v>November</v>
      </c>
      <c r="I277" s="4" t="str">
        <f t="shared" si="56"/>
        <v>Q4-2024</v>
      </c>
      <c r="J277" s="4" t="str">
        <f t="shared" si="57"/>
        <v>2023-01</v>
      </c>
      <c r="K277" s="3">
        <f t="shared" si="58"/>
        <v>44945</v>
      </c>
      <c r="L277" t="s">
        <v>649</v>
      </c>
      <c r="M277" t="s">
        <v>658</v>
      </c>
      <c r="N277" t="s">
        <v>683</v>
      </c>
      <c r="O277" t="s">
        <v>701</v>
      </c>
      <c r="P277" t="s">
        <v>707</v>
      </c>
      <c r="Q277" t="s">
        <v>718</v>
      </c>
      <c r="R277">
        <f t="shared" si="59"/>
        <v>21</v>
      </c>
      <c r="S277" t="s">
        <v>729</v>
      </c>
      <c r="T277" t="s">
        <v>1311</v>
      </c>
      <c r="U277" s="4">
        <v>164.53</v>
      </c>
      <c r="V277" s="4">
        <f>Table1[[#This Row],[UnitCost]]*(1+WhatIf!$B$3)</f>
        <v>172.75650000000002</v>
      </c>
      <c r="W277" s="4">
        <f t="shared" si="60"/>
        <v>2303.42</v>
      </c>
      <c r="X277" s="4">
        <f>Table1[[#This Row],[ScenarioRev]]-Table1[[#This Row],[ScenarioUnitCost]]</f>
        <v>4535.9900040000002</v>
      </c>
      <c r="Y277" s="4">
        <v>327.72</v>
      </c>
      <c r="Z277" s="4">
        <f t="shared" si="61"/>
        <v>4280.6786400000001</v>
      </c>
      <c r="AA277" s="4">
        <f>Table1[[#This Row],[ScenarioQuanity]]*Table1[[#This Row],[UnitPrice]]*(1-Table1[[#This Row],[ScenarioDiscPct]])</f>
        <v>4708.7465040000006</v>
      </c>
      <c r="AB277" s="4">
        <f t="shared" si="62"/>
        <v>1977.25864</v>
      </c>
      <c r="AC277" s="4">
        <f>Table1[[#This Row],[ScenarioRev]] - Table1[[#This Row],[ScenarioCostOfGoods]]</f>
        <v>172.75650000000041</v>
      </c>
      <c r="AD277" s="6">
        <v>6.7000000000000004E-2</v>
      </c>
      <c r="AE277" s="6">
        <f>MIN(Table1[[#This Row],[DiscountPct]], WhatIf!$B$2)</f>
        <v>6.7000000000000004E-2</v>
      </c>
      <c r="AF277" s="6">
        <f>IF(Table1[[#This Row],[DiscountPct]]&gt;0.2, 1, 0)</f>
        <v>0</v>
      </c>
      <c r="AG277" s="6" t="str">
        <f t="shared" si="63"/>
        <v>Low</v>
      </c>
      <c r="AH277" s="6">
        <f t="shared" si="64"/>
        <v>0.46190307805960412</v>
      </c>
      <c r="AI277" s="5">
        <v>14</v>
      </c>
      <c r="AJ277" s="6">
        <f>Table1[[#This Row],[Quantity]]*(1+WhatIf!$B$4)</f>
        <v>15.400000000000002</v>
      </c>
    </row>
    <row r="278" spans="1:36" x14ac:dyDescent="0.3">
      <c r="A278" t="s">
        <v>473</v>
      </c>
      <c r="B278" s="3">
        <v>45417</v>
      </c>
      <c r="C278" s="3">
        <v>45430</v>
      </c>
      <c r="D278" s="3">
        <f t="shared" si="53"/>
        <v>45430</v>
      </c>
      <c r="E278" s="4">
        <f t="shared" si="52"/>
        <v>13</v>
      </c>
      <c r="F278" s="4">
        <f t="shared" si="54"/>
        <v>13</v>
      </c>
      <c r="G278" s="4">
        <f>IF(Table1[[#This Row],[CorrectedLeadTimeDays]]&lt;=7, 1, 0)</f>
        <v>0</v>
      </c>
      <c r="H278" s="4" t="str">
        <f t="shared" si="55"/>
        <v>May</v>
      </c>
      <c r="I278" s="4" t="str">
        <f t="shared" si="56"/>
        <v>Q2-2024</v>
      </c>
      <c r="J278" s="4" t="str">
        <f t="shared" si="57"/>
        <v>2023-01</v>
      </c>
      <c r="K278" s="3">
        <f t="shared" si="58"/>
        <v>44936</v>
      </c>
      <c r="L278" t="s">
        <v>649</v>
      </c>
      <c r="M278" t="s">
        <v>657</v>
      </c>
      <c r="N278" t="s">
        <v>673</v>
      </c>
      <c r="O278" t="s">
        <v>701</v>
      </c>
      <c r="P278" t="s">
        <v>709</v>
      </c>
      <c r="Q278" t="s">
        <v>720</v>
      </c>
      <c r="R278">
        <f t="shared" si="59"/>
        <v>15</v>
      </c>
      <c r="S278" t="s">
        <v>727</v>
      </c>
      <c r="T278" t="s">
        <v>1192</v>
      </c>
      <c r="U278" s="4">
        <v>1264.04</v>
      </c>
      <c r="V278" s="4">
        <f>Table1[[#This Row],[UnitCost]]*(1+WhatIf!$B$3)</f>
        <v>1327.242</v>
      </c>
      <c r="W278" s="4">
        <f t="shared" si="60"/>
        <v>16432.52</v>
      </c>
      <c r="X278" s="4">
        <f>Table1[[#This Row],[ScenarioRev]]-Table1[[#This Row],[ScenarioUnitCost]]</f>
        <v>25426.485000000004</v>
      </c>
      <c r="Y278" s="4">
        <v>1870.89</v>
      </c>
      <c r="Z278" s="4">
        <f t="shared" si="61"/>
        <v>24321.57</v>
      </c>
      <c r="AA278" s="4">
        <f>Table1[[#This Row],[ScenarioQuanity]]*Table1[[#This Row],[UnitPrice]]*(1-Table1[[#This Row],[ScenarioDiscPct]])</f>
        <v>26753.727000000003</v>
      </c>
      <c r="AB278" s="4">
        <f t="shared" si="62"/>
        <v>7889.0499999999993</v>
      </c>
      <c r="AC278" s="4">
        <f>Table1[[#This Row],[ScenarioRev]] - Table1[[#This Row],[ScenarioCostOfGoods]]</f>
        <v>1327.2419999999984</v>
      </c>
      <c r="AD278" s="6">
        <v>0</v>
      </c>
      <c r="AE278" s="6">
        <f>MIN(Table1[[#This Row],[DiscountPct]], WhatIf!$B$2)</f>
        <v>0</v>
      </c>
      <c r="AF278" s="6">
        <f>IF(Table1[[#This Row],[DiscountPct]]&gt;0.2, 1, 0)</f>
        <v>0</v>
      </c>
      <c r="AG278" s="6" t="str">
        <f t="shared" si="63"/>
        <v>High</v>
      </c>
      <c r="AH278" s="6">
        <f t="shared" si="64"/>
        <v>0.32436433996653996</v>
      </c>
      <c r="AI278" s="5">
        <v>13</v>
      </c>
      <c r="AJ278" s="6">
        <f>Table1[[#This Row],[Quantity]]*(1+WhatIf!$B$4)</f>
        <v>14.3</v>
      </c>
    </row>
    <row r="279" spans="1:36" x14ac:dyDescent="0.3">
      <c r="A279" t="s">
        <v>364</v>
      </c>
      <c r="B279" s="3">
        <v>44980</v>
      </c>
      <c r="C279" s="3">
        <v>44993</v>
      </c>
      <c r="D279" s="3">
        <f t="shared" si="53"/>
        <v>44993</v>
      </c>
      <c r="E279" s="4">
        <f t="shared" si="52"/>
        <v>13</v>
      </c>
      <c r="F279" s="4">
        <f t="shared" si="54"/>
        <v>13</v>
      </c>
      <c r="G279" s="4">
        <f>IF(Table1[[#This Row],[CorrectedLeadTimeDays]]&lt;=7, 1, 0)</f>
        <v>0</v>
      </c>
      <c r="H279" s="4" t="str">
        <f t="shared" si="55"/>
        <v>February</v>
      </c>
      <c r="I279" s="4" t="str">
        <f t="shared" si="56"/>
        <v>Q1-2023</v>
      </c>
      <c r="J279" s="4" t="str">
        <f t="shared" si="57"/>
        <v>2023-01</v>
      </c>
      <c r="K279" s="3">
        <f t="shared" si="58"/>
        <v>44945</v>
      </c>
      <c r="L279" t="s">
        <v>649</v>
      </c>
      <c r="M279" t="s">
        <v>658</v>
      </c>
      <c r="N279" t="s">
        <v>693</v>
      </c>
      <c r="O279" t="s">
        <v>705</v>
      </c>
      <c r="P279" t="s">
        <v>711</v>
      </c>
      <c r="Q279" t="s">
        <v>712</v>
      </c>
      <c r="R279">
        <f t="shared" si="59"/>
        <v>1</v>
      </c>
      <c r="S279" t="s">
        <v>728</v>
      </c>
      <c r="T279" t="s">
        <v>1084</v>
      </c>
      <c r="U279" s="4">
        <v>307.37</v>
      </c>
      <c r="V279" s="4">
        <f>Table1[[#This Row],[UnitCost]]*(1+WhatIf!$B$3)</f>
        <v>322.73850000000004</v>
      </c>
      <c r="W279" s="4">
        <f t="shared" si="60"/>
        <v>3381.07</v>
      </c>
      <c r="X279" s="4">
        <f>Table1[[#This Row],[ScenarioRev]]-Table1[[#This Row],[ScenarioUnitCost]]</f>
        <v>4222.4972720000005</v>
      </c>
      <c r="Y279" s="4">
        <v>462.61</v>
      </c>
      <c r="Z279" s="4">
        <f t="shared" si="61"/>
        <v>4132.0325200000007</v>
      </c>
      <c r="AA279" s="4">
        <f>Table1[[#This Row],[ScenarioQuanity]]*Table1[[#This Row],[UnitPrice]]*(1-Table1[[#This Row],[ScenarioDiscPct]])</f>
        <v>4545.2357720000009</v>
      </c>
      <c r="AB279" s="4">
        <f t="shared" si="62"/>
        <v>750.9625200000005</v>
      </c>
      <c r="AC279" s="4">
        <f>Table1[[#This Row],[ScenarioRev]] - Table1[[#This Row],[ScenarioCostOfGoods]]</f>
        <v>322.73850000000039</v>
      </c>
      <c r="AD279" s="6">
        <v>0.188</v>
      </c>
      <c r="AE279" s="6">
        <f>MIN(Table1[[#This Row],[DiscountPct]], WhatIf!$B$2)</f>
        <v>0.188</v>
      </c>
      <c r="AF279" s="6">
        <f>IF(Table1[[#This Row],[DiscountPct]]&gt;0.2, 1, 0)</f>
        <v>0</v>
      </c>
      <c r="AG279" s="6" t="str">
        <f t="shared" si="63"/>
        <v>Low</v>
      </c>
      <c r="AH279" s="6">
        <f t="shared" si="64"/>
        <v>0.18174167709599739</v>
      </c>
      <c r="AI279" s="5">
        <v>11</v>
      </c>
      <c r="AJ279" s="6">
        <f>Table1[[#This Row],[Quantity]]*(1+WhatIf!$B$4)</f>
        <v>12.100000000000001</v>
      </c>
    </row>
    <row r="280" spans="1:36" x14ac:dyDescent="0.3">
      <c r="A280" t="s">
        <v>283</v>
      </c>
      <c r="B280" s="3">
        <v>45301</v>
      </c>
      <c r="C280" s="3">
        <v>45314</v>
      </c>
      <c r="D280" s="3">
        <f t="shared" si="53"/>
        <v>45314</v>
      </c>
      <c r="E280" s="4">
        <f t="shared" si="52"/>
        <v>13</v>
      </c>
      <c r="F280" s="4">
        <f t="shared" si="54"/>
        <v>13</v>
      </c>
      <c r="G280" s="4">
        <f>IF(Table1[[#This Row],[CorrectedLeadTimeDays]]&lt;=7, 1, 0)</f>
        <v>0</v>
      </c>
      <c r="H280" s="4" t="str">
        <f t="shared" si="55"/>
        <v>January</v>
      </c>
      <c r="I280" s="4" t="str">
        <f t="shared" si="56"/>
        <v>Q1-2024</v>
      </c>
      <c r="J280" s="4" t="str">
        <f t="shared" si="57"/>
        <v>2023-01</v>
      </c>
      <c r="K280" s="3">
        <f t="shared" si="58"/>
        <v>44936</v>
      </c>
      <c r="L280" t="s">
        <v>649</v>
      </c>
      <c r="M280" t="s">
        <v>657</v>
      </c>
      <c r="N280" t="s">
        <v>673</v>
      </c>
      <c r="O280" t="s">
        <v>701</v>
      </c>
      <c r="P280" t="s">
        <v>711</v>
      </c>
      <c r="Q280" t="s">
        <v>720</v>
      </c>
      <c r="R280">
        <f t="shared" si="59"/>
        <v>12</v>
      </c>
      <c r="S280" t="s">
        <v>728</v>
      </c>
      <c r="T280" t="s">
        <v>1003</v>
      </c>
      <c r="U280" s="4">
        <v>720</v>
      </c>
      <c r="V280" s="4">
        <f>Table1[[#This Row],[UnitCost]]*(1+WhatIf!$B$3)</f>
        <v>756</v>
      </c>
      <c r="W280" s="4">
        <f t="shared" si="60"/>
        <v>7200</v>
      </c>
      <c r="X280" s="4">
        <f>Table1[[#This Row],[ScenarioRev]]-Table1[[#This Row],[ScenarioUnitCost]]</f>
        <v>7690.0325400000002</v>
      </c>
      <c r="Y280" s="4">
        <v>907.59</v>
      </c>
      <c r="Z280" s="4">
        <f t="shared" si="61"/>
        <v>7678.2113999999992</v>
      </c>
      <c r="AA280" s="4">
        <f>Table1[[#This Row],[ScenarioQuanity]]*Table1[[#This Row],[UnitPrice]]*(1-Table1[[#This Row],[ScenarioDiscPct]])</f>
        <v>8446.0325400000002</v>
      </c>
      <c r="AB280" s="4">
        <f t="shared" si="62"/>
        <v>478.21139999999923</v>
      </c>
      <c r="AC280" s="4">
        <f>Table1[[#This Row],[ScenarioRev]] - Table1[[#This Row],[ScenarioCostOfGoods]]</f>
        <v>756</v>
      </c>
      <c r="AD280" s="6">
        <v>0.154</v>
      </c>
      <c r="AE280" s="6">
        <f>MIN(Table1[[#This Row],[DiscountPct]], WhatIf!$B$2)</f>
        <v>0.154</v>
      </c>
      <c r="AF280" s="6">
        <f>IF(Table1[[#This Row],[DiscountPct]]&gt;0.2, 1, 0)</f>
        <v>0</v>
      </c>
      <c r="AG280" s="6" t="str">
        <f t="shared" si="63"/>
        <v>High</v>
      </c>
      <c r="AH280" s="6">
        <f t="shared" si="64"/>
        <v>6.2281614179052078E-2</v>
      </c>
      <c r="AI280" s="5">
        <v>10</v>
      </c>
      <c r="AJ280" s="6">
        <f>Table1[[#This Row],[Quantity]]*(1+WhatIf!$B$4)</f>
        <v>11</v>
      </c>
    </row>
    <row r="281" spans="1:36" x14ac:dyDescent="0.3">
      <c r="A281" t="s">
        <v>187</v>
      </c>
      <c r="B281" s="3">
        <v>44981</v>
      </c>
      <c r="C281" s="3">
        <v>44994</v>
      </c>
      <c r="D281" s="3">
        <f t="shared" si="53"/>
        <v>44994</v>
      </c>
      <c r="E281" s="4">
        <f t="shared" si="52"/>
        <v>13</v>
      </c>
      <c r="F281" s="4">
        <f t="shared" si="54"/>
        <v>13</v>
      </c>
      <c r="G281" s="4">
        <f>IF(Table1[[#This Row],[CorrectedLeadTimeDays]]&lt;=7, 1, 0)</f>
        <v>0</v>
      </c>
      <c r="H281" s="4" t="str">
        <f t="shared" si="55"/>
        <v>February</v>
      </c>
      <c r="I281" s="4" t="str">
        <f t="shared" si="56"/>
        <v>Q1-2023</v>
      </c>
      <c r="J281" s="4" t="str">
        <f t="shared" si="57"/>
        <v>2023-01</v>
      </c>
      <c r="K281" s="3">
        <f t="shared" si="58"/>
        <v>44939</v>
      </c>
      <c r="L281" t="s">
        <v>648</v>
      </c>
      <c r="M281" t="s">
        <v>660</v>
      </c>
      <c r="N281" t="s">
        <v>700</v>
      </c>
      <c r="O281" t="s">
        <v>706</v>
      </c>
      <c r="P281" t="s">
        <v>708</v>
      </c>
      <c r="Q281" t="s">
        <v>724</v>
      </c>
      <c r="R281">
        <f t="shared" si="59"/>
        <v>1</v>
      </c>
      <c r="S281" t="s">
        <v>727</v>
      </c>
      <c r="T281" t="s">
        <v>906</v>
      </c>
      <c r="U281" s="4">
        <v>6.85</v>
      </c>
      <c r="V281" s="4">
        <f>Table1[[#This Row],[UnitCost]]*(1+WhatIf!$B$3)</f>
        <v>7.1924999999999999</v>
      </c>
      <c r="W281" s="4">
        <f t="shared" si="60"/>
        <v>68.5</v>
      </c>
      <c r="X281" s="4">
        <f>Table1[[#This Row],[ScenarioRev]]-Table1[[#This Row],[ScenarioUnitCost]]</f>
        <v>99.524439999999984</v>
      </c>
      <c r="Y281" s="4">
        <v>10.18</v>
      </c>
      <c r="Z281" s="4">
        <f t="shared" si="61"/>
        <v>97.0154</v>
      </c>
      <c r="AA281" s="4">
        <f>Table1[[#This Row],[ScenarioQuanity]]*Table1[[#This Row],[UnitPrice]]*(1-Table1[[#This Row],[ScenarioDiscPct]])</f>
        <v>106.71693999999998</v>
      </c>
      <c r="AB281" s="4">
        <f t="shared" si="62"/>
        <v>28.5154</v>
      </c>
      <c r="AC281" s="4">
        <f>Table1[[#This Row],[ScenarioRev]] - Table1[[#This Row],[ScenarioCostOfGoods]]</f>
        <v>7.1924999999999955</v>
      </c>
      <c r="AD281" s="6">
        <v>4.7E-2</v>
      </c>
      <c r="AE281" s="6">
        <f>MIN(Table1[[#This Row],[DiscountPct]], WhatIf!$B$2)</f>
        <v>4.7E-2</v>
      </c>
      <c r="AF281" s="6">
        <f>IF(Table1[[#This Row],[DiscountPct]]&gt;0.2, 1, 0)</f>
        <v>0</v>
      </c>
      <c r="AG281" s="6" t="str">
        <f t="shared" si="63"/>
        <v>Low</v>
      </c>
      <c r="AH281" s="6">
        <f t="shared" si="64"/>
        <v>0.2939265312517394</v>
      </c>
      <c r="AI281" s="5">
        <v>10</v>
      </c>
      <c r="AJ281" s="6">
        <f>Table1[[#This Row],[Quantity]]*(1+WhatIf!$B$4)</f>
        <v>11</v>
      </c>
    </row>
    <row r="282" spans="1:36" x14ac:dyDescent="0.3">
      <c r="A282" t="s">
        <v>380</v>
      </c>
      <c r="B282" s="3">
        <v>45445</v>
      </c>
      <c r="C282" s="3">
        <v>45458</v>
      </c>
      <c r="D282" s="3">
        <f t="shared" si="53"/>
        <v>45458</v>
      </c>
      <c r="E282" s="4">
        <f t="shared" si="52"/>
        <v>13</v>
      </c>
      <c r="F282" s="4">
        <f t="shared" si="54"/>
        <v>13</v>
      </c>
      <c r="G282" s="4">
        <f>IF(Table1[[#This Row],[CorrectedLeadTimeDays]]&lt;=7, 1, 0)</f>
        <v>0</v>
      </c>
      <c r="H282" s="4" t="str">
        <f t="shared" si="55"/>
        <v>June</v>
      </c>
      <c r="I282" s="4" t="str">
        <f t="shared" si="56"/>
        <v>Q2-2024</v>
      </c>
      <c r="J282" s="4" t="str">
        <f t="shared" si="57"/>
        <v>2023-01</v>
      </c>
      <c r="K282" s="3">
        <f t="shared" si="58"/>
        <v>44946</v>
      </c>
      <c r="L282" t="s">
        <v>646</v>
      </c>
      <c r="M282" t="s">
        <v>650</v>
      </c>
      <c r="N282" t="s">
        <v>675</v>
      </c>
      <c r="O282" t="s">
        <v>702</v>
      </c>
      <c r="P282" t="s">
        <v>708</v>
      </c>
      <c r="Q282" t="s">
        <v>719</v>
      </c>
      <c r="R282">
        <f t="shared" si="59"/>
        <v>16</v>
      </c>
      <c r="S282" t="s">
        <v>730</v>
      </c>
      <c r="T282" t="s">
        <v>1100</v>
      </c>
      <c r="U282" s="4">
        <v>1295.18</v>
      </c>
      <c r="V282" s="4">
        <f>Table1[[#This Row],[UnitCost]]*(1+WhatIf!$B$3)</f>
        <v>1359.9390000000001</v>
      </c>
      <c r="W282" s="4">
        <f t="shared" si="60"/>
        <v>10361.44</v>
      </c>
      <c r="X282" s="4">
        <f>Table1[[#This Row],[ScenarioRev]]-Table1[[#This Row],[ScenarioUnitCost]]</f>
        <v>20142.123912000006</v>
      </c>
      <c r="Y282" s="4">
        <v>3024.03</v>
      </c>
      <c r="Z282" s="4">
        <f t="shared" si="61"/>
        <v>19547.329920000004</v>
      </c>
      <c r="AA282" s="4">
        <f>Table1[[#This Row],[ScenarioQuanity]]*Table1[[#This Row],[UnitPrice]]*(1-Table1[[#This Row],[ScenarioDiscPct]])</f>
        <v>21502.062912000005</v>
      </c>
      <c r="AB282" s="4">
        <f t="shared" si="62"/>
        <v>9185.8899200000033</v>
      </c>
      <c r="AC282" s="4">
        <f>Table1[[#This Row],[ScenarioRev]] - Table1[[#This Row],[ScenarioCostOfGoods]]</f>
        <v>1359.9389999999985</v>
      </c>
      <c r="AD282" s="6">
        <v>0.192</v>
      </c>
      <c r="AE282" s="6">
        <f>MIN(Table1[[#This Row],[DiscountPct]], WhatIf!$B$2)</f>
        <v>0.192</v>
      </c>
      <c r="AF282" s="6">
        <f>IF(Table1[[#This Row],[DiscountPct]]&gt;0.2, 1, 0)</f>
        <v>0</v>
      </c>
      <c r="AG282" s="6" t="str">
        <f t="shared" si="63"/>
        <v>High</v>
      </c>
      <c r="AH282" s="6">
        <f t="shared" si="64"/>
        <v>0.46993067378483178</v>
      </c>
      <c r="AI282" s="5">
        <v>8</v>
      </c>
      <c r="AJ282" s="6">
        <f>Table1[[#This Row],[Quantity]]*(1+WhatIf!$B$4)</f>
        <v>8.8000000000000007</v>
      </c>
    </row>
    <row r="283" spans="1:36" x14ac:dyDescent="0.3">
      <c r="A283" t="s">
        <v>531</v>
      </c>
      <c r="B283" s="3">
        <v>45794</v>
      </c>
      <c r="C283" s="3">
        <v>45807</v>
      </c>
      <c r="D283" s="3">
        <f t="shared" si="53"/>
        <v>45807</v>
      </c>
      <c r="E283" s="4">
        <f t="shared" si="52"/>
        <v>13</v>
      </c>
      <c r="F283" s="4">
        <f t="shared" si="54"/>
        <v>13</v>
      </c>
      <c r="G283" s="4">
        <f>IF(Table1[[#This Row],[CorrectedLeadTimeDays]]&lt;=7, 1, 0)</f>
        <v>0</v>
      </c>
      <c r="H283" s="4" t="str">
        <f t="shared" si="55"/>
        <v>May</v>
      </c>
      <c r="I283" s="4" t="str">
        <f t="shared" si="56"/>
        <v>Q2-2025</v>
      </c>
      <c r="J283" s="4" t="str">
        <f t="shared" si="57"/>
        <v>2023-01</v>
      </c>
      <c r="K283" s="3">
        <f t="shared" si="58"/>
        <v>44941</v>
      </c>
      <c r="L283" t="s">
        <v>646</v>
      </c>
      <c r="M283" t="s">
        <v>651</v>
      </c>
      <c r="N283" t="s">
        <v>665</v>
      </c>
      <c r="O283" t="s">
        <v>704</v>
      </c>
      <c r="P283" t="s">
        <v>710</v>
      </c>
      <c r="Q283" t="s">
        <v>721</v>
      </c>
      <c r="R283">
        <f t="shared" si="59"/>
        <v>28</v>
      </c>
      <c r="S283" t="s">
        <v>733</v>
      </c>
      <c r="T283" t="s">
        <v>1250</v>
      </c>
      <c r="U283" s="4">
        <v>66.400000000000006</v>
      </c>
      <c r="V283" s="4">
        <f>Table1[[#This Row],[UnitCost]]*(1+WhatIf!$B$3)</f>
        <v>69.720000000000013</v>
      </c>
      <c r="W283" s="4">
        <f t="shared" si="60"/>
        <v>531.20000000000005</v>
      </c>
      <c r="X283" s="4">
        <f>Table1[[#This Row],[ScenarioRev]]-Table1[[#This Row],[ScenarioUnitCost]]</f>
        <v>1041.6935120000001</v>
      </c>
      <c r="Y283" s="4">
        <v>141.43</v>
      </c>
      <c r="Z283" s="4">
        <f t="shared" si="61"/>
        <v>1010.3759200000001</v>
      </c>
      <c r="AA283" s="4">
        <f>Table1[[#This Row],[ScenarioQuanity]]*Table1[[#This Row],[UnitPrice]]*(1-Table1[[#This Row],[ScenarioDiscPct]])</f>
        <v>1111.4135120000001</v>
      </c>
      <c r="AB283" s="4">
        <f t="shared" si="62"/>
        <v>479.17592000000002</v>
      </c>
      <c r="AC283" s="4">
        <f>Table1[[#This Row],[ScenarioRev]] - Table1[[#This Row],[ScenarioCostOfGoods]]</f>
        <v>69.720000000000027</v>
      </c>
      <c r="AD283" s="6">
        <v>0.107</v>
      </c>
      <c r="AE283" s="6">
        <f>MIN(Table1[[#This Row],[DiscountPct]], WhatIf!$B$2)</f>
        <v>0.107</v>
      </c>
      <c r="AF283" s="6">
        <f>IF(Table1[[#This Row],[DiscountPct]]&gt;0.2, 1, 0)</f>
        <v>0</v>
      </c>
      <c r="AG283" s="6" t="str">
        <f t="shared" si="63"/>
        <v>Low</v>
      </c>
      <c r="AH283" s="6">
        <f t="shared" si="64"/>
        <v>0.47425508715607551</v>
      </c>
      <c r="AI283" s="5">
        <v>8</v>
      </c>
      <c r="AJ283" s="6">
        <f>Table1[[#This Row],[Quantity]]*(1+WhatIf!$B$4)</f>
        <v>8.8000000000000007</v>
      </c>
    </row>
    <row r="284" spans="1:36" x14ac:dyDescent="0.3">
      <c r="A284" t="s">
        <v>392</v>
      </c>
      <c r="B284" s="3">
        <v>45664</v>
      </c>
      <c r="C284" s="3">
        <v>45677</v>
      </c>
      <c r="D284" s="3">
        <f t="shared" si="53"/>
        <v>45677</v>
      </c>
      <c r="E284" s="4">
        <f t="shared" si="52"/>
        <v>13</v>
      </c>
      <c r="F284" s="4">
        <f t="shared" si="54"/>
        <v>13</v>
      </c>
      <c r="G284" s="4">
        <f>IF(Table1[[#This Row],[CorrectedLeadTimeDays]]&lt;=7, 1, 0)</f>
        <v>0</v>
      </c>
      <c r="H284" s="4" t="str">
        <f t="shared" si="55"/>
        <v>January</v>
      </c>
      <c r="I284" s="4" t="str">
        <f t="shared" si="56"/>
        <v>Q1-2025</v>
      </c>
      <c r="J284" s="4" t="str">
        <f t="shared" si="57"/>
        <v>2023-01</v>
      </c>
      <c r="K284" s="3">
        <f t="shared" si="58"/>
        <v>44933</v>
      </c>
      <c r="L284" t="s">
        <v>646</v>
      </c>
      <c r="M284" t="s">
        <v>661</v>
      </c>
      <c r="N284" t="s">
        <v>695</v>
      </c>
      <c r="O284" t="s">
        <v>701</v>
      </c>
      <c r="P284" t="s">
        <v>711</v>
      </c>
      <c r="Q284" t="s">
        <v>723</v>
      </c>
      <c r="R284">
        <f t="shared" si="59"/>
        <v>24</v>
      </c>
      <c r="S284" t="s">
        <v>729</v>
      </c>
      <c r="T284" t="s">
        <v>1112</v>
      </c>
      <c r="U284" s="4">
        <v>432.13</v>
      </c>
      <c r="V284" s="4">
        <f>Table1[[#This Row],[UnitCost]]*(1+WhatIf!$B$3)</f>
        <v>453.73650000000004</v>
      </c>
      <c r="W284" s="4">
        <f t="shared" si="60"/>
        <v>3024.91</v>
      </c>
      <c r="X284" s="4">
        <f>Table1[[#This Row],[ScenarioRev]]-Table1[[#This Row],[ScenarioUnitCost]]</f>
        <v>6780.1923560000014</v>
      </c>
      <c r="Y284" s="4">
        <v>1034.6600000000001</v>
      </c>
      <c r="Z284" s="4">
        <f t="shared" si="61"/>
        <v>6576.298960000001</v>
      </c>
      <c r="AA284" s="4">
        <f>Table1[[#This Row],[ScenarioQuanity]]*Table1[[#This Row],[UnitPrice]]*(1-Table1[[#This Row],[ScenarioDiscPct]])</f>
        <v>7233.9288560000014</v>
      </c>
      <c r="AB284" s="4">
        <f t="shared" si="62"/>
        <v>3551.3889600000011</v>
      </c>
      <c r="AC284" s="4">
        <f>Table1[[#This Row],[ScenarioRev]] - Table1[[#This Row],[ScenarioCostOfGoods]]</f>
        <v>453.73649999999998</v>
      </c>
      <c r="AD284" s="6">
        <v>9.1999999999999998E-2</v>
      </c>
      <c r="AE284" s="6">
        <f>MIN(Table1[[#This Row],[DiscountPct]], WhatIf!$B$2)</f>
        <v>9.1999999999999998E-2</v>
      </c>
      <c r="AF284" s="6">
        <f>IF(Table1[[#This Row],[DiscountPct]]&gt;0.2, 1, 0)</f>
        <v>0</v>
      </c>
      <c r="AG284" s="6" t="str">
        <f t="shared" si="63"/>
        <v>High</v>
      </c>
      <c r="AH284" s="6">
        <f t="shared" si="64"/>
        <v>0.54002851476204794</v>
      </c>
      <c r="AI284" s="5">
        <v>7</v>
      </c>
      <c r="AJ284" s="6">
        <f>Table1[[#This Row],[Quantity]]*(1+WhatIf!$B$4)</f>
        <v>7.7000000000000011</v>
      </c>
    </row>
    <row r="285" spans="1:36" x14ac:dyDescent="0.3">
      <c r="A285" t="s">
        <v>509</v>
      </c>
      <c r="B285" s="3">
        <v>45508</v>
      </c>
      <c r="C285" s="3">
        <v>45521</v>
      </c>
      <c r="D285" s="3">
        <f t="shared" si="53"/>
        <v>45521</v>
      </c>
      <c r="E285" s="4">
        <f t="shared" si="52"/>
        <v>13</v>
      </c>
      <c r="F285" s="4">
        <f t="shared" si="54"/>
        <v>13</v>
      </c>
      <c r="G285" s="4">
        <f>IF(Table1[[#This Row],[CorrectedLeadTimeDays]]&lt;=7, 1, 0)</f>
        <v>0</v>
      </c>
      <c r="H285" s="4" t="str">
        <f t="shared" si="55"/>
        <v>August</v>
      </c>
      <c r="I285" s="4" t="str">
        <f t="shared" si="56"/>
        <v>Q3-2024</v>
      </c>
      <c r="J285" s="4" t="str">
        <f t="shared" si="57"/>
        <v>2023-01</v>
      </c>
      <c r="K285" s="3">
        <f t="shared" si="58"/>
        <v>44939</v>
      </c>
      <c r="L285" t="s">
        <v>648</v>
      </c>
      <c r="M285" t="s">
        <v>660</v>
      </c>
      <c r="N285" t="s">
        <v>697</v>
      </c>
      <c r="O285" t="s">
        <v>704</v>
      </c>
      <c r="P285" t="s">
        <v>707</v>
      </c>
      <c r="Q285" t="s">
        <v>726</v>
      </c>
      <c r="R285">
        <f t="shared" si="59"/>
        <v>18</v>
      </c>
      <c r="S285" t="s">
        <v>732</v>
      </c>
      <c r="T285" t="s">
        <v>1228</v>
      </c>
      <c r="U285" s="4">
        <v>352.79</v>
      </c>
      <c r="V285" s="4">
        <f>Table1[[#This Row],[UnitCost]]*(1+WhatIf!$B$3)</f>
        <v>370.42950000000002</v>
      </c>
      <c r="W285" s="4">
        <f t="shared" si="60"/>
        <v>2469.5300000000002</v>
      </c>
      <c r="X285" s="4">
        <f>Table1[[#This Row],[ScenarioRev]]-Table1[[#This Row],[ScenarioUnitCost]]</f>
        <v>4780.8176780000003</v>
      </c>
      <c r="Y285" s="4">
        <v>754.22</v>
      </c>
      <c r="Z285" s="4">
        <f t="shared" si="61"/>
        <v>4682.9519799999998</v>
      </c>
      <c r="AA285" s="4">
        <f>Table1[[#This Row],[ScenarioQuanity]]*Table1[[#This Row],[UnitPrice]]*(1-Table1[[#This Row],[ScenarioDiscPct]])</f>
        <v>5151.2471780000005</v>
      </c>
      <c r="AB285" s="4">
        <f t="shared" si="62"/>
        <v>2213.4219799999996</v>
      </c>
      <c r="AC285" s="4">
        <f>Table1[[#This Row],[ScenarioRev]] - Table1[[#This Row],[ScenarioCostOfGoods]]</f>
        <v>370.42950000000019</v>
      </c>
      <c r="AD285" s="6">
        <v>0.113</v>
      </c>
      <c r="AE285" s="6">
        <f>MIN(Table1[[#This Row],[DiscountPct]], WhatIf!$B$2)</f>
        <v>0.113</v>
      </c>
      <c r="AF285" s="6">
        <f>IF(Table1[[#This Row],[DiscountPct]]&gt;0.2, 1, 0)</f>
        <v>0</v>
      </c>
      <c r="AG285" s="6" t="str">
        <f t="shared" si="63"/>
        <v>Low</v>
      </c>
      <c r="AH285" s="6">
        <f t="shared" si="64"/>
        <v>0.47265528014233443</v>
      </c>
      <c r="AI285" s="5">
        <v>7</v>
      </c>
      <c r="AJ285" s="6">
        <f>Table1[[#This Row],[Quantity]]*(1+WhatIf!$B$4)</f>
        <v>7.7000000000000011</v>
      </c>
    </row>
    <row r="286" spans="1:36" x14ac:dyDescent="0.3">
      <c r="A286" t="s">
        <v>47</v>
      </c>
      <c r="B286" s="3">
        <v>45862</v>
      </c>
      <c r="C286" s="3">
        <v>45875</v>
      </c>
      <c r="D286" s="3">
        <f t="shared" si="53"/>
        <v>45875</v>
      </c>
      <c r="E286" s="4">
        <f t="shared" si="52"/>
        <v>13</v>
      </c>
      <c r="F286" s="4">
        <f t="shared" si="54"/>
        <v>13</v>
      </c>
      <c r="G286" s="4">
        <f>IF(Table1[[#This Row],[CorrectedLeadTimeDays]]&lt;=7, 1, 0)</f>
        <v>0</v>
      </c>
      <c r="H286" s="4" t="str">
        <f t="shared" si="55"/>
        <v>July</v>
      </c>
      <c r="I286" s="4" t="str">
        <f t="shared" si="56"/>
        <v>Q3-2025</v>
      </c>
      <c r="J286" s="4" t="str">
        <f t="shared" si="57"/>
        <v>2023-01</v>
      </c>
      <c r="K286" s="3">
        <f t="shared" si="58"/>
        <v>44933</v>
      </c>
      <c r="L286" t="s">
        <v>646</v>
      </c>
      <c r="M286" t="s">
        <v>661</v>
      </c>
      <c r="N286" t="s">
        <v>682</v>
      </c>
      <c r="O286" t="s">
        <v>702</v>
      </c>
      <c r="P286" t="s">
        <v>709</v>
      </c>
      <c r="Q286" t="s">
        <v>726</v>
      </c>
      <c r="R286">
        <f t="shared" si="59"/>
        <v>30</v>
      </c>
      <c r="S286" t="s">
        <v>729</v>
      </c>
      <c r="T286" t="s">
        <v>766</v>
      </c>
      <c r="U286" s="4">
        <v>1463.9</v>
      </c>
      <c r="V286" s="4">
        <f>Table1[[#This Row],[UnitCost]]*(1+WhatIf!$B$3)</f>
        <v>1537.0950000000003</v>
      </c>
      <c r="W286" s="4">
        <f t="shared" si="60"/>
        <v>5855.6</v>
      </c>
      <c r="X286" s="4">
        <f>Table1[[#This Row],[ScenarioRev]]-Table1[[#This Row],[ScenarioUnitCost]]</f>
        <v>9075.0288079999991</v>
      </c>
      <c r="Y286" s="4">
        <v>2633.02</v>
      </c>
      <c r="Z286" s="4">
        <f t="shared" si="61"/>
        <v>9647.3852800000004</v>
      </c>
      <c r="AA286" s="4">
        <f>Table1[[#This Row],[ScenarioQuanity]]*Table1[[#This Row],[UnitPrice]]*(1-Table1[[#This Row],[ScenarioDiscPct]])</f>
        <v>10612.123808</v>
      </c>
      <c r="AB286" s="4">
        <f t="shared" si="62"/>
        <v>3791.7852800000001</v>
      </c>
      <c r="AC286" s="4">
        <f>Table1[[#This Row],[ScenarioRev]] - Table1[[#This Row],[ScenarioCostOfGoods]]</f>
        <v>1537.0950000000012</v>
      </c>
      <c r="AD286" s="6">
        <v>8.4000000000000005E-2</v>
      </c>
      <c r="AE286" s="6">
        <f>MIN(Table1[[#This Row],[DiscountPct]], WhatIf!$B$2)</f>
        <v>8.4000000000000005E-2</v>
      </c>
      <c r="AF286" s="6">
        <f>IF(Table1[[#This Row],[DiscountPct]]&gt;0.2, 1, 0)</f>
        <v>0</v>
      </c>
      <c r="AG286" s="6" t="str">
        <f t="shared" si="63"/>
        <v>High</v>
      </c>
      <c r="AH286" s="6">
        <f t="shared" si="64"/>
        <v>0.39303761277791527</v>
      </c>
      <c r="AI286" s="5">
        <v>4</v>
      </c>
      <c r="AJ286" s="6">
        <f>Table1[[#This Row],[Quantity]]*(1+WhatIf!$B$4)</f>
        <v>4.4000000000000004</v>
      </c>
    </row>
    <row r="287" spans="1:36" x14ac:dyDescent="0.3">
      <c r="A287" t="s">
        <v>600</v>
      </c>
      <c r="B287" s="3">
        <v>45049</v>
      </c>
      <c r="C287" s="3">
        <v>45062</v>
      </c>
      <c r="D287" s="3">
        <f t="shared" si="53"/>
        <v>45062</v>
      </c>
      <c r="E287" s="4">
        <f t="shared" si="52"/>
        <v>13</v>
      </c>
      <c r="F287" s="4">
        <f t="shared" si="54"/>
        <v>13</v>
      </c>
      <c r="G287" s="4">
        <f>IF(Table1[[#This Row],[CorrectedLeadTimeDays]]&lt;=7, 1, 0)</f>
        <v>0</v>
      </c>
      <c r="H287" s="4" t="str">
        <f t="shared" si="55"/>
        <v>May</v>
      </c>
      <c r="I287" s="4" t="str">
        <f t="shared" si="56"/>
        <v>Q2-2023</v>
      </c>
      <c r="J287" s="4" t="str">
        <f t="shared" si="57"/>
        <v>2023-01</v>
      </c>
      <c r="K287" s="3">
        <f t="shared" si="58"/>
        <v>44939</v>
      </c>
      <c r="L287" t="s">
        <v>648</v>
      </c>
      <c r="M287" t="s">
        <v>660</v>
      </c>
      <c r="N287" t="s">
        <v>700</v>
      </c>
      <c r="O287" t="s">
        <v>701</v>
      </c>
      <c r="P287" t="s">
        <v>709</v>
      </c>
      <c r="Q287" t="s">
        <v>716</v>
      </c>
      <c r="R287">
        <f t="shared" si="59"/>
        <v>3</v>
      </c>
      <c r="S287" t="s">
        <v>730</v>
      </c>
      <c r="T287" t="s">
        <v>1318</v>
      </c>
      <c r="U287" s="4">
        <v>64.5</v>
      </c>
      <c r="V287" s="4">
        <f>Table1[[#This Row],[UnitCost]]*(1+WhatIf!$B$3)</f>
        <v>67.725000000000009</v>
      </c>
      <c r="W287" s="4">
        <f t="shared" si="60"/>
        <v>193.5</v>
      </c>
      <c r="X287" s="4">
        <f>Table1[[#This Row],[ScenarioRev]]-Table1[[#This Row],[ScenarioUnitCost]]</f>
        <v>340.221</v>
      </c>
      <c r="Y287" s="4">
        <v>123.62</v>
      </c>
      <c r="Z287" s="4">
        <f t="shared" si="61"/>
        <v>370.86</v>
      </c>
      <c r="AA287" s="4">
        <f>Table1[[#This Row],[ScenarioQuanity]]*Table1[[#This Row],[UnitPrice]]*(1-Table1[[#This Row],[ScenarioDiscPct]])</f>
        <v>407.94600000000003</v>
      </c>
      <c r="AB287" s="4">
        <f t="shared" si="62"/>
        <v>177.36</v>
      </c>
      <c r="AC287" s="4">
        <f>Table1[[#This Row],[ScenarioRev]] - Table1[[#This Row],[ScenarioCostOfGoods]]</f>
        <v>67.725000000000023</v>
      </c>
      <c r="AD287" s="6">
        <v>0</v>
      </c>
      <c r="AE287" s="6">
        <f>MIN(Table1[[#This Row],[DiscountPct]], WhatIf!$B$2)</f>
        <v>0</v>
      </c>
      <c r="AF287" s="6">
        <f>IF(Table1[[#This Row],[DiscountPct]]&gt;0.2, 1, 0)</f>
        <v>0</v>
      </c>
      <c r="AG287" s="6" t="str">
        <f t="shared" si="63"/>
        <v>Low</v>
      </c>
      <c r="AH287" s="6">
        <f t="shared" si="64"/>
        <v>0.47823976702798904</v>
      </c>
      <c r="AI287" s="5">
        <v>3</v>
      </c>
      <c r="AJ287" s="6">
        <f>Table1[[#This Row],[Quantity]]*(1+WhatIf!$B$4)</f>
        <v>3.3000000000000003</v>
      </c>
    </row>
    <row r="288" spans="1:36" x14ac:dyDescent="0.3">
      <c r="A288" t="s">
        <v>217</v>
      </c>
      <c r="B288" s="3">
        <v>44946</v>
      </c>
      <c r="C288" s="3">
        <v>44960</v>
      </c>
      <c r="D288" s="3">
        <f t="shared" si="53"/>
        <v>44960</v>
      </c>
      <c r="E288" s="4">
        <f t="shared" si="52"/>
        <v>14</v>
      </c>
      <c r="F288" s="4">
        <f t="shared" si="54"/>
        <v>14</v>
      </c>
      <c r="G288" s="4">
        <f>IF(Table1[[#This Row],[CorrectedLeadTimeDays]]&lt;=7, 1, 0)</f>
        <v>0</v>
      </c>
      <c r="H288" s="4" t="str">
        <f t="shared" si="55"/>
        <v>January</v>
      </c>
      <c r="I288" s="4" t="str">
        <f t="shared" si="56"/>
        <v>Q1-2023</v>
      </c>
      <c r="J288" s="4" t="str">
        <f t="shared" si="57"/>
        <v>2023-01</v>
      </c>
      <c r="K288" s="3">
        <f t="shared" si="58"/>
        <v>44946</v>
      </c>
      <c r="L288" t="s">
        <v>646</v>
      </c>
      <c r="M288" t="s">
        <v>650</v>
      </c>
      <c r="N288" t="s">
        <v>662</v>
      </c>
      <c r="O288" t="s">
        <v>701</v>
      </c>
      <c r="P288" t="s">
        <v>707</v>
      </c>
      <c r="Q288" t="s">
        <v>724</v>
      </c>
      <c r="R288">
        <f t="shared" si="59"/>
        <v>0</v>
      </c>
      <c r="S288" t="s">
        <v>729</v>
      </c>
      <c r="T288" t="s">
        <v>937</v>
      </c>
      <c r="U288" s="4">
        <v>884.36</v>
      </c>
      <c r="V288" s="4">
        <f>Table1[[#This Row],[UnitCost]]*(1+WhatIf!$B$3)</f>
        <v>928.57800000000009</v>
      </c>
      <c r="W288" s="4">
        <f t="shared" si="60"/>
        <v>36258.76</v>
      </c>
      <c r="X288" s="4">
        <f>Table1[[#This Row],[ScenarioRev]]-Table1[[#This Row],[ScenarioUnitCost]]</f>
        <v>54827.289200000007</v>
      </c>
      <c r="Y288" s="4">
        <v>1545.34</v>
      </c>
      <c r="Z288" s="4">
        <f t="shared" si="61"/>
        <v>47962.717579999997</v>
      </c>
      <c r="AA288" s="4">
        <f>Table1[[#This Row],[ScenarioQuanity]]*Table1[[#This Row],[UnitPrice]]*(1-Table1[[#This Row],[ScenarioDiscPct]])</f>
        <v>55755.867200000008</v>
      </c>
      <c r="AB288" s="4">
        <f t="shared" si="62"/>
        <v>11703.957579999995</v>
      </c>
      <c r="AC288" s="4">
        <f>Table1[[#This Row],[ScenarioRev]] - Table1[[#This Row],[ScenarioCostOfGoods]]</f>
        <v>928.57800000000134</v>
      </c>
      <c r="AD288" s="6">
        <v>0.24299999999999999</v>
      </c>
      <c r="AE288" s="6">
        <f>MIN(Table1[[#This Row],[DiscountPct]], WhatIf!$B$2)</f>
        <v>0.2</v>
      </c>
      <c r="AF288" s="6">
        <f>IF(Table1[[#This Row],[DiscountPct]]&gt;0.2, 1, 0)</f>
        <v>1</v>
      </c>
      <c r="AG288" s="6" t="str">
        <f t="shared" si="63"/>
        <v>High</v>
      </c>
      <c r="AH288" s="6">
        <f t="shared" si="64"/>
        <v>0.24402198562827965</v>
      </c>
      <c r="AI288" s="5">
        <v>41</v>
      </c>
      <c r="AJ288" s="6">
        <f>Table1[[#This Row],[Quantity]]*(1+WhatIf!$B$4)</f>
        <v>45.1</v>
      </c>
    </row>
    <row r="289" spans="1:36" x14ac:dyDescent="0.3">
      <c r="A289" t="s">
        <v>351</v>
      </c>
      <c r="B289" s="3">
        <v>45340</v>
      </c>
      <c r="C289" s="3">
        <v>45354</v>
      </c>
      <c r="D289" s="3">
        <f t="shared" si="53"/>
        <v>45354</v>
      </c>
      <c r="E289" s="4">
        <f t="shared" si="52"/>
        <v>14</v>
      </c>
      <c r="F289" s="4">
        <f t="shared" si="54"/>
        <v>14</v>
      </c>
      <c r="G289" s="4">
        <f>IF(Table1[[#This Row],[CorrectedLeadTimeDays]]&lt;=7, 1, 0)</f>
        <v>0</v>
      </c>
      <c r="H289" s="4" t="str">
        <f t="shared" si="55"/>
        <v>February</v>
      </c>
      <c r="I289" s="4" t="str">
        <f t="shared" si="56"/>
        <v>Q1-2024</v>
      </c>
      <c r="J289" s="4" t="str">
        <f t="shared" si="57"/>
        <v>2023-01</v>
      </c>
      <c r="K289" s="3">
        <f t="shared" si="58"/>
        <v>44955</v>
      </c>
      <c r="L289" t="s">
        <v>648</v>
      </c>
      <c r="M289" t="s">
        <v>655</v>
      </c>
      <c r="O289" t="s">
        <v>706</v>
      </c>
      <c r="P289" t="s">
        <v>710</v>
      </c>
      <c r="Q289" t="s">
        <v>720</v>
      </c>
      <c r="R289">
        <f t="shared" si="59"/>
        <v>12</v>
      </c>
      <c r="S289" t="s">
        <v>728</v>
      </c>
      <c r="T289" t="s">
        <v>1071</v>
      </c>
      <c r="U289" s="4">
        <v>624.23</v>
      </c>
      <c r="V289" s="4">
        <f>Table1[[#This Row],[UnitCost]]*(1+WhatIf!$B$3)</f>
        <v>655.44150000000002</v>
      </c>
      <c r="W289" s="4">
        <f t="shared" si="60"/>
        <v>23096.510000000002</v>
      </c>
      <c r="X289" s="4">
        <f>Table1[[#This Row],[ScenarioRev]]-Table1[[#This Row],[ScenarioUnitCost]]</f>
        <v>42270.685700000002</v>
      </c>
      <c r="Y289" s="4">
        <v>1318.37</v>
      </c>
      <c r="Z289" s="4">
        <f t="shared" si="61"/>
        <v>38535.955099999999</v>
      </c>
      <c r="AA289" s="4">
        <f>Table1[[#This Row],[ScenarioQuanity]]*Table1[[#This Row],[UnitPrice]]*(1-Table1[[#This Row],[ScenarioDiscPct]])</f>
        <v>42926.127200000003</v>
      </c>
      <c r="AB289" s="4">
        <f t="shared" si="62"/>
        <v>15439.445099999997</v>
      </c>
      <c r="AC289" s="4">
        <f>Table1[[#This Row],[ScenarioRev]] - Table1[[#This Row],[ScenarioCostOfGoods]]</f>
        <v>655.44150000000081</v>
      </c>
      <c r="AD289" s="6">
        <v>0.21</v>
      </c>
      <c r="AE289" s="6">
        <f>MIN(Table1[[#This Row],[DiscountPct]], WhatIf!$B$2)</f>
        <v>0.2</v>
      </c>
      <c r="AF289" s="6">
        <f>IF(Table1[[#This Row],[DiscountPct]]&gt;0.2, 1, 0)</f>
        <v>1</v>
      </c>
      <c r="AG289" s="6" t="str">
        <f t="shared" si="63"/>
        <v>High</v>
      </c>
      <c r="AH289" s="6">
        <f t="shared" si="64"/>
        <v>0.40065038118128793</v>
      </c>
      <c r="AI289" s="5">
        <v>37</v>
      </c>
      <c r="AJ289" s="6">
        <f>Table1[[#This Row],[Quantity]]*(1+WhatIf!$B$4)</f>
        <v>40.700000000000003</v>
      </c>
    </row>
    <row r="290" spans="1:36" x14ac:dyDescent="0.3">
      <c r="A290" t="s">
        <v>62</v>
      </c>
      <c r="B290" s="3">
        <v>45426</v>
      </c>
      <c r="C290" s="3">
        <v>45440</v>
      </c>
      <c r="D290" s="3">
        <f t="shared" si="53"/>
        <v>45440</v>
      </c>
      <c r="E290" s="4">
        <f t="shared" si="52"/>
        <v>14</v>
      </c>
      <c r="F290" s="4">
        <f t="shared" si="54"/>
        <v>14</v>
      </c>
      <c r="G290" s="4">
        <f>IF(Table1[[#This Row],[CorrectedLeadTimeDays]]&lt;=7, 1, 0)</f>
        <v>0</v>
      </c>
      <c r="H290" s="4" t="str">
        <f t="shared" si="55"/>
        <v>May</v>
      </c>
      <c r="I290" s="4" t="str">
        <f t="shared" si="56"/>
        <v>Q2-2024</v>
      </c>
      <c r="J290" s="4" t="str">
        <f t="shared" si="57"/>
        <v>2023-01</v>
      </c>
      <c r="K290" s="3">
        <f t="shared" si="58"/>
        <v>44945</v>
      </c>
      <c r="L290" t="s">
        <v>649</v>
      </c>
      <c r="M290" t="s">
        <v>658</v>
      </c>
      <c r="N290" t="s">
        <v>674</v>
      </c>
      <c r="O290" t="s">
        <v>704</v>
      </c>
      <c r="P290" t="s">
        <v>707</v>
      </c>
      <c r="Q290" t="s">
        <v>717</v>
      </c>
      <c r="R290">
        <f t="shared" si="59"/>
        <v>15</v>
      </c>
      <c r="S290" t="s">
        <v>729</v>
      </c>
      <c r="T290" t="s">
        <v>781</v>
      </c>
      <c r="U290" s="4">
        <v>1421.14</v>
      </c>
      <c r="V290" s="4">
        <f>Table1[[#This Row],[UnitCost]]*(1+WhatIf!$B$3)</f>
        <v>1492.1970000000001</v>
      </c>
      <c r="W290" s="4">
        <f t="shared" si="60"/>
        <v>44055.340000000004</v>
      </c>
      <c r="X290" s="4">
        <f>Table1[[#This Row],[ScenarioRev]]-Table1[[#This Row],[ScenarioUnitCost]]</f>
        <v>118676.20300000001</v>
      </c>
      <c r="Y290" s="4">
        <v>3524</v>
      </c>
      <c r="Z290" s="4">
        <f t="shared" si="61"/>
        <v>109244</v>
      </c>
      <c r="AA290" s="4">
        <f>Table1[[#This Row],[ScenarioQuanity]]*Table1[[#This Row],[UnitPrice]]*(1-Table1[[#This Row],[ScenarioDiscPct]])</f>
        <v>120168.40000000001</v>
      </c>
      <c r="AB290" s="4">
        <f t="shared" si="62"/>
        <v>65188.659999999996</v>
      </c>
      <c r="AC290" s="4">
        <f>Table1[[#This Row],[ScenarioRev]] - Table1[[#This Row],[ScenarioCostOfGoods]]</f>
        <v>1492.1970000000001</v>
      </c>
      <c r="AD290" s="6">
        <v>0</v>
      </c>
      <c r="AE290" s="6">
        <f>MIN(Table1[[#This Row],[DiscountPct]], WhatIf!$B$2)</f>
        <v>0</v>
      </c>
      <c r="AF290" s="6">
        <f>IF(Table1[[#This Row],[DiscountPct]]&gt;0.2, 1, 0)</f>
        <v>0</v>
      </c>
      <c r="AG290" s="6" t="str">
        <f t="shared" si="63"/>
        <v>High</v>
      </c>
      <c r="AH290" s="6">
        <f t="shared" si="64"/>
        <v>0.59672531214528945</v>
      </c>
      <c r="AI290" s="5">
        <v>31</v>
      </c>
      <c r="AJ290" s="6">
        <f>Table1[[#This Row],[Quantity]]*(1+WhatIf!$B$4)</f>
        <v>34.1</v>
      </c>
    </row>
    <row r="291" spans="1:36" x14ac:dyDescent="0.3">
      <c r="A291" t="s">
        <v>390</v>
      </c>
      <c r="B291" s="3">
        <v>45835</v>
      </c>
      <c r="C291" s="3">
        <v>45849</v>
      </c>
      <c r="D291" s="3">
        <f t="shared" si="53"/>
        <v>45849</v>
      </c>
      <c r="E291" s="4">
        <f t="shared" si="52"/>
        <v>14</v>
      </c>
      <c r="F291" s="4">
        <f t="shared" si="54"/>
        <v>14</v>
      </c>
      <c r="G291" s="4">
        <f>IF(Table1[[#This Row],[CorrectedLeadTimeDays]]&lt;=7, 1, 0)</f>
        <v>0</v>
      </c>
      <c r="H291" s="4" t="str">
        <f t="shared" si="55"/>
        <v>June</v>
      </c>
      <c r="I291" s="4" t="str">
        <f t="shared" si="56"/>
        <v>Q2-2025</v>
      </c>
      <c r="J291" s="4" t="str">
        <f t="shared" si="57"/>
        <v>2023-01</v>
      </c>
      <c r="K291" s="3">
        <f t="shared" si="58"/>
        <v>44938</v>
      </c>
      <c r="L291" t="s">
        <v>647</v>
      </c>
      <c r="M291" t="s">
        <v>659</v>
      </c>
      <c r="N291" t="s">
        <v>685</v>
      </c>
      <c r="O291" t="s">
        <v>705</v>
      </c>
      <c r="P291" t="s">
        <v>709</v>
      </c>
      <c r="Q291" t="s">
        <v>716</v>
      </c>
      <c r="R291">
        <f t="shared" si="59"/>
        <v>29</v>
      </c>
      <c r="S291" t="s">
        <v>729</v>
      </c>
      <c r="T291" t="s">
        <v>1110</v>
      </c>
      <c r="U291" s="4">
        <v>1227.7</v>
      </c>
      <c r="V291" s="4">
        <f>Table1[[#This Row],[UnitCost]]*(1+WhatIf!$B$3)</f>
        <v>1289.085</v>
      </c>
      <c r="W291" s="4">
        <f t="shared" si="60"/>
        <v>27009.4</v>
      </c>
      <c r="X291" s="4">
        <f>Table1[[#This Row],[ScenarioRev]]-Table1[[#This Row],[ScenarioUnitCost]]</f>
        <v>46619.757366000013</v>
      </c>
      <c r="Y291" s="4">
        <v>2197.23</v>
      </c>
      <c r="Z291" s="4">
        <f t="shared" si="61"/>
        <v>43553.493060000001</v>
      </c>
      <c r="AA291" s="4">
        <f>Table1[[#This Row],[ScenarioQuanity]]*Table1[[#This Row],[UnitPrice]]*(1-Table1[[#This Row],[ScenarioDiscPct]])</f>
        <v>47908.842366000012</v>
      </c>
      <c r="AB291" s="4">
        <f t="shared" si="62"/>
        <v>16544.093059999999</v>
      </c>
      <c r="AC291" s="4">
        <f>Table1[[#This Row],[ScenarioRev]] - Table1[[#This Row],[ScenarioCostOfGoods]]</f>
        <v>1289.0849999999991</v>
      </c>
      <c r="AD291" s="6">
        <v>9.9000000000000005E-2</v>
      </c>
      <c r="AE291" s="6">
        <f>MIN(Table1[[#This Row],[DiscountPct]], WhatIf!$B$2)</f>
        <v>9.9000000000000005E-2</v>
      </c>
      <c r="AF291" s="6">
        <f>IF(Table1[[#This Row],[DiscountPct]]&gt;0.2, 1, 0)</f>
        <v>0</v>
      </c>
      <c r="AG291" s="6" t="str">
        <f t="shared" si="63"/>
        <v>High</v>
      </c>
      <c r="AH291" s="6">
        <f t="shared" si="64"/>
        <v>0.37985685871873898</v>
      </c>
      <c r="AI291" s="5">
        <v>22</v>
      </c>
      <c r="AJ291" s="6">
        <f>Table1[[#This Row],[Quantity]]*(1+WhatIf!$B$4)</f>
        <v>24.200000000000003</v>
      </c>
    </row>
    <row r="292" spans="1:36" x14ac:dyDescent="0.3">
      <c r="A292" t="s">
        <v>514</v>
      </c>
      <c r="B292" s="3">
        <v>45048</v>
      </c>
      <c r="C292" s="3">
        <v>45062</v>
      </c>
      <c r="D292" s="3">
        <f t="shared" si="53"/>
        <v>45062</v>
      </c>
      <c r="E292" s="4">
        <f t="shared" si="52"/>
        <v>14</v>
      </c>
      <c r="F292" s="4">
        <f t="shared" si="54"/>
        <v>14</v>
      </c>
      <c r="G292" s="4">
        <f>IF(Table1[[#This Row],[CorrectedLeadTimeDays]]&lt;=7, 1, 0)</f>
        <v>0</v>
      </c>
      <c r="H292" s="4" t="str">
        <f t="shared" si="55"/>
        <v>May</v>
      </c>
      <c r="I292" s="4" t="str">
        <f t="shared" si="56"/>
        <v>Q2-2023</v>
      </c>
      <c r="J292" s="4" t="str">
        <f t="shared" si="57"/>
        <v>2023-01</v>
      </c>
      <c r="K292" s="3">
        <f t="shared" si="58"/>
        <v>44955</v>
      </c>
      <c r="L292" t="s">
        <v>647</v>
      </c>
      <c r="M292" t="s">
        <v>654</v>
      </c>
      <c r="N292" t="s">
        <v>668</v>
      </c>
      <c r="O292" t="s">
        <v>703</v>
      </c>
      <c r="P292" t="s">
        <v>707</v>
      </c>
      <c r="Q292" t="s">
        <v>716</v>
      </c>
      <c r="R292">
        <f t="shared" si="59"/>
        <v>3</v>
      </c>
      <c r="S292" t="s">
        <v>732</v>
      </c>
      <c r="T292" t="s">
        <v>1233</v>
      </c>
      <c r="U292" s="4">
        <v>475.37</v>
      </c>
      <c r="V292" s="4">
        <f>Table1[[#This Row],[UnitCost]]*(1+WhatIf!$B$3)</f>
        <v>499.13850000000002</v>
      </c>
      <c r="W292" s="4">
        <f t="shared" si="60"/>
        <v>10458.14</v>
      </c>
      <c r="X292" s="4">
        <f>Table1[[#This Row],[ScenarioRev]]-Table1[[#This Row],[ScenarioUnitCost]]</f>
        <v>21866.914594000002</v>
      </c>
      <c r="Y292" s="4">
        <v>963.73</v>
      </c>
      <c r="Z292" s="4">
        <f t="shared" si="61"/>
        <v>20332.775539999999</v>
      </c>
      <c r="AA292" s="4">
        <f>Table1[[#This Row],[ScenarioQuanity]]*Table1[[#This Row],[UnitPrice]]*(1-Table1[[#This Row],[ScenarioDiscPct]])</f>
        <v>22366.053094000003</v>
      </c>
      <c r="AB292" s="4">
        <f t="shared" si="62"/>
        <v>9874.6355399999993</v>
      </c>
      <c r="AC292" s="4">
        <f>Table1[[#This Row],[ScenarioRev]] - Table1[[#This Row],[ScenarioCostOfGoods]]</f>
        <v>499.13850000000093</v>
      </c>
      <c r="AD292" s="6">
        <v>4.1000000000000002E-2</v>
      </c>
      <c r="AE292" s="6">
        <f>MIN(Table1[[#This Row],[DiscountPct]], WhatIf!$B$2)</f>
        <v>4.1000000000000002E-2</v>
      </c>
      <c r="AF292" s="6">
        <f>IF(Table1[[#This Row],[DiscountPct]]&gt;0.2, 1, 0)</f>
        <v>0</v>
      </c>
      <c r="AG292" s="6" t="str">
        <f t="shared" si="63"/>
        <v>High</v>
      </c>
      <c r="AH292" s="6">
        <f t="shared" si="64"/>
        <v>0.48565113604750881</v>
      </c>
      <c r="AI292" s="5">
        <v>22</v>
      </c>
      <c r="AJ292" s="6">
        <f>Table1[[#This Row],[Quantity]]*(1+WhatIf!$B$4)</f>
        <v>24.200000000000003</v>
      </c>
    </row>
    <row r="293" spans="1:36" x14ac:dyDescent="0.3">
      <c r="A293" t="s">
        <v>400</v>
      </c>
      <c r="B293" s="3">
        <v>45789</v>
      </c>
      <c r="C293" s="3">
        <v>45803</v>
      </c>
      <c r="D293" s="3">
        <f t="shared" si="53"/>
        <v>45803</v>
      </c>
      <c r="E293" s="4">
        <f t="shared" si="52"/>
        <v>14</v>
      </c>
      <c r="F293" s="4">
        <f t="shared" si="54"/>
        <v>14</v>
      </c>
      <c r="G293" s="4">
        <f>IF(Table1[[#This Row],[CorrectedLeadTimeDays]]&lt;=7, 1, 0)</f>
        <v>0</v>
      </c>
      <c r="H293" s="4" t="str">
        <f t="shared" si="55"/>
        <v>May</v>
      </c>
      <c r="I293" s="4" t="str">
        <f t="shared" si="56"/>
        <v>Q2-2025</v>
      </c>
      <c r="J293" s="4" t="str">
        <f t="shared" si="57"/>
        <v>2023-01</v>
      </c>
      <c r="K293" s="3">
        <f t="shared" si="58"/>
        <v>44955</v>
      </c>
      <c r="L293" t="s">
        <v>647</v>
      </c>
      <c r="M293" t="s">
        <v>654</v>
      </c>
      <c r="N293" t="s">
        <v>696</v>
      </c>
      <c r="O293" t="s">
        <v>701</v>
      </c>
      <c r="P293" t="s">
        <v>709</v>
      </c>
      <c r="Q293" t="s">
        <v>715</v>
      </c>
      <c r="R293">
        <f t="shared" si="59"/>
        <v>27</v>
      </c>
      <c r="S293" t="s">
        <v>728</v>
      </c>
      <c r="T293" t="s">
        <v>1119</v>
      </c>
      <c r="U293" s="4">
        <v>320.12</v>
      </c>
      <c r="V293" s="4">
        <f>Table1[[#This Row],[UnitCost]]*(1+WhatIf!$B$3)</f>
        <v>336.12600000000003</v>
      </c>
      <c r="W293" s="4">
        <f t="shared" si="60"/>
        <v>5762.16</v>
      </c>
      <c r="X293" s="4">
        <f>Table1[[#This Row],[ScenarioRev]]-Table1[[#This Row],[ScenarioUnitCost]]</f>
        <v>10209.360336</v>
      </c>
      <c r="Y293" s="4">
        <v>594.41999999999996</v>
      </c>
      <c r="Z293" s="4">
        <f t="shared" si="61"/>
        <v>9586.8057599999993</v>
      </c>
      <c r="AA293" s="4">
        <f>Table1[[#This Row],[ScenarioQuanity]]*Table1[[#This Row],[UnitPrice]]*(1-Table1[[#This Row],[ScenarioDiscPct]])</f>
        <v>10545.486336</v>
      </c>
      <c r="AB293" s="4">
        <f t="shared" si="62"/>
        <v>3824.6457599999994</v>
      </c>
      <c r="AC293" s="4">
        <f>Table1[[#This Row],[ScenarioRev]] - Table1[[#This Row],[ScenarioCostOfGoods]]</f>
        <v>336.1260000000002</v>
      </c>
      <c r="AD293" s="6">
        <v>0.104</v>
      </c>
      <c r="AE293" s="6">
        <f>MIN(Table1[[#This Row],[DiscountPct]], WhatIf!$B$2)</f>
        <v>0.104</v>
      </c>
      <c r="AF293" s="6">
        <f>IF(Table1[[#This Row],[DiscountPct]]&gt;0.2, 1, 0)</f>
        <v>0</v>
      </c>
      <c r="AG293" s="6" t="str">
        <f t="shared" si="63"/>
        <v>Low</v>
      </c>
      <c r="AH293" s="6">
        <f t="shared" si="64"/>
        <v>0.39894891538931104</v>
      </c>
      <c r="AI293" s="5">
        <v>18</v>
      </c>
      <c r="AJ293" s="6">
        <f>Table1[[#This Row],[Quantity]]*(1+WhatIf!$B$4)</f>
        <v>19.8</v>
      </c>
    </row>
    <row r="294" spans="1:36" x14ac:dyDescent="0.3">
      <c r="A294" t="s">
        <v>365</v>
      </c>
      <c r="B294" s="3">
        <v>45262</v>
      </c>
      <c r="C294" s="3">
        <v>45276</v>
      </c>
      <c r="D294" s="3">
        <f t="shared" si="53"/>
        <v>45276</v>
      </c>
      <c r="E294" s="4">
        <f t="shared" si="52"/>
        <v>14</v>
      </c>
      <c r="F294" s="4">
        <f t="shared" si="54"/>
        <v>14</v>
      </c>
      <c r="G294" s="4">
        <f>IF(Table1[[#This Row],[CorrectedLeadTimeDays]]&lt;=7, 1, 0)</f>
        <v>0</v>
      </c>
      <c r="H294" s="4" t="str">
        <f t="shared" si="55"/>
        <v>December</v>
      </c>
      <c r="I294" s="4" t="str">
        <f t="shared" si="56"/>
        <v>Q4-2023</v>
      </c>
      <c r="J294" s="4" t="str">
        <f t="shared" si="57"/>
        <v>2023-01</v>
      </c>
      <c r="K294" s="3">
        <f t="shared" si="58"/>
        <v>44948</v>
      </c>
      <c r="L294" t="s">
        <v>649</v>
      </c>
      <c r="M294" t="s">
        <v>656</v>
      </c>
      <c r="N294" t="s">
        <v>698</v>
      </c>
      <c r="O294" t="s">
        <v>702</v>
      </c>
      <c r="P294" t="s">
        <v>711</v>
      </c>
      <c r="Q294" t="s">
        <v>725</v>
      </c>
      <c r="R294">
        <f t="shared" si="59"/>
        <v>10</v>
      </c>
      <c r="S294" t="s">
        <v>732</v>
      </c>
      <c r="T294" t="s">
        <v>1085</v>
      </c>
      <c r="U294" s="4">
        <v>879.08</v>
      </c>
      <c r="V294" s="4">
        <f>Table1[[#This Row],[UnitCost]]*(1+WhatIf!$B$3)</f>
        <v>923.03400000000011</v>
      </c>
      <c r="W294" s="4">
        <f t="shared" si="60"/>
        <v>14944.36</v>
      </c>
      <c r="X294" s="4">
        <f>Table1[[#This Row],[ScenarioRev]]-Table1[[#This Row],[ScenarioUnitCost]]</f>
        <v>17212.916591000005</v>
      </c>
      <c r="Y294" s="4">
        <v>1093.3900000000001</v>
      </c>
      <c r="Z294" s="4">
        <f t="shared" si="61"/>
        <v>16487.22781</v>
      </c>
      <c r="AA294" s="4">
        <f>Table1[[#This Row],[ScenarioQuanity]]*Table1[[#This Row],[UnitPrice]]*(1-Table1[[#This Row],[ScenarioDiscPct]])</f>
        <v>18135.950591000004</v>
      </c>
      <c r="AB294" s="4">
        <f t="shared" si="62"/>
        <v>1542.8678099999997</v>
      </c>
      <c r="AC294" s="4">
        <f>Table1[[#This Row],[ScenarioRev]] - Table1[[#This Row],[ScenarioCostOfGoods]]</f>
        <v>923.03399999999965</v>
      </c>
      <c r="AD294" s="6">
        <v>0.113</v>
      </c>
      <c r="AE294" s="6">
        <f>MIN(Table1[[#This Row],[DiscountPct]], WhatIf!$B$2)</f>
        <v>0.113</v>
      </c>
      <c r="AF294" s="6">
        <f>IF(Table1[[#This Row],[DiscountPct]]&gt;0.2, 1, 0)</f>
        <v>0</v>
      </c>
      <c r="AG294" s="6" t="str">
        <f t="shared" si="63"/>
        <v>High</v>
      </c>
      <c r="AH294" s="6">
        <f t="shared" si="64"/>
        <v>9.3579577341935186E-2</v>
      </c>
      <c r="AI294" s="5">
        <v>17</v>
      </c>
      <c r="AJ294" s="6">
        <f>Table1[[#This Row],[Quantity]]*(1+WhatIf!$B$4)</f>
        <v>18.700000000000003</v>
      </c>
    </row>
    <row r="295" spans="1:36" x14ac:dyDescent="0.3">
      <c r="A295" t="s">
        <v>325</v>
      </c>
      <c r="B295" s="3">
        <v>45435</v>
      </c>
      <c r="C295" s="3">
        <v>45449</v>
      </c>
      <c r="D295" s="3">
        <f t="shared" si="53"/>
        <v>45449</v>
      </c>
      <c r="E295" s="4">
        <f t="shared" si="52"/>
        <v>14</v>
      </c>
      <c r="F295" s="4">
        <f t="shared" si="54"/>
        <v>14</v>
      </c>
      <c r="G295" s="4">
        <f>IF(Table1[[#This Row],[CorrectedLeadTimeDays]]&lt;=7, 1, 0)</f>
        <v>0</v>
      </c>
      <c r="H295" s="4" t="str">
        <f t="shared" si="55"/>
        <v>May</v>
      </c>
      <c r="I295" s="4" t="str">
        <f t="shared" si="56"/>
        <v>Q2-2024</v>
      </c>
      <c r="J295" s="4" t="str">
        <f t="shared" si="57"/>
        <v>2023-01</v>
      </c>
      <c r="K295" s="3">
        <f t="shared" si="58"/>
        <v>44955</v>
      </c>
      <c r="L295" t="s">
        <v>648</v>
      </c>
      <c r="M295" t="s">
        <v>655</v>
      </c>
      <c r="N295" t="s">
        <v>692</v>
      </c>
      <c r="O295" t="s">
        <v>703</v>
      </c>
      <c r="P295" t="s">
        <v>708</v>
      </c>
      <c r="Q295" t="s">
        <v>714</v>
      </c>
      <c r="R295">
        <f t="shared" si="59"/>
        <v>15</v>
      </c>
      <c r="S295" t="s">
        <v>729</v>
      </c>
      <c r="T295" t="s">
        <v>1045</v>
      </c>
      <c r="U295" s="4">
        <v>51.13</v>
      </c>
      <c r="V295" s="4">
        <f>Table1[[#This Row],[UnitCost]]*(1+WhatIf!$B$3)</f>
        <v>53.686500000000002</v>
      </c>
      <c r="W295" s="4">
        <f t="shared" si="60"/>
        <v>818.08</v>
      </c>
      <c r="X295" s="4">
        <f>Table1[[#This Row],[ScenarioRev]]-Table1[[#This Row],[ScenarioUnitCost]]</f>
        <v>913.27774000000011</v>
      </c>
      <c r="Y295" s="4">
        <v>57.53</v>
      </c>
      <c r="Z295" s="4">
        <f t="shared" si="61"/>
        <v>879.05840000000001</v>
      </c>
      <c r="AA295" s="4">
        <f>Table1[[#This Row],[ScenarioQuanity]]*Table1[[#This Row],[UnitPrice]]*(1-Table1[[#This Row],[ScenarioDiscPct]])</f>
        <v>966.96424000000013</v>
      </c>
      <c r="AB295" s="4">
        <f t="shared" si="62"/>
        <v>60.978399999999965</v>
      </c>
      <c r="AC295" s="4">
        <f>Table1[[#This Row],[ScenarioRev]] - Table1[[#This Row],[ScenarioCostOfGoods]]</f>
        <v>53.686500000000024</v>
      </c>
      <c r="AD295" s="6">
        <v>4.4999999999999998E-2</v>
      </c>
      <c r="AE295" s="6">
        <f>MIN(Table1[[#This Row],[DiscountPct]], WhatIf!$B$2)</f>
        <v>4.4999999999999998E-2</v>
      </c>
      <c r="AF295" s="6">
        <f>IF(Table1[[#This Row],[DiscountPct]]&gt;0.2, 1, 0)</f>
        <v>0</v>
      </c>
      <c r="AG295" s="6" t="str">
        <f t="shared" si="63"/>
        <v>Low</v>
      </c>
      <c r="AH295" s="6">
        <f t="shared" si="64"/>
        <v>6.9367859973808302E-2</v>
      </c>
      <c r="AI295" s="5">
        <v>16</v>
      </c>
      <c r="AJ295" s="6">
        <f>Table1[[#This Row],[Quantity]]*(1+WhatIf!$B$4)</f>
        <v>17.600000000000001</v>
      </c>
    </row>
    <row r="296" spans="1:36" x14ac:dyDescent="0.3">
      <c r="A296" t="s">
        <v>324</v>
      </c>
      <c r="B296" s="3">
        <v>45655</v>
      </c>
      <c r="C296" s="3">
        <v>45669</v>
      </c>
      <c r="D296" s="3">
        <f t="shared" si="53"/>
        <v>45669</v>
      </c>
      <c r="E296" s="4">
        <f t="shared" si="52"/>
        <v>14</v>
      </c>
      <c r="F296" s="4">
        <f t="shared" si="54"/>
        <v>14</v>
      </c>
      <c r="G296" s="4">
        <f>IF(Table1[[#This Row],[CorrectedLeadTimeDays]]&lt;=7, 1, 0)</f>
        <v>0</v>
      </c>
      <c r="H296" s="4" t="str">
        <f t="shared" si="55"/>
        <v>December</v>
      </c>
      <c r="I296" s="4" t="str">
        <f t="shared" si="56"/>
        <v>Q4-2024</v>
      </c>
      <c r="J296" s="4" t="str">
        <f t="shared" si="57"/>
        <v>2023-01</v>
      </c>
      <c r="K296" s="3">
        <f t="shared" si="58"/>
        <v>44945</v>
      </c>
      <c r="L296" t="s">
        <v>649</v>
      </c>
      <c r="M296" t="s">
        <v>658</v>
      </c>
      <c r="N296" t="s">
        <v>693</v>
      </c>
      <c r="O296" t="s">
        <v>701</v>
      </c>
      <c r="P296" t="s">
        <v>711</v>
      </c>
      <c r="Q296" t="s">
        <v>717</v>
      </c>
      <c r="R296">
        <f t="shared" si="59"/>
        <v>23</v>
      </c>
      <c r="S296" t="s">
        <v>732</v>
      </c>
      <c r="T296" t="s">
        <v>1044</v>
      </c>
      <c r="U296" s="4">
        <v>1399.72</v>
      </c>
      <c r="V296" s="4">
        <f>Table1[[#This Row],[UnitCost]]*(1+WhatIf!$B$3)</f>
        <v>1469.7060000000001</v>
      </c>
      <c r="W296" s="4">
        <f t="shared" si="60"/>
        <v>16796.64</v>
      </c>
      <c r="X296" s="4">
        <f>Table1[[#This Row],[ScenarioRev]]-Table1[[#This Row],[ScenarioUnitCost]]</f>
        <v>32409.495180000005</v>
      </c>
      <c r="Y296" s="4">
        <v>3149.21</v>
      </c>
      <c r="Z296" s="4">
        <f t="shared" si="61"/>
        <v>30799.273800000003</v>
      </c>
      <c r="AA296" s="4">
        <f>Table1[[#This Row],[ScenarioQuanity]]*Table1[[#This Row],[UnitPrice]]*(1-Table1[[#This Row],[ScenarioDiscPct]])</f>
        <v>33879.201180000004</v>
      </c>
      <c r="AB296" s="4">
        <f t="shared" si="62"/>
        <v>14002.633800000003</v>
      </c>
      <c r="AC296" s="4">
        <f>Table1[[#This Row],[ScenarioRev]] - Table1[[#This Row],[ScenarioCostOfGoods]]</f>
        <v>1469.7059999999983</v>
      </c>
      <c r="AD296" s="6">
        <v>0.185</v>
      </c>
      <c r="AE296" s="6">
        <f>MIN(Table1[[#This Row],[DiscountPct]], WhatIf!$B$2)</f>
        <v>0.185</v>
      </c>
      <c r="AF296" s="6">
        <f>IF(Table1[[#This Row],[DiscountPct]]&gt;0.2, 1, 0)</f>
        <v>0</v>
      </c>
      <c r="AG296" s="6" t="str">
        <f t="shared" si="63"/>
        <v>High</v>
      </c>
      <c r="AH296" s="6">
        <f t="shared" si="64"/>
        <v>0.45464168703873797</v>
      </c>
      <c r="AI296" s="5">
        <v>12</v>
      </c>
      <c r="AJ296" s="6">
        <f>Table1[[#This Row],[Quantity]]*(1+WhatIf!$B$4)</f>
        <v>13.200000000000001</v>
      </c>
    </row>
    <row r="297" spans="1:36" x14ac:dyDescent="0.3">
      <c r="A297" t="s">
        <v>510</v>
      </c>
      <c r="B297" s="3">
        <v>45097</v>
      </c>
      <c r="C297" s="3">
        <v>45111</v>
      </c>
      <c r="D297" s="3">
        <f t="shared" si="53"/>
        <v>45111</v>
      </c>
      <c r="E297" s="4">
        <f t="shared" si="52"/>
        <v>14</v>
      </c>
      <c r="F297" s="4">
        <f t="shared" si="54"/>
        <v>14</v>
      </c>
      <c r="G297" s="4">
        <f>IF(Table1[[#This Row],[CorrectedLeadTimeDays]]&lt;=7, 1, 0)</f>
        <v>0</v>
      </c>
      <c r="H297" s="4" t="str">
        <f t="shared" si="55"/>
        <v>June</v>
      </c>
      <c r="I297" s="4" t="str">
        <f t="shared" si="56"/>
        <v>Q2-2023</v>
      </c>
      <c r="J297" s="4" t="str">
        <f t="shared" si="57"/>
        <v>2023-01</v>
      </c>
      <c r="K297" s="3">
        <f t="shared" si="58"/>
        <v>44955</v>
      </c>
      <c r="L297" t="s">
        <v>648</v>
      </c>
      <c r="M297" t="s">
        <v>655</v>
      </c>
      <c r="N297" t="s">
        <v>672</v>
      </c>
      <c r="O297" t="s">
        <v>703</v>
      </c>
      <c r="P297" t="s">
        <v>711</v>
      </c>
      <c r="Q297" t="s">
        <v>712</v>
      </c>
      <c r="R297">
        <f t="shared" si="59"/>
        <v>4</v>
      </c>
      <c r="S297" t="s">
        <v>729</v>
      </c>
      <c r="T297" t="s">
        <v>1229</v>
      </c>
      <c r="U297" s="4">
        <v>1292.8599999999999</v>
      </c>
      <c r="V297" s="4">
        <f>Table1[[#This Row],[UnitCost]]*(1+WhatIf!$B$3)</f>
        <v>1357.5029999999999</v>
      </c>
      <c r="W297" s="4">
        <f t="shared" si="60"/>
        <v>15514.32</v>
      </c>
      <c r="X297" s="4">
        <f>Table1[[#This Row],[ScenarioRev]]-Table1[[#This Row],[ScenarioUnitCost]]</f>
        <v>32404.223856000008</v>
      </c>
      <c r="Y297" s="4">
        <v>2981.01</v>
      </c>
      <c r="Z297" s="4">
        <f t="shared" si="61"/>
        <v>30692.47896</v>
      </c>
      <c r="AA297" s="4">
        <f>Table1[[#This Row],[ScenarioQuanity]]*Table1[[#This Row],[UnitPrice]]*(1-Table1[[#This Row],[ScenarioDiscPct]])</f>
        <v>33761.726856000008</v>
      </c>
      <c r="AB297" s="4">
        <f t="shared" si="62"/>
        <v>15178.158960000001</v>
      </c>
      <c r="AC297" s="4">
        <f>Table1[[#This Row],[ScenarioRev]] - Table1[[#This Row],[ScenarioCostOfGoods]]</f>
        <v>1357.5030000000006</v>
      </c>
      <c r="AD297" s="6">
        <v>0.14199999999999999</v>
      </c>
      <c r="AE297" s="6">
        <f>MIN(Table1[[#This Row],[DiscountPct]], WhatIf!$B$2)</f>
        <v>0.14199999999999999</v>
      </c>
      <c r="AF297" s="6">
        <f>IF(Table1[[#This Row],[DiscountPct]]&gt;0.2, 1, 0)</f>
        <v>0</v>
      </c>
      <c r="AG297" s="6" t="str">
        <f t="shared" si="63"/>
        <v>High</v>
      </c>
      <c r="AH297" s="6">
        <f t="shared" si="64"/>
        <v>0.49452372288927687</v>
      </c>
      <c r="AI297" s="5">
        <v>12</v>
      </c>
      <c r="AJ297" s="6">
        <f>Table1[[#This Row],[Quantity]]*(1+WhatIf!$B$4)</f>
        <v>13.200000000000001</v>
      </c>
    </row>
    <row r="298" spans="1:36" x14ac:dyDescent="0.3">
      <c r="A298" t="s">
        <v>568</v>
      </c>
      <c r="B298" s="3">
        <v>45703</v>
      </c>
      <c r="C298" s="3">
        <v>45717</v>
      </c>
      <c r="D298" s="3">
        <f t="shared" si="53"/>
        <v>45717</v>
      </c>
      <c r="E298" s="4">
        <f t="shared" si="52"/>
        <v>14</v>
      </c>
      <c r="F298" s="4">
        <f t="shared" si="54"/>
        <v>14</v>
      </c>
      <c r="G298" s="4">
        <f>IF(Table1[[#This Row],[CorrectedLeadTimeDays]]&lt;=7, 1, 0)</f>
        <v>0</v>
      </c>
      <c r="H298" s="4" t="str">
        <f t="shared" si="55"/>
        <v>February</v>
      </c>
      <c r="I298" s="4" t="str">
        <f t="shared" si="56"/>
        <v>Q1-2025</v>
      </c>
      <c r="J298" s="4" t="str">
        <f t="shared" si="57"/>
        <v>2023-01</v>
      </c>
      <c r="K298" s="3">
        <f t="shared" si="58"/>
        <v>44946</v>
      </c>
      <c r="L298" t="s">
        <v>646</v>
      </c>
      <c r="M298" t="s">
        <v>650</v>
      </c>
      <c r="N298" t="s">
        <v>675</v>
      </c>
      <c r="O298" t="s">
        <v>702</v>
      </c>
      <c r="P298" t="s">
        <v>711</v>
      </c>
      <c r="Q298" t="s">
        <v>716</v>
      </c>
      <c r="R298">
        <f t="shared" si="59"/>
        <v>24</v>
      </c>
      <c r="S298" t="s">
        <v>733</v>
      </c>
      <c r="T298" t="s">
        <v>1286</v>
      </c>
      <c r="U298" s="4">
        <v>1162.8599999999999</v>
      </c>
      <c r="V298" s="4">
        <f>Table1[[#This Row],[UnitCost]]*(1+WhatIf!$B$3)</f>
        <v>1221.0029999999999</v>
      </c>
      <c r="W298" s="4">
        <f t="shared" si="60"/>
        <v>13954.32</v>
      </c>
      <c r="X298" s="4">
        <f>Table1[[#This Row],[ScenarioRev]]-Table1[[#This Row],[ScenarioUnitCost]]</f>
        <v>16225.857288000003</v>
      </c>
      <c r="Y298" s="4">
        <v>1447.68</v>
      </c>
      <c r="Z298" s="4">
        <f t="shared" si="61"/>
        <v>15860.782080000001</v>
      </c>
      <c r="AA298" s="4">
        <f>Table1[[#This Row],[ScenarioQuanity]]*Table1[[#This Row],[UnitPrice]]*(1-Table1[[#This Row],[ScenarioDiscPct]])</f>
        <v>17446.860288000003</v>
      </c>
      <c r="AB298" s="4">
        <f t="shared" si="62"/>
        <v>1906.4620800000012</v>
      </c>
      <c r="AC298" s="4">
        <f>Table1[[#This Row],[ScenarioRev]] - Table1[[#This Row],[ScenarioCostOfGoods]]</f>
        <v>1221.0030000000006</v>
      </c>
      <c r="AD298" s="6">
        <v>8.6999999999999994E-2</v>
      </c>
      <c r="AE298" s="6">
        <f>MIN(Table1[[#This Row],[DiscountPct]], WhatIf!$B$2)</f>
        <v>8.6999999999999994E-2</v>
      </c>
      <c r="AF298" s="6">
        <f>IF(Table1[[#This Row],[DiscountPct]]&gt;0.2, 1, 0)</f>
        <v>0</v>
      </c>
      <c r="AG298" s="6" t="str">
        <f t="shared" si="63"/>
        <v>High</v>
      </c>
      <c r="AH298" s="6">
        <f t="shared" si="64"/>
        <v>0.12019975247021369</v>
      </c>
      <c r="AI298" s="5">
        <v>12</v>
      </c>
      <c r="AJ298" s="6">
        <f>Table1[[#This Row],[Quantity]]*(1+WhatIf!$B$4)</f>
        <v>13.200000000000001</v>
      </c>
    </row>
    <row r="299" spans="1:36" x14ac:dyDescent="0.3">
      <c r="A299" t="s">
        <v>310</v>
      </c>
      <c r="B299" s="3">
        <v>45353</v>
      </c>
      <c r="C299" s="3">
        <v>45367</v>
      </c>
      <c r="D299" s="3">
        <f t="shared" si="53"/>
        <v>45367</v>
      </c>
      <c r="E299" s="4">
        <f t="shared" si="52"/>
        <v>14</v>
      </c>
      <c r="F299" s="4">
        <f t="shared" si="54"/>
        <v>14</v>
      </c>
      <c r="G299" s="4">
        <f>IF(Table1[[#This Row],[CorrectedLeadTimeDays]]&lt;=7, 1, 0)</f>
        <v>0</v>
      </c>
      <c r="H299" s="4" t="str">
        <f t="shared" si="55"/>
        <v>March</v>
      </c>
      <c r="I299" s="4" t="str">
        <f t="shared" si="56"/>
        <v>Q1-2024</v>
      </c>
      <c r="J299" s="4" t="str">
        <f t="shared" si="57"/>
        <v>2023-01</v>
      </c>
      <c r="K299" s="3">
        <f t="shared" si="58"/>
        <v>44928</v>
      </c>
      <c r="L299" t="s">
        <v>648</v>
      </c>
      <c r="M299" t="s">
        <v>653</v>
      </c>
      <c r="N299" t="s">
        <v>688</v>
      </c>
      <c r="O299" t="s">
        <v>703</v>
      </c>
      <c r="P299" t="s">
        <v>711</v>
      </c>
      <c r="Q299" t="s">
        <v>719</v>
      </c>
      <c r="R299">
        <f t="shared" si="59"/>
        <v>14</v>
      </c>
      <c r="S299" t="s">
        <v>728</v>
      </c>
      <c r="T299" t="s">
        <v>1030</v>
      </c>
      <c r="U299" s="4">
        <v>248.24</v>
      </c>
      <c r="V299" s="4">
        <f>Table1[[#This Row],[UnitCost]]*(1+WhatIf!$B$3)</f>
        <v>260.65200000000004</v>
      </c>
      <c r="W299" s="4">
        <f t="shared" si="60"/>
        <v>2730.6400000000003</v>
      </c>
      <c r="X299" s="4">
        <f>Table1[[#This Row],[ScenarioRev]]-Table1[[#This Row],[ScenarioUnitCost]]</f>
        <v>4405.417155000001</v>
      </c>
      <c r="Y299" s="4">
        <v>464.05</v>
      </c>
      <c r="Z299" s="4">
        <f t="shared" si="61"/>
        <v>4241.88105</v>
      </c>
      <c r="AA299" s="4">
        <f>Table1[[#This Row],[ScenarioQuanity]]*Table1[[#This Row],[UnitPrice]]*(1-Table1[[#This Row],[ScenarioDiscPct]])</f>
        <v>4666.069155000001</v>
      </c>
      <c r="AB299" s="4">
        <f t="shared" si="62"/>
        <v>1511.2410499999996</v>
      </c>
      <c r="AC299" s="4">
        <f>Table1[[#This Row],[ScenarioRev]] - Table1[[#This Row],[ScenarioCostOfGoods]]</f>
        <v>260.65200000000004</v>
      </c>
      <c r="AD299" s="6">
        <v>0.16900000000000001</v>
      </c>
      <c r="AE299" s="6">
        <f>MIN(Table1[[#This Row],[DiscountPct]], WhatIf!$B$2)</f>
        <v>0.16900000000000001</v>
      </c>
      <c r="AF299" s="6">
        <f>IF(Table1[[#This Row],[DiscountPct]]&gt;0.2, 1, 0)</f>
        <v>0</v>
      </c>
      <c r="AG299" s="6" t="str">
        <f t="shared" si="63"/>
        <v>Low</v>
      </c>
      <c r="AH299" s="6">
        <f t="shared" si="64"/>
        <v>0.3562667203975462</v>
      </c>
      <c r="AI299" s="5">
        <v>11</v>
      </c>
      <c r="AJ299" s="6">
        <f>Table1[[#This Row],[Quantity]]*(1+WhatIf!$B$4)</f>
        <v>12.100000000000001</v>
      </c>
    </row>
    <row r="300" spans="1:36" x14ac:dyDescent="0.3">
      <c r="A300" t="s">
        <v>418</v>
      </c>
      <c r="B300" s="3">
        <v>45677</v>
      </c>
      <c r="C300" s="3">
        <v>45691</v>
      </c>
      <c r="D300" s="3">
        <f t="shared" si="53"/>
        <v>45691</v>
      </c>
      <c r="E300" s="4">
        <f t="shared" si="52"/>
        <v>14</v>
      </c>
      <c r="F300" s="4">
        <f t="shared" si="54"/>
        <v>14</v>
      </c>
      <c r="G300" s="4">
        <f>IF(Table1[[#This Row],[CorrectedLeadTimeDays]]&lt;=7, 1, 0)</f>
        <v>0</v>
      </c>
      <c r="H300" s="4" t="str">
        <f t="shared" si="55"/>
        <v>January</v>
      </c>
      <c r="I300" s="4" t="str">
        <f t="shared" si="56"/>
        <v>Q1-2025</v>
      </c>
      <c r="J300" s="4" t="str">
        <f t="shared" si="57"/>
        <v>2023-01</v>
      </c>
      <c r="K300" s="3">
        <f t="shared" si="58"/>
        <v>44955</v>
      </c>
      <c r="L300" t="s">
        <v>648</v>
      </c>
      <c r="M300" t="s">
        <v>655</v>
      </c>
      <c r="N300" t="s">
        <v>672</v>
      </c>
      <c r="O300" t="s">
        <v>706</v>
      </c>
      <c r="P300" t="s">
        <v>709</v>
      </c>
      <c r="Q300" t="s">
        <v>721</v>
      </c>
      <c r="R300">
        <f t="shared" si="59"/>
        <v>23</v>
      </c>
      <c r="S300" t="s">
        <v>727</v>
      </c>
      <c r="T300" t="s">
        <v>1137</v>
      </c>
      <c r="U300" s="4">
        <v>974.11</v>
      </c>
      <c r="V300" s="4">
        <f>Table1[[#This Row],[UnitCost]]*(1+WhatIf!$B$3)</f>
        <v>1022.8155</v>
      </c>
      <c r="W300" s="4">
        <f t="shared" si="60"/>
        <v>9741.1</v>
      </c>
      <c r="X300" s="4">
        <f>Table1[[#This Row],[ScenarioRev]]-Table1[[#This Row],[ScenarioUnitCost]]</f>
        <v>7592.3857099999996</v>
      </c>
      <c r="Y300" s="4">
        <v>880.99</v>
      </c>
      <c r="Z300" s="4">
        <f t="shared" si="61"/>
        <v>7832.0010999999995</v>
      </c>
      <c r="AA300" s="4">
        <f>Table1[[#This Row],[ScenarioQuanity]]*Table1[[#This Row],[UnitPrice]]*(1-Table1[[#This Row],[ScenarioDiscPct]])</f>
        <v>8615.2012099999993</v>
      </c>
      <c r="AB300" s="4">
        <f t="shared" si="62"/>
        <v>-1909.0989000000009</v>
      </c>
      <c r="AC300" s="4">
        <f>Table1[[#This Row],[ScenarioRev]] - Table1[[#This Row],[ScenarioCostOfGoods]]</f>
        <v>1022.8154999999997</v>
      </c>
      <c r="AD300" s="6">
        <v>0.111</v>
      </c>
      <c r="AE300" s="6">
        <f>MIN(Table1[[#This Row],[DiscountPct]], WhatIf!$B$2)</f>
        <v>0.111</v>
      </c>
      <c r="AF300" s="6">
        <f>IF(Table1[[#This Row],[DiscountPct]]&gt;0.2, 1, 0)</f>
        <v>0</v>
      </c>
      <c r="AG300" s="6" t="str">
        <f t="shared" si="63"/>
        <v>High</v>
      </c>
      <c r="AH300" s="6">
        <f t="shared" si="64"/>
        <v>-0.2437562093805121</v>
      </c>
      <c r="AI300" s="5">
        <v>10</v>
      </c>
      <c r="AJ300" s="6">
        <f>Table1[[#This Row],[Quantity]]*(1+WhatIf!$B$4)</f>
        <v>11</v>
      </c>
    </row>
    <row r="301" spans="1:36" x14ac:dyDescent="0.3">
      <c r="A301" t="s">
        <v>205</v>
      </c>
      <c r="B301" s="3">
        <v>45146</v>
      </c>
      <c r="C301" s="3">
        <v>45160</v>
      </c>
      <c r="D301" s="3">
        <f t="shared" si="53"/>
        <v>45160</v>
      </c>
      <c r="E301" s="4">
        <f t="shared" si="52"/>
        <v>14</v>
      </c>
      <c r="F301" s="4">
        <f t="shared" si="54"/>
        <v>14</v>
      </c>
      <c r="G301" s="4">
        <f>IF(Table1[[#This Row],[CorrectedLeadTimeDays]]&lt;=7, 1, 0)</f>
        <v>0</v>
      </c>
      <c r="H301" s="4" t="str">
        <f t="shared" si="55"/>
        <v>August</v>
      </c>
      <c r="I301" s="4" t="str">
        <f t="shared" si="56"/>
        <v>Q3-2023</v>
      </c>
      <c r="J301" s="4" t="str">
        <f t="shared" si="57"/>
        <v>2023-01</v>
      </c>
      <c r="K301" s="3">
        <f t="shared" si="58"/>
        <v>44945</v>
      </c>
      <c r="L301" t="s">
        <v>649</v>
      </c>
      <c r="M301" t="s">
        <v>658</v>
      </c>
      <c r="N301" t="s">
        <v>674</v>
      </c>
      <c r="O301" t="s">
        <v>703</v>
      </c>
      <c r="P301" t="s">
        <v>711</v>
      </c>
      <c r="Q301" t="s">
        <v>725</v>
      </c>
      <c r="R301">
        <f t="shared" si="59"/>
        <v>6</v>
      </c>
      <c r="S301" t="s">
        <v>732</v>
      </c>
      <c r="T301" t="s">
        <v>925</v>
      </c>
      <c r="U301" s="4">
        <v>446.69</v>
      </c>
      <c r="V301" s="4">
        <f>Table1[[#This Row],[UnitCost]]*(1+WhatIf!$B$3)</f>
        <v>469.02449999999999</v>
      </c>
      <c r="W301" s="4">
        <f t="shared" si="60"/>
        <v>4466.8999999999996</v>
      </c>
      <c r="X301" s="4">
        <f>Table1[[#This Row],[ScenarioRev]]-Table1[[#This Row],[ScenarioUnitCost]]</f>
        <v>9170.5889999999999</v>
      </c>
      <c r="Y301" s="4">
        <v>967.25</v>
      </c>
      <c r="Z301" s="4">
        <f t="shared" si="61"/>
        <v>8763.2849999999999</v>
      </c>
      <c r="AA301" s="4">
        <f>Table1[[#This Row],[ScenarioQuanity]]*Table1[[#This Row],[UnitPrice]]*(1-Table1[[#This Row],[ScenarioDiscPct]])</f>
        <v>9639.6134999999995</v>
      </c>
      <c r="AB301" s="4">
        <f t="shared" si="62"/>
        <v>4296.3850000000002</v>
      </c>
      <c r="AC301" s="4">
        <f>Table1[[#This Row],[ScenarioRev]] - Table1[[#This Row],[ScenarioCostOfGoods]]</f>
        <v>469.02449999999953</v>
      </c>
      <c r="AD301" s="6">
        <v>9.4E-2</v>
      </c>
      <c r="AE301" s="6">
        <f>MIN(Table1[[#This Row],[DiscountPct]], WhatIf!$B$2)</f>
        <v>9.4E-2</v>
      </c>
      <c r="AF301" s="6">
        <f>IF(Table1[[#This Row],[DiscountPct]]&gt;0.2, 1, 0)</f>
        <v>0</v>
      </c>
      <c r="AG301" s="6" t="str">
        <f t="shared" si="63"/>
        <v>High</v>
      </c>
      <c r="AH301" s="6">
        <f t="shared" si="64"/>
        <v>0.49027105702941309</v>
      </c>
      <c r="AI301" s="5">
        <v>10</v>
      </c>
      <c r="AJ301" s="6">
        <f>Table1[[#This Row],[Quantity]]*(1+WhatIf!$B$4)</f>
        <v>11</v>
      </c>
    </row>
    <row r="302" spans="1:36" x14ac:dyDescent="0.3">
      <c r="A302" t="s">
        <v>544</v>
      </c>
      <c r="B302" s="3">
        <v>45316</v>
      </c>
      <c r="C302" s="3">
        <v>45330</v>
      </c>
      <c r="D302" s="3">
        <f t="shared" si="53"/>
        <v>45330</v>
      </c>
      <c r="E302" s="4">
        <f t="shared" si="52"/>
        <v>14</v>
      </c>
      <c r="F302" s="4">
        <f t="shared" si="54"/>
        <v>14</v>
      </c>
      <c r="G302" s="4">
        <f>IF(Table1[[#This Row],[CorrectedLeadTimeDays]]&lt;=7, 1, 0)</f>
        <v>0</v>
      </c>
      <c r="H302" s="4" t="str">
        <f t="shared" si="55"/>
        <v>January</v>
      </c>
      <c r="I302" s="4" t="str">
        <f t="shared" si="56"/>
        <v>Q1-2024</v>
      </c>
      <c r="J302" s="4" t="str">
        <f t="shared" si="57"/>
        <v>2023-03</v>
      </c>
      <c r="K302" s="3">
        <f t="shared" si="58"/>
        <v>44988</v>
      </c>
      <c r="L302" t="s">
        <v>647</v>
      </c>
      <c r="M302" t="s">
        <v>652</v>
      </c>
      <c r="N302" t="s">
        <v>666</v>
      </c>
      <c r="O302" t="s">
        <v>704</v>
      </c>
      <c r="P302" t="s">
        <v>709</v>
      </c>
      <c r="Q302" t="s">
        <v>714</v>
      </c>
      <c r="R302">
        <f t="shared" si="59"/>
        <v>10</v>
      </c>
      <c r="S302" t="s">
        <v>729</v>
      </c>
      <c r="T302" t="s">
        <v>1263</v>
      </c>
      <c r="U302" s="4">
        <v>937.16</v>
      </c>
      <c r="V302" s="4">
        <f>Table1[[#This Row],[UnitCost]]*(1+WhatIf!$B$3)</f>
        <v>984.01800000000003</v>
      </c>
      <c r="W302" s="4">
        <f t="shared" si="60"/>
        <v>8434.44</v>
      </c>
      <c r="X302" s="4">
        <f>Table1[[#This Row],[ScenarioRev]]-Table1[[#This Row],[ScenarioUnitCost]]</f>
        <v>9204.2575259999994</v>
      </c>
      <c r="Y302" s="4">
        <v>1069.77</v>
      </c>
      <c r="Z302" s="4">
        <f t="shared" si="61"/>
        <v>9262.0686600000008</v>
      </c>
      <c r="AA302" s="4">
        <f>Table1[[#This Row],[ScenarioQuanity]]*Table1[[#This Row],[UnitPrice]]*(1-Table1[[#This Row],[ScenarioDiscPct]])</f>
        <v>10188.275525999999</v>
      </c>
      <c r="AB302" s="4">
        <f t="shared" si="62"/>
        <v>827.62866000000031</v>
      </c>
      <c r="AC302" s="4">
        <f>Table1[[#This Row],[ScenarioRev]] - Table1[[#This Row],[ScenarioCostOfGoods]]</f>
        <v>984.01800000000003</v>
      </c>
      <c r="AD302" s="6">
        <v>3.7999999999999999E-2</v>
      </c>
      <c r="AE302" s="6">
        <f>MIN(Table1[[#This Row],[DiscountPct]], WhatIf!$B$2)</f>
        <v>3.7999999999999999E-2</v>
      </c>
      <c r="AF302" s="6">
        <f>IF(Table1[[#This Row],[DiscountPct]]&gt;0.2, 1, 0)</f>
        <v>0</v>
      </c>
      <c r="AG302" s="6" t="str">
        <f t="shared" si="63"/>
        <v>High</v>
      </c>
      <c r="AH302" s="6">
        <f t="shared" si="64"/>
        <v>8.9356783066645962E-2</v>
      </c>
      <c r="AI302" s="5">
        <v>9</v>
      </c>
      <c r="AJ302" s="6">
        <f>Table1[[#This Row],[Quantity]]*(1+WhatIf!$B$4)</f>
        <v>9.9</v>
      </c>
    </row>
    <row r="303" spans="1:36" x14ac:dyDescent="0.3">
      <c r="A303" t="s">
        <v>381</v>
      </c>
      <c r="B303" s="3">
        <v>45731</v>
      </c>
      <c r="C303" s="3">
        <v>45745</v>
      </c>
      <c r="D303" s="3">
        <f t="shared" si="53"/>
        <v>45745</v>
      </c>
      <c r="E303" s="4">
        <f t="shared" si="52"/>
        <v>14</v>
      </c>
      <c r="F303" s="4">
        <f t="shared" si="54"/>
        <v>14</v>
      </c>
      <c r="G303" s="4">
        <f>IF(Table1[[#This Row],[CorrectedLeadTimeDays]]&lt;=7, 1, 0)</f>
        <v>0</v>
      </c>
      <c r="H303" s="4" t="str">
        <f t="shared" si="55"/>
        <v>March</v>
      </c>
      <c r="I303" s="4" t="str">
        <f t="shared" si="56"/>
        <v>Q1-2025</v>
      </c>
      <c r="J303" s="4" t="str">
        <f t="shared" si="57"/>
        <v>2023-01</v>
      </c>
      <c r="K303" s="3">
        <f t="shared" si="58"/>
        <v>44955</v>
      </c>
      <c r="L303" t="s">
        <v>647</v>
      </c>
      <c r="M303" t="s">
        <v>654</v>
      </c>
      <c r="N303" t="s">
        <v>691</v>
      </c>
      <c r="O303" t="s">
        <v>706</v>
      </c>
      <c r="P303" t="s">
        <v>711</v>
      </c>
      <c r="Q303" t="s">
        <v>712</v>
      </c>
      <c r="R303">
        <f t="shared" si="59"/>
        <v>25</v>
      </c>
      <c r="S303" t="s">
        <v>727</v>
      </c>
      <c r="T303" t="s">
        <v>1101</v>
      </c>
      <c r="U303" s="4">
        <v>935.83</v>
      </c>
      <c r="V303" s="4">
        <f>Table1[[#This Row],[UnitCost]]*(1+WhatIf!$B$3)</f>
        <v>982.62150000000008</v>
      </c>
      <c r="W303" s="4">
        <f t="shared" si="60"/>
        <v>8422.4700000000012</v>
      </c>
      <c r="X303" s="4">
        <f>Table1[[#This Row],[ScenarioRev]]-Table1[[#This Row],[ScenarioUnitCost]]</f>
        <v>19427.185829999999</v>
      </c>
      <c r="Y303" s="4">
        <v>2303.46</v>
      </c>
      <c r="Z303" s="4">
        <f t="shared" si="61"/>
        <v>18554.370299999999</v>
      </c>
      <c r="AA303" s="4">
        <f>Table1[[#This Row],[ScenarioQuanity]]*Table1[[#This Row],[UnitPrice]]*(1-Table1[[#This Row],[ScenarioDiscPct]])</f>
        <v>20409.80733</v>
      </c>
      <c r="AB303" s="4">
        <f t="shared" si="62"/>
        <v>10131.900299999998</v>
      </c>
      <c r="AC303" s="4">
        <f>Table1[[#This Row],[ScenarioRev]] - Table1[[#This Row],[ScenarioCostOfGoods]]</f>
        <v>982.62150000000111</v>
      </c>
      <c r="AD303" s="6">
        <v>0.105</v>
      </c>
      <c r="AE303" s="6">
        <f>MIN(Table1[[#This Row],[DiscountPct]], WhatIf!$B$2)</f>
        <v>0.105</v>
      </c>
      <c r="AF303" s="6">
        <f>IF(Table1[[#This Row],[DiscountPct]]&gt;0.2, 1, 0)</f>
        <v>0</v>
      </c>
      <c r="AG303" s="6" t="str">
        <f t="shared" si="63"/>
        <v>High</v>
      </c>
      <c r="AH303" s="6">
        <f t="shared" si="64"/>
        <v>0.54606543559174292</v>
      </c>
      <c r="AI303" s="5">
        <v>9</v>
      </c>
      <c r="AJ303" s="6">
        <f>Table1[[#This Row],[Quantity]]*(1+WhatIf!$B$4)</f>
        <v>9.9</v>
      </c>
    </row>
    <row r="304" spans="1:36" x14ac:dyDescent="0.3">
      <c r="A304" t="s">
        <v>143</v>
      </c>
      <c r="B304" s="3">
        <v>45442</v>
      </c>
      <c r="C304" s="3">
        <v>45456</v>
      </c>
      <c r="D304" s="3">
        <f t="shared" si="53"/>
        <v>45456</v>
      </c>
      <c r="E304" s="4">
        <f t="shared" si="52"/>
        <v>14</v>
      </c>
      <c r="F304" s="4">
        <f t="shared" si="54"/>
        <v>14</v>
      </c>
      <c r="G304" s="4">
        <f>IF(Table1[[#This Row],[CorrectedLeadTimeDays]]&lt;=7, 1, 0)</f>
        <v>0</v>
      </c>
      <c r="H304" s="4" t="str">
        <f t="shared" si="55"/>
        <v>May</v>
      </c>
      <c r="I304" s="4" t="str">
        <f t="shared" si="56"/>
        <v>Q2-2024</v>
      </c>
      <c r="J304" s="4" t="str">
        <f t="shared" si="57"/>
        <v>2023-01</v>
      </c>
      <c r="K304" s="3">
        <f t="shared" si="58"/>
        <v>44939</v>
      </c>
      <c r="L304" t="s">
        <v>648</v>
      </c>
      <c r="M304" t="s">
        <v>660</v>
      </c>
      <c r="N304" t="s">
        <v>686</v>
      </c>
      <c r="O304" t="s">
        <v>705</v>
      </c>
      <c r="P304" t="s">
        <v>707</v>
      </c>
      <c r="Q304" t="s">
        <v>721</v>
      </c>
      <c r="R304">
        <f t="shared" si="59"/>
        <v>16</v>
      </c>
      <c r="S304" t="s">
        <v>730</v>
      </c>
      <c r="T304" t="s">
        <v>862</v>
      </c>
      <c r="U304" s="4">
        <v>157.78</v>
      </c>
      <c r="V304" s="4">
        <f>Table1[[#This Row],[UnitCost]]*(1+WhatIf!$B$3)</f>
        <v>165.66900000000001</v>
      </c>
      <c r="W304" s="4">
        <f t="shared" si="60"/>
        <v>1420.02</v>
      </c>
      <c r="X304" s="4">
        <f>Table1[[#This Row],[ScenarioRev]]-Table1[[#This Row],[ScenarioUnitCost]]</f>
        <v>2740.71657</v>
      </c>
      <c r="Y304" s="4">
        <v>361.1</v>
      </c>
      <c r="Z304" s="4">
        <f t="shared" si="61"/>
        <v>2642.1686999999997</v>
      </c>
      <c r="AA304" s="4">
        <f>Table1[[#This Row],[ScenarioQuanity]]*Table1[[#This Row],[UnitPrice]]*(1-Table1[[#This Row],[ScenarioDiscPct]])</f>
        <v>2906.3855699999999</v>
      </c>
      <c r="AB304" s="4">
        <f t="shared" si="62"/>
        <v>1222.1486999999997</v>
      </c>
      <c r="AC304" s="4">
        <f>Table1[[#This Row],[ScenarioRev]] - Table1[[#This Row],[ScenarioCostOfGoods]]</f>
        <v>165.66899999999987</v>
      </c>
      <c r="AD304" s="6">
        <v>0.187</v>
      </c>
      <c r="AE304" s="6">
        <f>MIN(Table1[[#This Row],[DiscountPct]], WhatIf!$B$2)</f>
        <v>0.187</v>
      </c>
      <c r="AF304" s="6">
        <f>IF(Table1[[#This Row],[DiscountPct]]&gt;0.2, 1, 0)</f>
        <v>0</v>
      </c>
      <c r="AG304" s="6" t="str">
        <f t="shared" si="63"/>
        <v>Low</v>
      </c>
      <c r="AH304" s="6">
        <f t="shared" si="64"/>
        <v>0.46255513510549112</v>
      </c>
      <c r="AI304" s="5">
        <v>9</v>
      </c>
      <c r="AJ304" s="6">
        <f>Table1[[#This Row],[Quantity]]*(1+WhatIf!$B$4)</f>
        <v>9.9</v>
      </c>
    </row>
    <row r="305" spans="1:36" x14ac:dyDescent="0.3">
      <c r="A305" t="s">
        <v>541</v>
      </c>
      <c r="B305" s="3">
        <v>44938</v>
      </c>
      <c r="C305" s="3">
        <v>44952</v>
      </c>
      <c r="D305" s="3">
        <f t="shared" si="53"/>
        <v>44952</v>
      </c>
      <c r="E305" s="4">
        <f t="shared" si="52"/>
        <v>14</v>
      </c>
      <c r="F305" s="4">
        <f t="shared" si="54"/>
        <v>14</v>
      </c>
      <c r="G305" s="4">
        <f>IF(Table1[[#This Row],[CorrectedLeadTimeDays]]&lt;=7, 1, 0)</f>
        <v>0</v>
      </c>
      <c r="H305" s="4" t="str">
        <f t="shared" si="55"/>
        <v>January</v>
      </c>
      <c r="I305" s="4" t="str">
        <f t="shared" si="56"/>
        <v>Q1-2023</v>
      </c>
      <c r="J305" s="4" t="str">
        <f t="shared" si="57"/>
        <v>2023-01</v>
      </c>
      <c r="K305" s="3">
        <f t="shared" si="58"/>
        <v>44938</v>
      </c>
      <c r="L305" t="s">
        <v>647</v>
      </c>
      <c r="M305" t="s">
        <v>659</v>
      </c>
      <c r="N305" t="s">
        <v>676</v>
      </c>
      <c r="O305" t="s">
        <v>703</v>
      </c>
      <c r="P305" t="s">
        <v>707</v>
      </c>
      <c r="Q305" t="s">
        <v>724</v>
      </c>
      <c r="R305">
        <f t="shared" si="59"/>
        <v>0</v>
      </c>
      <c r="S305" t="s">
        <v>728</v>
      </c>
      <c r="T305" t="s">
        <v>1260</v>
      </c>
      <c r="U305" s="4">
        <v>1083.0899999999999</v>
      </c>
      <c r="V305" s="4">
        <f>Table1[[#This Row],[UnitCost]]*(1+WhatIf!$B$3)</f>
        <v>1137.2445</v>
      </c>
      <c r="W305" s="4">
        <f t="shared" si="60"/>
        <v>8664.7199999999993</v>
      </c>
      <c r="X305" s="4">
        <f>Table1[[#This Row],[ScenarioRev]]-Table1[[#This Row],[ScenarioUnitCost]]</f>
        <v>11410.4115</v>
      </c>
      <c r="Y305" s="4">
        <v>1425.87</v>
      </c>
      <c r="Z305" s="4">
        <f t="shared" si="61"/>
        <v>11406.96</v>
      </c>
      <c r="AA305" s="4">
        <f>Table1[[#This Row],[ScenarioQuanity]]*Table1[[#This Row],[UnitPrice]]*(1-Table1[[#This Row],[ScenarioDiscPct]])</f>
        <v>12547.656000000001</v>
      </c>
      <c r="AB305" s="4">
        <f t="shared" si="62"/>
        <v>2742.24</v>
      </c>
      <c r="AC305" s="4">
        <f>Table1[[#This Row],[ScenarioRev]] - Table1[[#This Row],[ScenarioCostOfGoods]]</f>
        <v>1137.2445000000007</v>
      </c>
      <c r="AD305" s="6">
        <v>0</v>
      </c>
      <c r="AE305" s="6">
        <f>MIN(Table1[[#This Row],[DiscountPct]], WhatIf!$B$2)</f>
        <v>0</v>
      </c>
      <c r="AF305" s="6">
        <f>IF(Table1[[#This Row],[DiscountPct]]&gt;0.2, 1, 0)</f>
        <v>0</v>
      </c>
      <c r="AG305" s="6" t="str">
        <f t="shared" si="63"/>
        <v>High</v>
      </c>
      <c r="AH305" s="6">
        <f t="shared" si="64"/>
        <v>0.24040059752992909</v>
      </c>
      <c r="AI305" s="5">
        <v>8</v>
      </c>
      <c r="AJ305" s="6">
        <f>Table1[[#This Row],[Quantity]]*(1+WhatIf!$B$4)</f>
        <v>8.8000000000000007</v>
      </c>
    </row>
    <row r="306" spans="1:36" x14ac:dyDescent="0.3">
      <c r="A306" t="s">
        <v>139</v>
      </c>
      <c r="B306" s="3">
        <v>45159</v>
      </c>
      <c r="C306" s="3">
        <v>45173</v>
      </c>
      <c r="D306" s="3">
        <f t="shared" si="53"/>
        <v>45173</v>
      </c>
      <c r="E306" s="4">
        <f t="shared" si="52"/>
        <v>14</v>
      </c>
      <c r="F306" s="4">
        <f t="shared" si="54"/>
        <v>14</v>
      </c>
      <c r="G306" s="4">
        <f>IF(Table1[[#This Row],[CorrectedLeadTimeDays]]&lt;=7, 1, 0)</f>
        <v>0</v>
      </c>
      <c r="H306" s="4" t="str">
        <f t="shared" si="55"/>
        <v>August</v>
      </c>
      <c r="I306" s="4" t="str">
        <f t="shared" si="56"/>
        <v>Q3-2023</v>
      </c>
      <c r="J306" s="4" t="str">
        <f t="shared" si="57"/>
        <v>2023-01</v>
      </c>
      <c r="K306" s="3">
        <f t="shared" si="58"/>
        <v>44928</v>
      </c>
      <c r="L306" t="s">
        <v>648</v>
      </c>
      <c r="M306" t="s">
        <v>653</v>
      </c>
      <c r="N306" t="s">
        <v>681</v>
      </c>
      <c r="O306" t="s">
        <v>702</v>
      </c>
      <c r="P306" t="s">
        <v>710</v>
      </c>
      <c r="Q306" t="s">
        <v>721</v>
      </c>
      <c r="R306">
        <f t="shared" si="59"/>
        <v>7</v>
      </c>
      <c r="S306" t="s">
        <v>727</v>
      </c>
      <c r="T306" t="s">
        <v>858</v>
      </c>
      <c r="U306" s="4">
        <v>178.19</v>
      </c>
      <c r="V306" s="4">
        <f>Table1[[#This Row],[UnitCost]]*(1+WhatIf!$B$3)</f>
        <v>187.09950000000001</v>
      </c>
      <c r="W306" s="4">
        <f t="shared" si="60"/>
        <v>1425.52</v>
      </c>
      <c r="X306" s="4">
        <f>Table1[[#This Row],[ScenarioRev]]-Table1[[#This Row],[ScenarioUnitCost]]</f>
        <v>2093.1189240000008</v>
      </c>
      <c r="Y306" s="4">
        <v>284.43</v>
      </c>
      <c r="Z306" s="4">
        <f t="shared" si="61"/>
        <v>2072.9258400000003</v>
      </c>
      <c r="AA306" s="4">
        <f>Table1[[#This Row],[ScenarioQuanity]]*Table1[[#This Row],[UnitPrice]]*(1-Table1[[#This Row],[ScenarioDiscPct]])</f>
        <v>2280.2184240000006</v>
      </c>
      <c r="AB306" s="4">
        <f t="shared" si="62"/>
        <v>647.40584000000035</v>
      </c>
      <c r="AC306" s="4">
        <f>Table1[[#This Row],[ScenarioRev]] - Table1[[#This Row],[ScenarioCostOfGoods]]</f>
        <v>187.09949999999981</v>
      </c>
      <c r="AD306" s="6">
        <v>8.8999999999999996E-2</v>
      </c>
      <c r="AE306" s="6">
        <f>MIN(Table1[[#This Row],[DiscountPct]], WhatIf!$B$2)</f>
        <v>8.8999999999999996E-2</v>
      </c>
      <c r="AF306" s="6">
        <f>IF(Table1[[#This Row],[DiscountPct]]&gt;0.2, 1, 0)</f>
        <v>0</v>
      </c>
      <c r="AG306" s="6" t="str">
        <f t="shared" si="63"/>
        <v>Low</v>
      </c>
      <c r="AH306" s="6">
        <f t="shared" si="64"/>
        <v>0.31231500302972742</v>
      </c>
      <c r="AI306" s="5">
        <v>8</v>
      </c>
      <c r="AJ306" s="6">
        <f>Table1[[#This Row],[Quantity]]*(1+WhatIf!$B$4)</f>
        <v>8.8000000000000007</v>
      </c>
    </row>
    <row r="307" spans="1:36" x14ac:dyDescent="0.3">
      <c r="A307" t="s">
        <v>615</v>
      </c>
      <c r="B307" s="3">
        <v>45523</v>
      </c>
      <c r="C307" s="3">
        <v>45537</v>
      </c>
      <c r="D307" s="3">
        <f t="shared" si="53"/>
        <v>45537</v>
      </c>
      <c r="E307" s="4">
        <f t="shared" si="52"/>
        <v>14</v>
      </c>
      <c r="F307" s="4">
        <f t="shared" si="54"/>
        <v>14</v>
      </c>
      <c r="G307" s="4">
        <f>IF(Table1[[#This Row],[CorrectedLeadTimeDays]]&lt;=7, 1, 0)</f>
        <v>0</v>
      </c>
      <c r="H307" s="4" t="str">
        <f t="shared" si="55"/>
        <v>August</v>
      </c>
      <c r="I307" s="4" t="str">
        <f t="shared" si="56"/>
        <v>Q3-2024</v>
      </c>
      <c r="J307" s="4" t="str">
        <f t="shared" si="57"/>
        <v>2023-01</v>
      </c>
      <c r="K307" s="3">
        <f t="shared" si="58"/>
        <v>44928</v>
      </c>
      <c r="L307" t="s">
        <v>648</v>
      </c>
      <c r="M307" t="s">
        <v>653</v>
      </c>
      <c r="N307" t="s">
        <v>667</v>
      </c>
      <c r="O307" t="s">
        <v>704</v>
      </c>
      <c r="P307" t="s">
        <v>710</v>
      </c>
      <c r="Q307" t="s">
        <v>712</v>
      </c>
      <c r="R307">
        <f t="shared" si="59"/>
        <v>19</v>
      </c>
      <c r="S307" t="s">
        <v>728</v>
      </c>
      <c r="T307" t="s">
        <v>1333</v>
      </c>
      <c r="U307" s="4">
        <v>1337.01</v>
      </c>
      <c r="V307" s="4">
        <f>Table1[[#This Row],[UnitCost]]*(1+WhatIf!$B$3)</f>
        <v>1403.8605</v>
      </c>
      <c r="W307" s="4">
        <f t="shared" si="60"/>
        <v>9359.07</v>
      </c>
      <c r="X307" s="4">
        <f>Table1[[#This Row],[ScenarioRev]]-Table1[[#This Row],[ScenarioUnitCost]]</f>
        <v>6809.0765400000009</v>
      </c>
      <c r="Y307" s="4">
        <v>1269.78</v>
      </c>
      <c r="Z307" s="4">
        <f t="shared" si="61"/>
        <v>7466.3063999999986</v>
      </c>
      <c r="AA307" s="4">
        <f>Table1[[#This Row],[ScenarioQuanity]]*Table1[[#This Row],[UnitPrice]]*(1-Table1[[#This Row],[ScenarioDiscPct]])</f>
        <v>8212.9370400000007</v>
      </c>
      <c r="AB307" s="4">
        <f t="shared" si="62"/>
        <v>-1892.7636000000011</v>
      </c>
      <c r="AC307" s="4">
        <f>Table1[[#This Row],[ScenarioRev]] - Table1[[#This Row],[ScenarioCostOfGoods]]</f>
        <v>1403.8604999999998</v>
      </c>
      <c r="AD307" s="6">
        <v>0.16</v>
      </c>
      <c r="AE307" s="6">
        <f>MIN(Table1[[#This Row],[DiscountPct]], WhatIf!$B$2)</f>
        <v>0.16</v>
      </c>
      <c r="AF307" s="6">
        <f>IF(Table1[[#This Row],[DiscountPct]]&gt;0.2, 1, 0)</f>
        <v>0</v>
      </c>
      <c r="AG307" s="6" t="str">
        <f t="shared" si="63"/>
        <v>High</v>
      </c>
      <c r="AH307" s="6">
        <f t="shared" si="64"/>
        <v>-0.25350735672996244</v>
      </c>
      <c r="AI307" s="5">
        <v>7</v>
      </c>
      <c r="AJ307" s="6">
        <f>Table1[[#This Row],[Quantity]]*(1+WhatIf!$B$4)</f>
        <v>7.7000000000000011</v>
      </c>
    </row>
    <row r="308" spans="1:36" x14ac:dyDescent="0.3">
      <c r="A308" t="s">
        <v>382</v>
      </c>
      <c r="B308" s="3">
        <v>45194</v>
      </c>
      <c r="C308" s="3">
        <v>45208</v>
      </c>
      <c r="D308" s="3">
        <f t="shared" si="53"/>
        <v>45208</v>
      </c>
      <c r="E308" s="4">
        <f t="shared" si="52"/>
        <v>14</v>
      </c>
      <c r="F308" s="4">
        <f t="shared" si="54"/>
        <v>14</v>
      </c>
      <c r="G308" s="4">
        <f>IF(Table1[[#This Row],[CorrectedLeadTimeDays]]&lt;=7, 1, 0)</f>
        <v>0</v>
      </c>
      <c r="H308" s="4" t="str">
        <f t="shared" si="55"/>
        <v>September</v>
      </c>
      <c r="I308" s="4" t="str">
        <f t="shared" si="56"/>
        <v>Q3-2023</v>
      </c>
      <c r="J308" s="4" t="str">
        <f t="shared" si="57"/>
        <v>2023-01</v>
      </c>
      <c r="K308" s="3">
        <f t="shared" si="58"/>
        <v>44939</v>
      </c>
      <c r="L308" t="s">
        <v>648</v>
      </c>
      <c r="M308" t="s">
        <v>660</v>
      </c>
      <c r="N308" t="s">
        <v>700</v>
      </c>
      <c r="O308" t="s">
        <v>705</v>
      </c>
      <c r="P308" t="s">
        <v>709</v>
      </c>
      <c r="Q308" t="s">
        <v>713</v>
      </c>
      <c r="R308">
        <f t="shared" si="59"/>
        <v>8</v>
      </c>
      <c r="S308" t="s">
        <v>731</v>
      </c>
      <c r="T308" t="s">
        <v>1102</v>
      </c>
      <c r="U308" s="4">
        <v>1279.56</v>
      </c>
      <c r="V308" s="4">
        <f>Table1[[#This Row],[UnitCost]]*(1+WhatIf!$B$3)</f>
        <v>1343.538</v>
      </c>
      <c r="W308" s="4">
        <f t="shared" si="60"/>
        <v>6397.7999999999993</v>
      </c>
      <c r="X308" s="4">
        <f>Table1[[#This Row],[ScenarioRev]]-Table1[[#This Row],[ScenarioUnitCost]]</f>
        <v>13819.506600000001</v>
      </c>
      <c r="Y308" s="4">
        <v>3083.8</v>
      </c>
      <c r="Z308" s="4">
        <f t="shared" si="61"/>
        <v>13784.586000000001</v>
      </c>
      <c r="AA308" s="4">
        <f>Table1[[#This Row],[ScenarioQuanity]]*Table1[[#This Row],[UnitPrice]]*(1-Table1[[#This Row],[ScenarioDiscPct]])</f>
        <v>15163.044600000001</v>
      </c>
      <c r="AB308" s="4">
        <f t="shared" si="62"/>
        <v>7386.7860000000019</v>
      </c>
      <c r="AC308" s="4">
        <f>Table1[[#This Row],[ScenarioRev]] - Table1[[#This Row],[ScenarioCostOfGoods]]</f>
        <v>1343.5380000000005</v>
      </c>
      <c r="AD308" s="6">
        <v>0.106</v>
      </c>
      <c r="AE308" s="6">
        <f>MIN(Table1[[#This Row],[DiscountPct]], WhatIf!$B$2)</f>
        <v>0.106</v>
      </c>
      <c r="AF308" s="6">
        <f>IF(Table1[[#This Row],[DiscountPct]]&gt;0.2, 1, 0)</f>
        <v>0</v>
      </c>
      <c r="AG308" s="6" t="str">
        <f t="shared" si="63"/>
        <v>High</v>
      </c>
      <c r="AH308" s="6">
        <f t="shared" si="64"/>
        <v>0.53587289455047848</v>
      </c>
      <c r="AI308" s="5">
        <v>5</v>
      </c>
      <c r="AJ308" s="6">
        <f>Table1[[#This Row],[Quantity]]*(1+WhatIf!$B$4)</f>
        <v>5.5</v>
      </c>
    </row>
    <row r="309" spans="1:36" x14ac:dyDescent="0.3">
      <c r="A309" t="s">
        <v>40</v>
      </c>
      <c r="B309" s="3">
        <v>45473</v>
      </c>
      <c r="C309" s="3">
        <v>45487</v>
      </c>
      <c r="D309" s="3">
        <f t="shared" si="53"/>
        <v>45487</v>
      </c>
      <c r="E309" s="4">
        <f t="shared" si="52"/>
        <v>14</v>
      </c>
      <c r="F309" s="4">
        <f t="shared" si="54"/>
        <v>14</v>
      </c>
      <c r="G309" s="4">
        <f>IF(Table1[[#This Row],[CorrectedLeadTimeDays]]&lt;=7, 1, 0)</f>
        <v>0</v>
      </c>
      <c r="H309" s="4" t="str">
        <f t="shared" si="55"/>
        <v>June</v>
      </c>
      <c r="I309" s="4" t="str">
        <f t="shared" si="56"/>
        <v>Q2-2024</v>
      </c>
      <c r="J309" s="4" t="str">
        <f t="shared" si="57"/>
        <v>2023-01</v>
      </c>
      <c r="K309" s="3">
        <f t="shared" si="58"/>
        <v>44955</v>
      </c>
      <c r="L309" t="s">
        <v>648</v>
      </c>
      <c r="M309" t="s">
        <v>655</v>
      </c>
      <c r="N309" t="s">
        <v>672</v>
      </c>
      <c r="O309" t="s">
        <v>702</v>
      </c>
      <c r="P309" t="s">
        <v>707</v>
      </c>
      <c r="Q309" t="s">
        <v>712</v>
      </c>
      <c r="R309">
        <f t="shared" si="59"/>
        <v>17</v>
      </c>
      <c r="S309" t="s">
        <v>733</v>
      </c>
      <c r="T309" t="s">
        <v>759</v>
      </c>
      <c r="U309" s="4">
        <v>1491.85</v>
      </c>
      <c r="V309" s="4">
        <f>Table1[[#This Row],[UnitCost]]*(1+WhatIf!$B$3)</f>
        <v>1566.4424999999999</v>
      </c>
      <c r="W309" s="4">
        <f t="shared" si="60"/>
        <v>5967.4</v>
      </c>
      <c r="X309" s="4">
        <f>Table1[[#This Row],[ScenarioRev]]-Table1[[#This Row],[ScenarioUnitCost]]</f>
        <v>7889.4771159999991</v>
      </c>
      <c r="Y309" s="4">
        <v>2583.02</v>
      </c>
      <c r="Z309" s="4">
        <f t="shared" si="61"/>
        <v>8596.2905599999995</v>
      </c>
      <c r="AA309" s="4">
        <f>Table1[[#This Row],[ScenarioQuanity]]*Table1[[#This Row],[UnitPrice]]*(1-Table1[[#This Row],[ScenarioDiscPct]])</f>
        <v>9455.9196159999992</v>
      </c>
      <c r="AB309" s="4">
        <f t="shared" si="62"/>
        <v>2628.8905599999998</v>
      </c>
      <c r="AC309" s="4">
        <f>Table1[[#This Row],[ScenarioRev]] - Table1[[#This Row],[ScenarioCostOfGoods]]</f>
        <v>1566.4425000000001</v>
      </c>
      <c r="AD309" s="6">
        <v>0.16800000000000001</v>
      </c>
      <c r="AE309" s="6">
        <f>MIN(Table1[[#This Row],[DiscountPct]], WhatIf!$B$2)</f>
        <v>0.16800000000000001</v>
      </c>
      <c r="AF309" s="6">
        <f>IF(Table1[[#This Row],[DiscountPct]]&gt;0.2, 1, 0)</f>
        <v>0</v>
      </c>
      <c r="AG309" s="6" t="str">
        <f t="shared" si="63"/>
        <v>High</v>
      </c>
      <c r="AH309" s="6">
        <f t="shared" si="64"/>
        <v>0.30581685689321325</v>
      </c>
      <c r="AI309" s="5">
        <v>4</v>
      </c>
      <c r="AJ309" s="6">
        <f>Table1[[#This Row],[Quantity]]*(1+WhatIf!$B$4)</f>
        <v>4.4000000000000004</v>
      </c>
    </row>
    <row r="310" spans="1:36" x14ac:dyDescent="0.3">
      <c r="A310" t="s">
        <v>290</v>
      </c>
      <c r="B310" s="3">
        <v>45378</v>
      </c>
      <c r="C310" s="3">
        <v>45393</v>
      </c>
      <c r="D310" s="3">
        <f t="shared" si="53"/>
        <v>45393</v>
      </c>
      <c r="E310" s="4">
        <f t="shared" si="52"/>
        <v>15</v>
      </c>
      <c r="F310" s="4">
        <f t="shared" si="54"/>
        <v>15</v>
      </c>
      <c r="G310" s="4">
        <f>IF(Table1[[#This Row],[CorrectedLeadTimeDays]]&lt;=7, 1, 0)</f>
        <v>0</v>
      </c>
      <c r="H310" s="4" t="str">
        <f t="shared" si="55"/>
        <v>March</v>
      </c>
      <c r="I310" s="4" t="str">
        <f t="shared" si="56"/>
        <v>Q1-2024</v>
      </c>
      <c r="J310" s="4" t="str">
        <f t="shared" si="57"/>
        <v>2023-01</v>
      </c>
      <c r="K310" s="3">
        <f t="shared" si="58"/>
        <v>44939</v>
      </c>
      <c r="L310" t="s">
        <v>648</v>
      </c>
      <c r="M310" t="s">
        <v>660</v>
      </c>
      <c r="N310" t="s">
        <v>686</v>
      </c>
      <c r="O310" t="s">
        <v>705</v>
      </c>
      <c r="P310" t="s">
        <v>711</v>
      </c>
      <c r="Q310" t="s">
        <v>719</v>
      </c>
      <c r="R310">
        <f t="shared" si="59"/>
        <v>14</v>
      </c>
      <c r="S310" t="s">
        <v>729</v>
      </c>
      <c r="T310" t="s">
        <v>1010</v>
      </c>
      <c r="U310" s="4">
        <v>1338.35</v>
      </c>
      <c r="V310" s="4">
        <f>Table1[[#This Row],[UnitCost]]*(1+WhatIf!$B$3)</f>
        <v>1405.2674999999999</v>
      </c>
      <c r="W310" s="4">
        <f t="shared" si="60"/>
        <v>53534</v>
      </c>
      <c r="X310" s="4">
        <f>Table1[[#This Row],[ScenarioRev]]-Table1[[#This Row],[ScenarioUnitCost]]</f>
        <v>86098.364099999992</v>
      </c>
      <c r="Y310" s="4">
        <v>2247.14</v>
      </c>
      <c r="Z310" s="4">
        <f t="shared" si="61"/>
        <v>79548.755999999994</v>
      </c>
      <c r="AA310" s="4">
        <f>Table1[[#This Row],[ScenarioQuanity]]*Table1[[#This Row],[UnitPrice]]*(1-Table1[[#This Row],[ScenarioDiscPct]])</f>
        <v>87503.631599999993</v>
      </c>
      <c r="AB310" s="4">
        <f t="shared" si="62"/>
        <v>26014.755999999994</v>
      </c>
      <c r="AC310" s="4">
        <f>Table1[[#This Row],[ScenarioRev]] - Table1[[#This Row],[ScenarioCostOfGoods]]</f>
        <v>1405.2675000000017</v>
      </c>
      <c r="AD310" s="6">
        <v>0.115</v>
      </c>
      <c r="AE310" s="6">
        <f>MIN(Table1[[#This Row],[DiscountPct]], WhatIf!$B$2)</f>
        <v>0.115</v>
      </c>
      <c r="AF310" s="6">
        <f>IF(Table1[[#This Row],[DiscountPct]]&gt;0.2, 1, 0)</f>
        <v>0</v>
      </c>
      <c r="AG310" s="6" t="str">
        <f t="shared" si="63"/>
        <v>High</v>
      </c>
      <c r="AH310" s="6">
        <f t="shared" si="64"/>
        <v>0.32702907384246205</v>
      </c>
      <c r="AI310" s="5">
        <v>40</v>
      </c>
      <c r="AJ310" s="6">
        <f>Table1[[#This Row],[Quantity]]*(1+WhatIf!$B$4)</f>
        <v>44</v>
      </c>
    </row>
    <row r="311" spans="1:36" x14ac:dyDescent="0.3">
      <c r="A311" t="s">
        <v>581</v>
      </c>
      <c r="B311" s="3">
        <v>45834</v>
      </c>
      <c r="C311" s="3">
        <v>45849</v>
      </c>
      <c r="D311" s="3">
        <f t="shared" si="53"/>
        <v>45849</v>
      </c>
      <c r="E311" s="4">
        <f t="shared" si="52"/>
        <v>15</v>
      </c>
      <c r="F311" s="4">
        <f t="shared" si="54"/>
        <v>15</v>
      </c>
      <c r="G311" s="4">
        <f>IF(Table1[[#This Row],[CorrectedLeadTimeDays]]&lt;=7, 1, 0)</f>
        <v>0</v>
      </c>
      <c r="H311" s="4" t="str">
        <f t="shared" si="55"/>
        <v>June</v>
      </c>
      <c r="I311" s="4" t="str">
        <f t="shared" si="56"/>
        <v>Q2-2025</v>
      </c>
      <c r="J311" s="4" t="str">
        <f t="shared" si="57"/>
        <v>2023-01</v>
      </c>
      <c r="K311" s="3">
        <f t="shared" si="58"/>
        <v>44941</v>
      </c>
      <c r="L311" t="s">
        <v>646</v>
      </c>
      <c r="M311" t="s">
        <v>651</v>
      </c>
      <c r="N311" t="s">
        <v>663</v>
      </c>
      <c r="O311" t="s">
        <v>705</v>
      </c>
      <c r="P311" t="s">
        <v>708</v>
      </c>
      <c r="Q311" t="s">
        <v>720</v>
      </c>
      <c r="R311">
        <f t="shared" si="59"/>
        <v>29</v>
      </c>
      <c r="S311" t="s">
        <v>731</v>
      </c>
      <c r="T311" t="s">
        <v>1299</v>
      </c>
      <c r="U311" s="4">
        <v>1170.1500000000001</v>
      </c>
      <c r="V311" s="4">
        <f>Table1[[#This Row],[UnitCost]]*(1+WhatIf!$B$3)</f>
        <v>1228.6575000000003</v>
      </c>
      <c r="W311" s="4">
        <f t="shared" si="60"/>
        <v>26913.45</v>
      </c>
      <c r="X311" s="4">
        <f>Table1[[#This Row],[ScenarioRev]]-Table1[[#This Row],[ScenarioUnitCost]]</f>
        <v>47362.333255999998</v>
      </c>
      <c r="Y311" s="4">
        <v>2115.19</v>
      </c>
      <c r="Z311" s="4">
        <f t="shared" si="61"/>
        <v>44173.627960000005</v>
      </c>
      <c r="AA311" s="4">
        <f>Table1[[#This Row],[ScenarioQuanity]]*Table1[[#This Row],[UnitPrice]]*(1-Table1[[#This Row],[ScenarioDiscPct]])</f>
        <v>48590.990755999999</v>
      </c>
      <c r="AB311" s="4">
        <f t="shared" si="62"/>
        <v>17260.177960000005</v>
      </c>
      <c r="AC311" s="4">
        <f>Table1[[#This Row],[ScenarioRev]] - Table1[[#This Row],[ScenarioCostOfGoods]]</f>
        <v>1228.6575000000012</v>
      </c>
      <c r="AD311" s="6">
        <v>9.1999999999999998E-2</v>
      </c>
      <c r="AE311" s="6">
        <f>MIN(Table1[[#This Row],[DiscountPct]], WhatIf!$B$2)</f>
        <v>9.1999999999999998E-2</v>
      </c>
      <c r="AF311" s="6">
        <f>IF(Table1[[#This Row],[DiscountPct]]&gt;0.2, 1, 0)</f>
        <v>0</v>
      </c>
      <c r="AG311" s="6" t="str">
        <f t="shared" si="63"/>
        <v>High</v>
      </c>
      <c r="AH311" s="6">
        <f t="shared" si="64"/>
        <v>0.39073489674946776</v>
      </c>
      <c r="AI311" s="5">
        <v>23</v>
      </c>
      <c r="AJ311" s="6">
        <f>Table1[[#This Row],[Quantity]]*(1+WhatIf!$B$4)</f>
        <v>25.3</v>
      </c>
    </row>
    <row r="312" spans="1:36" x14ac:dyDescent="0.3">
      <c r="A312" t="s">
        <v>467</v>
      </c>
      <c r="B312" s="3">
        <v>45817</v>
      </c>
      <c r="C312" s="3">
        <v>45832</v>
      </c>
      <c r="D312" s="3">
        <f t="shared" si="53"/>
        <v>45832</v>
      </c>
      <c r="E312" s="4">
        <f t="shared" si="52"/>
        <v>15</v>
      </c>
      <c r="F312" s="4">
        <f t="shared" si="54"/>
        <v>15</v>
      </c>
      <c r="G312" s="4">
        <f>IF(Table1[[#This Row],[CorrectedLeadTimeDays]]&lt;=7, 1, 0)</f>
        <v>0</v>
      </c>
      <c r="H312" s="4" t="str">
        <f t="shared" si="55"/>
        <v>June</v>
      </c>
      <c r="I312" s="4" t="str">
        <f t="shared" si="56"/>
        <v>Q2-2025</v>
      </c>
      <c r="J312" s="4" t="str">
        <f t="shared" si="57"/>
        <v>2023-03</v>
      </c>
      <c r="K312" s="3">
        <f t="shared" si="58"/>
        <v>44988</v>
      </c>
      <c r="L312" t="s">
        <v>647</v>
      </c>
      <c r="M312" t="s">
        <v>652</v>
      </c>
      <c r="N312" t="s">
        <v>694</v>
      </c>
      <c r="O312" t="s">
        <v>701</v>
      </c>
      <c r="P312" t="s">
        <v>711</v>
      </c>
      <c r="Q312" t="s">
        <v>717</v>
      </c>
      <c r="R312">
        <f t="shared" si="59"/>
        <v>27</v>
      </c>
      <c r="S312" t="s">
        <v>730</v>
      </c>
      <c r="T312" t="s">
        <v>1186</v>
      </c>
      <c r="U312" s="4">
        <v>400.39</v>
      </c>
      <c r="V312" s="4">
        <f>Table1[[#This Row],[UnitCost]]*(1+WhatIf!$B$3)</f>
        <v>420.40949999999998</v>
      </c>
      <c r="W312" s="4">
        <f t="shared" si="60"/>
        <v>7607.41</v>
      </c>
      <c r="X312" s="4">
        <f>Table1[[#This Row],[ScenarioRev]]-Table1[[#This Row],[ScenarioUnitCost]]</f>
        <v>12762.970875000003</v>
      </c>
      <c r="Y312" s="4">
        <v>712.75</v>
      </c>
      <c r="Z312" s="4">
        <f t="shared" si="61"/>
        <v>11984.891250000001</v>
      </c>
      <c r="AA312" s="4">
        <f>Table1[[#This Row],[ScenarioQuanity]]*Table1[[#This Row],[UnitPrice]]*(1-Table1[[#This Row],[ScenarioDiscPct]])</f>
        <v>13183.380375000002</v>
      </c>
      <c r="AB312" s="4">
        <f t="shared" si="62"/>
        <v>4377.4812500000007</v>
      </c>
      <c r="AC312" s="4">
        <f>Table1[[#This Row],[ScenarioRev]] - Table1[[#This Row],[ScenarioCostOfGoods]]</f>
        <v>420.40949999999975</v>
      </c>
      <c r="AD312" s="6">
        <v>0.115</v>
      </c>
      <c r="AE312" s="6">
        <f>MIN(Table1[[#This Row],[DiscountPct]], WhatIf!$B$2)</f>
        <v>0.115</v>
      </c>
      <c r="AF312" s="6">
        <f>IF(Table1[[#This Row],[DiscountPct]]&gt;0.2, 1, 0)</f>
        <v>0</v>
      </c>
      <c r="AG312" s="6" t="str">
        <f t="shared" si="63"/>
        <v>Low</v>
      </c>
      <c r="AH312" s="6">
        <f t="shared" si="64"/>
        <v>0.36524997671547504</v>
      </c>
      <c r="AI312" s="5">
        <v>19</v>
      </c>
      <c r="AJ312" s="6">
        <f>Table1[[#This Row],[Quantity]]*(1+WhatIf!$B$4)</f>
        <v>20.900000000000002</v>
      </c>
    </row>
    <row r="313" spans="1:36" x14ac:dyDescent="0.3">
      <c r="A313" t="s">
        <v>168</v>
      </c>
      <c r="B313" s="3">
        <v>45340</v>
      </c>
      <c r="C313" s="3">
        <v>45355</v>
      </c>
      <c r="D313" s="3">
        <f t="shared" si="53"/>
        <v>45355</v>
      </c>
      <c r="E313" s="4">
        <f t="shared" si="52"/>
        <v>15</v>
      </c>
      <c r="F313" s="4">
        <f t="shared" si="54"/>
        <v>15</v>
      </c>
      <c r="G313" s="4">
        <f>IF(Table1[[#This Row],[CorrectedLeadTimeDays]]&lt;=7, 1, 0)</f>
        <v>0</v>
      </c>
      <c r="H313" s="4" t="str">
        <f t="shared" si="55"/>
        <v>February</v>
      </c>
      <c r="I313" s="4" t="str">
        <f t="shared" si="56"/>
        <v>Q1-2024</v>
      </c>
      <c r="J313" s="4" t="str">
        <f t="shared" si="57"/>
        <v>2023-01</v>
      </c>
      <c r="K313" s="3">
        <f t="shared" si="58"/>
        <v>44946</v>
      </c>
      <c r="L313" t="s">
        <v>646</v>
      </c>
      <c r="M313" t="s">
        <v>650</v>
      </c>
      <c r="N313" t="s">
        <v>662</v>
      </c>
      <c r="O313" t="s">
        <v>702</v>
      </c>
      <c r="P313" t="s">
        <v>711</v>
      </c>
      <c r="Q313" t="s">
        <v>723</v>
      </c>
      <c r="R313">
        <f t="shared" si="59"/>
        <v>12</v>
      </c>
      <c r="S313" t="s">
        <v>728</v>
      </c>
      <c r="T313" t="s">
        <v>887</v>
      </c>
      <c r="U313" s="4">
        <v>928.68</v>
      </c>
      <c r="V313" s="4">
        <f>Table1[[#This Row],[UnitCost]]*(1+WhatIf!$B$3)</f>
        <v>975.11400000000003</v>
      </c>
      <c r="W313" s="4">
        <f t="shared" si="60"/>
        <v>14858.88</v>
      </c>
      <c r="X313" s="4">
        <f>Table1[[#This Row],[ScenarioRev]]-Table1[[#This Row],[ScenarioUnitCost]]</f>
        <v>31645.199088000005</v>
      </c>
      <c r="Y313" s="4">
        <v>2145.17</v>
      </c>
      <c r="Z313" s="4">
        <f t="shared" si="61"/>
        <v>29654.83008</v>
      </c>
      <c r="AA313" s="4">
        <f>Table1[[#This Row],[ScenarioQuanity]]*Table1[[#This Row],[UnitPrice]]*(1-Table1[[#This Row],[ScenarioDiscPct]])</f>
        <v>32620.313088000006</v>
      </c>
      <c r="AB313" s="4">
        <f t="shared" si="62"/>
        <v>14795.950080000001</v>
      </c>
      <c r="AC313" s="4">
        <f>Table1[[#This Row],[ScenarioRev]] - Table1[[#This Row],[ScenarioCostOfGoods]]</f>
        <v>975.1140000000014</v>
      </c>
      <c r="AD313" s="6">
        <v>0.13600000000000001</v>
      </c>
      <c r="AE313" s="6">
        <f>MIN(Table1[[#This Row],[DiscountPct]], WhatIf!$B$2)</f>
        <v>0.13600000000000001</v>
      </c>
      <c r="AF313" s="6">
        <f>IF(Table1[[#This Row],[DiscountPct]]&gt;0.2, 1, 0)</f>
        <v>0</v>
      </c>
      <c r="AG313" s="6" t="str">
        <f t="shared" si="63"/>
        <v>High</v>
      </c>
      <c r="AH313" s="6">
        <f t="shared" si="64"/>
        <v>0.49893896003062177</v>
      </c>
      <c r="AI313" s="5">
        <v>16</v>
      </c>
      <c r="AJ313" s="6">
        <f>Table1[[#This Row],[Quantity]]*(1+WhatIf!$B$4)</f>
        <v>17.600000000000001</v>
      </c>
    </row>
    <row r="314" spans="1:36" x14ac:dyDescent="0.3">
      <c r="A314" t="s">
        <v>619</v>
      </c>
      <c r="B314" s="3">
        <v>45186</v>
      </c>
      <c r="C314" s="3">
        <v>45201</v>
      </c>
      <c r="D314" s="3">
        <f t="shared" si="53"/>
        <v>45201</v>
      </c>
      <c r="E314" s="4">
        <f t="shared" si="52"/>
        <v>15</v>
      </c>
      <c r="F314" s="4">
        <f t="shared" si="54"/>
        <v>15</v>
      </c>
      <c r="G314" s="4">
        <f>IF(Table1[[#This Row],[CorrectedLeadTimeDays]]&lt;=7, 1, 0)</f>
        <v>0</v>
      </c>
      <c r="H314" s="4" t="str">
        <f t="shared" si="55"/>
        <v>September</v>
      </c>
      <c r="I314" s="4" t="str">
        <f t="shared" si="56"/>
        <v>Q3-2023</v>
      </c>
      <c r="J314" s="4" t="str">
        <f t="shared" si="57"/>
        <v>2023-01</v>
      </c>
      <c r="K314" s="3">
        <f t="shared" si="58"/>
        <v>44955</v>
      </c>
      <c r="L314" t="s">
        <v>648</v>
      </c>
      <c r="M314" t="s">
        <v>655</v>
      </c>
      <c r="N314" t="s">
        <v>692</v>
      </c>
      <c r="O314" t="s">
        <v>705</v>
      </c>
      <c r="P314" t="s">
        <v>707</v>
      </c>
      <c r="Q314" t="s">
        <v>717</v>
      </c>
      <c r="R314">
        <f t="shared" si="59"/>
        <v>7</v>
      </c>
      <c r="S314" t="s">
        <v>731</v>
      </c>
      <c r="T314" t="s">
        <v>1337</v>
      </c>
      <c r="U314" s="4">
        <v>689.33</v>
      </c>
      <c r="V314" s="4">
        <f>Table1[[#This Row],[UnitCost]]*(1+WhatIf!$B$3)</f>
        <v>723.79650000000004</v>
      </c>
      <c r="W314" s="4">
        <f t="shared" si="60"/>
        <v>8961.2900000000009</v>
      </c>
      <c r="X314" s="4">
        <f>Table1[[#This Row],[ScenarioRev]]-Table1[[#This Row],[ScenarioUnitCost]]</f>
        <v>7054.9999540000008</v>
      </c>
      <c r="Y314" s="4">
        <v>668.27</v>
      </c>
      <c r="Z314" s="4">
        <f t="shared" si="61"/>
        <v>7071.6331400000008</v>
      </c>
      <c r="AA314" s="4">
        <f>Table1[[#This Row],[ScenarioQuanity]]*Table1[[#This Row],[UnitPrice]]*(1-Table1[[#This Row],[ScenarioDiscPct]])</f>
        <v>7778.7964540000012</v>
      </c>
      <c r="AB314" s="4">
        <f t="shared" si="62"/>
        <v>-1889.6568600000001</v>
      </c>
      <c r="AC314" s="4">
        <f>Table1[[#This Row],[ScenarioRev]] - Table1[[#This Row],[ScenarioCostOfGoods]]</f>
        <v>723.79650000000038</v>
      </c>
      <c r="AD314" s="6">
        <v>0.186</v>
      </c>
      <c r="AE314" s="6">
        <f>MIN(Table1[[#This Row],[DiscountPct]], WhatIf!$B$2)</f>
        <v>0.186</v>
      </c>
      <c r="AF314" s="6">
        <f>IF(Table1[[#This Row],[DiscountPct]]&gt;0.2, 1, 0)</f>
        <v>0</v>
      </c>
      <c r="AG314" s="6" t="str">
        <f t="shared" si="63"/>
        <v>Low</v>
      </c>
      <c r="AH314" s="6">
        <f t="shared" si="64"/>
        <v>-0.26721647214861033</v>
      </c>
      <c r="AI314" s="5">
        <v>13</v>
      </c>
      <c r="AJ314" s="6">
        <f>Table1[[#This Row],[Quantity]]*(1+WhatIf!$B$4)</f>
        <v>14.3</v>
      </c>
    </row>
    <row r="315" spans="1:36" x14ac:dyDescent="0.3">
      <c r="A315" t="s">
        <v>82</v>
      </c>
      <c r="B315" s="3">
        <v>45434</v>
      </c>
      <c r="C315" s="3">
        <v>45449</v>
      </c>
      <c r="D315" s="3">
        <f t="shared" si="53"/>
        <v>45449</v>
      </c>
      <c r="E315" s="4">
        <f t="shared" si="52"/>
        <v>15</v>
      </c>
      <c r="F315" s="4">
        <f t="shared" si="54"/>
        <v>15</v>
      </c>
      <c r="G315" s="4">
        <f>IF(Table1[[#This Row],[CorrectedLeadTimeDays]]&lt;=7, 1, 0)</f>
        <v>0</v>
      </c>
      <c r="H315" s="4" t="str">
        <f t="shared" si="55"/>
        <v>May</v>
      </c>
      <c r="I315" s="4" t="str">
        <f t="shared" si="56"/>
        <v>Q2-2024</v>
      </c>
      <c r="J315" s="4" t="str">
        <f t="shared" si="57"/>
        <v>2023-03</v>
      </c>
      <c r="K315" s="3">
        <f t="shared" si="58"/>
        <v>44988</v>
      </c>
      <c r="L315" t="s">
        <v>647</v>
      </c>
      <c r="M315" t="s">
        <v>652</v>
      </c>
      <c r="N315" t="s">
        <v>694</v>
      </c>
      <c r="O315" t="s">
        <v>701</v>
      </c>
      <c r="P315" t="s">
        <v>710</v>
      </c>
      <c r="Q315" t="s">
        <v>712</v>
      </c>
      <c r="R315">
        <f t="shared" si="59"/>
        <v>14</v>
      </c>
      <c r="S315" t="s">
        <v>732</v>
      </c>
      <c r="T315" t="s">
        <v>801</v>
      </c>
      <c r="U315" s="4">
        <v>673.88</v>
      </c>
      <c r="V315" s="4">
        <f>Table1[[#This Row],[UnitCost]]*(1+WhatIf!$B$3)</f>
        <v>707.57400000000007</v>
      </c>
      <c r="W315" s="4">
        <f t="shared" si="60"/>
        <v>8760.44</v>
      </c>
      <c r="X315" s="4">
        <f>Table1[[#This Row],[ScenarioRev]]-Table1[[#This Row],[ScenarioUnitCost]]</f>
        <v>15009.111985000001</v>
      </c>
      <c r="Y315" s="4">
        <v>1228.01</v>
      </c>
      <c r="Z315" s="4">
        <f t="shared" si="61"/>
        <v>14287.896349999999</v>
      </c>
      <c r="AA315" s="4">
        <f>Table1[[#This Row],[ScenarioQuanity]]*Table1[[#This Row],[UnitPrice]]*(1-Table1[[#This Row],[ScenarioDiscPct]])</f>
        <v>15716.685985000002</v>
      </c>
      <c r="AB315" s="4">
        <f t="shared" si="62"/>
        <v>5527.4563499999986</v>
      </c>
      <c r="AC315" s="4">
        <f>Table1[[#This Row],[ScenarioRev]] - Table1[[#This Row],[ScenarioCostOfGoods]]</f>
        <v>707.57400000000052</v>
      </c>
      <c r="AD315" s="6">
        <v>0.105</v>
      </c>
      <c r="AE315" s="6">
        <f>MIN(Table1[[#This Row],[DiscountPct]], WhatIf!$B$2)</f>
        <v>0.105</v>
      </c>
      <c r="AF315" s="6">
        <f>IF(Table1[[#This Row],[DiscountPct]]&gt;0.2, 1, 0)</f>
        <v>0</v>
      </c>
      <c r="AG315" s="6" t="str">
        <f t="shared" si="63"/>
        <v>High</v>
      </c>
      <c r="AH315" s="6">
        <f t="shared" si="64"/>
        <v>0.38686285332689996</v>
      </c>
      <c r="AI315" s="5">
        <v>13</v>
      </c>
      <c r="AJ315" s="6">
        <f>Table1[[#This Row],[Quantity]]*(1+WhatIf!$B$4)</f>
        <v>14.3</v>
      </c>
    </row>
    <row r="316" spans="1:36" x14ac:dyDescent="0.3">
      <c r="A316" t="s">
        <v>375</v>
      </c>
      <c r="B316" s="3">
        <v>45833</v>
      </c>
      <c r="C316" s="3">
        <v>45848</v>
      </c>
      <c r="D316" s="3">
        <f t="shared" si="53"/>
        <v>45848</v>
      </c>
      <c r="E316" s="4">
        <f t="shared" si="52"/>
        <v>15</v>
      </c>
      <c r="F316" s="4">
        <f t="shared" si="54"/>
        <v>15</v>
      </c>
      <c r="G316" s="4">
        <f>IF(Table1[[#This Row],[CorrectedLeadTimeDays]]&lt;=7, 1, 0)</f>
        <v>0</v>
      </c>
      <c r="H316" s="4" t="str">
        <f t="shared" si="55"/>
        <v>June</v>
      </c>
      <c r="I316" s="4" t="str">
        <f t="shared" si="56"/>
        <v>Q2-2025</v>
      </c>
      <c r="J316" s="4" t="str">
        <f t="shared" si="57"/>
        <v>2023-01</v>
      </c>
      <c r="K316" s="3">
        <f t="shared" si="58"/>
        <v>44945</v>
      </c>
      <c r="L316" t="s">
        <v>649</v>
      </c>
      <c r="M316" t="s">
        <v>658</v>
      </c>
      <c r="N316" t="s">
        <v>674</v>
      </c>
      <c r="O316" t="s">
        <v>703</v>
      </c>
      <c r="P316" t="s">
        <v>709</v>
      </c>
      <c r="Q316" t="s">
        <v>726</v>
      </c>
      <c r="R316">
        <f t="shared" si="59"/>
        <v>29</v>
      </c>
      <c r="S316" t="s">
        <v>730</v>
      </c>
      <c r="T316" t="s">
        <v>1095</v>
      </c>
      <c r="U316" s="4">
        <v>546.83000000000004</v>
      </c>
      <c r="V316" s="4">
        <f>Table1[[#This Row],[UnitCost]]*(1+WhatIf!$B$3)</f>
        <v>574.17150000000004</v>
      </c>
      <c r="W316" s="4">
        <f t="shared" si="60"/>
        <v>7108.7900000000009</v>
      </c>
      <c r="X316" s="4">
        <f>Table1[[#This Row],[ScenarioRev]]-Table1[[#This Row],[ScenarioUnitCost]]</f>
        <v>4710.7435639999994</v>
      </c>
      <c r="Y316" s="4">
        <v>400.84</v>
      </c>
      <c r="Z316" s="4">
        <f t="shared" si="61"/>
        <v>4804.4682400000002</v>
      </c>
      <c r="AA316" s="4">
        <f>Table1[[#This Row],[ScenarioQuanity]]*Table1[[#This Row],[UnitPrice]]*(1-Table1[[#This Row],[ScenarioDiscPct]])</f>
        <v>5284.9150639999998</v>
      </c>
      <c r="AB316" s="4">
        <f t="shared" si="62"/>
        <v>-2304.3217600000007</v>
      </c>
      <c r="AC316" s="4">
        <f>Table1[[#This Row],[ScenarioRev]] - Table1[[#This Row],[ScenarioCostOfGoods]]</f>
        <v>574.17150000000038</v>
      </c>
      <c r="AD316" s="6">
        <v>7.8E-2</v>
      </c>
      <c r="AE316" s="6">
        <f>MIN(Table1[[#This Row],[DiscountPct]], WhatIf!$B$2)</f>
        <v>7.8E-2</v>
      </c>
      <c r="AF316" s="6">
        <f>IF(Table1[[#This Row],[DiscountPct]]&gt;0.2, 1, 0)</f>
        <v>0</v>
      </c>
      <c r="AG316" s="6" t="str">
        <f t="shared" si="63"/>
        <v>Low</v>
      </c>
      <c r="AH316" s="6">
        <f t="shared" si="64"/>
        <v>-0.47962056254533608</v>
      </c>
      <c r="AI316" s="5">
        <v>13</v>
      </c>
      <c r="AJ316" s="6">
        <f>Table1[[#This Row],[Quantity]]*(1+WhatIf!$B$4)</f>
        <v>14.3</v>
      </c>
    </row>
    <row r="317" spans="1:36" x14ac:dyDescent="0.3">
      <c r="A317" t="s">
        <v>466</v>
      </c>
      <c r="B317" s="3">
        <v>45413</v>
      </c>
      <c r="C317" s="3">
        <v>45428</v>
      </c>
      <c r="D317" s="3">
        <f t="shared" si="53"/>
        <v>45428</v>
      </c>
      <c r="E317" s="4">
        <f t="shared" si="52"/>
        <v>15</v>
      </c>
      <c r="F317" s="4">
        <f t="shared" si="54"/>
        <v>15</v>
      </c>
      <c r="G317" s="4">
        <f>IF(Table1[[#This Row],[CorrectedLeadTimeDays]]&lt;=7, 1, 0)</f>
        <v>0</v>
      </c>
      <c r="H317" s="4" t="str">
        <f t="shared" si="55"/>
        <v>May</v>
      </c>
      <c r="I317" s="4" t="str">
        <f t="shared" si="56"/>
        <v>Q2-2024</v>
      </c>
      <c r="J317" s="4" t="str">
        <f t="shared" si="57"/>
        <v>2023-01</v>
      </c>
      <c r="K317" s="3">
        <f t="shared" si="58"/>
        <v>44955</v>
      </c>
      <c r="L317" t="s">
        <v>647</v>
      </c>
      <c r="M317" t="s">
        <v>654</v>
      </c>
      <c r="N317" t="s">
        <v>668</v>
      </c>
      <c r="O317" t="s">
        <v>705</v>
      </c>
      <c r="P317" t="s">
        <v>707</v>
      </c>
      <c r="Q317" t="s">
        <v>716</v>
      </c>
      <c r="R317">
        <f t="shared" si="59"/>
        <v>15</v>
      </c>
      <c r="S317" t="s">
        <v>727</v>
      </c>
      <c r="T317" t="s">
        <v>1185</v>
      </c>
      <c r="U317" s="4">
        <v>901.19</v>
      </c>
      <c r="V317" s="4">
        <f>Table1[[#This Row],[UnitCost]]*(1+WhatIf!$B$3)</f>
        <v>946.24950000000013</v>
      </c>
      <c r="W317" s="4">
        <f t="shared" si="60"/>
        <v>10814.28</v>
      </c>
      <c r="X317" s="4">
        <f>Table1[[#This Row],[ScenarioRev]]-Table1[[#This Row],[ScenarioUnitCost]]</f>
        <v>25117.596132000002</v>
      </c>
      <c r="Y317" s="4">
        <v>2125.44</v>
      </c>
      <c r="Z317" s="4">
        <f t="shared" si="61"/>
        <v>23694.405119999999</v>
      </c>
      <c r="AA317" s="4">
        <f>Table1[[#This Row],[ScenarioQuanity]]*Table1[[#This Row],[UnitPrice]]*(1-Table1[[#This Row],[ScenarioDiscPct]])</f>
        <v>26063.845632000004</v>
      </c>
      <c r="AB317" s="4">
        <f t="shared" si="62"/>
        <v>12880.125119999999</v>
      </c>
      <c r="AC317" s="4">
        <f>Table1[[#This Row],[ScenarioRev]] - Table1[[#This Row],[ScenarioCostOfGoods]]</f>
        <v>946.24950000000172</v>
      </c>
      <c r="AD317" s="6">
        <v>7.0999999999999994E-2</v>
      </c>
      <c r="AE317" s="6">
        <f>MIN(Table1[[#This Row],[DiscountPct]], WhatIf!$B$2)</f>
        <v>7.0999999999999994E-2</v>
      </c>
      <c r="AF317" s="6">
        <f>IF(Table1[[#This Row],[DiscountPct]]&gt;0.2, 1, 0)</f>
        <v>0</v>
      </c>
      <c r="AG317" s="6" t="str">
        <f t="shared" si="63"/>
        <v>High</v>
      </c>
      <c r="AH317" s="6">
        <f t="shared" si="64"/>
        <v>0.54359352154100415</v>
      </c>
      <c r="AI317" s="5">
        <v>12</v>
      </c>
      <c r="AJ317" s="6">
        <f>Table1[[#This Row],[Quantity]]*(1+WhatIf!$B$4)</f>
        <v>13.200000000000001</v>
      </c>
    </row>
    <row r="318" spans="1:36" x14ac:dyDescent="0.3">
      <c r="A318" t="s">
        <v>404</v>
      </c>
      <c r="B318" s="3">
        <v>45823</v>
      </c>
      <c r="C318" s="3">
        <v>45838</v>
      </c>
      <c r="D318" s="3">
        <f t="shared" si="53"/>
        <v>45838</v>
      </c>
      <c r="E318" s="4">
        <f t="shared" si="52"/>
        <v>15</v>
      </c>
      <c r="F318" s="4">
        <f t="shared" si="54"/>
        <v>15</v>
      </c>
      <c r="G318" s="4">
        <f>IF(Table1[[#This Row],[CorrectedLeadTimeDays]]&lt;=7, 1, 0)</f>
        <v>0</v>
      </c>
      <c r="H318" s="4" t="str">
        <f t="shared" si="55"/>
        <v>June</v>
      </c>
      <c r="I318" s="4" t="str">
        <f t="shared" si="56"/>
        <v>Q2-2025</v>
      </c>
      <c r="J318" s="4" t="str">
        <f t="shared" si="57"/>
        <v>2023-01</v>
      </c>
      <c r="K318" s="3">
        <f t="shared" si="58"/>
        <v>44933</v>
      </c>
      <c r="L318" t="s">
        <v>646</v>
      </c>
      <c r="M318" t="s">
        <v>661</v>
      </c>
      <c r="N318" t="s">
        <v>682</v>
      </c>
      <c r="O318" t="s">
        <v>705</v>
      </c>
      <c r="P318" t="s">
        <v>711</v>
      </c>
      <c r="Q318" t="s">
        <v>712</v>
      </c>
      <c r="R318">
        <f t="shared" si="59"/>
        <v>29</v>
      </c>
      <c r="S318" t="s">
        <v>732</v>
      </c>
      <c r="T318" t="s">
        <v>1123</v>
      </c>
      <c r="U318" s="4">
        <v>1487.59</v>
      </c>
      <c r="V318" s="4">
        <f>Table1[[#This Row],[UnitCost]]*(1+WhatIf!$B$3)</f>
        <v>1561.9694999999999</v>
      </c>
      <c r="W318" s="4">
        <f t="shared" si="60"/>
        <v>16363.49</v>
      </c>
      <c r="X318" s="4">
        <f>Table1[[#This Row],[ScenarioRev]]-Table1[[#This Row],[ScenarioUnitCost]]</f>
        <v>16194.811113000003</v>
      </c>
      <c r="Y318" s="4">
        <v>1480.83</v>
      </c>
      <c r="Z318" s="4">
        <f t="shared" si="61"/>
        <v>16142.527829999999</v>
      </c>
      <c r="AA318" s="4">
        <f>Table1[[#This Row],[ScenarioQuanity]]*Table1[[#This Row],[UnitPrice]]*(1-Table1[[#This Row],[ScenarioDiscPct]])</f>
        <v>17756.780613000003</v>
      </c>
      <c r="AB318" s="4">
        <f t="shared" si="62"/>
        <v>-220.9621700000007</v>
      </c>
      <c r="AC318" s="4">
        <f>Table1[[#This Row],[ScenarioRev]] - Table1[[#This Row],[ScenarioCostOfGoods]]</f>
        <v>1561.9694999999992</v>
      </c>
      <c r="AD318" s="6">
        <v>8.9999999999999993E-3</v>
      </c>
      <c r="AE318" s="6">
        <f>MIN(Table1[[#This Row],[DiscountPct]], WhatIf!$B$2)</f>
        <v>8.9999999999999993E-3</v>
      </c>
      <c r="AF318" s="6">
        <f>IF(Table1[[#This Row],[DiscountPct]]&gt;0.2, 1, 0)</f>
        <v>0</v>
      </c>
      <c r="AG318" s="6" t="str">
        <f t="shared" si="63"/>
        <v>High</v>
      </c>
      <c r="AH318" s="6">
        <f t="shared" si="64"/>
        <v>-1.3688201273492908E-2</v>
      </c>
      <c r="AI318" s="5">
        <v>11</v>
      </c>
      <c r="AJ318" s="6">
        <f>Table1[[#This Row],[Quantity]]*(1+WhatIf!$B$4)</f>
        <v>12.100000000000001</v>
      </c>
    </row>
    <row r="319" spans="1:36" x14ac:dyDescent="0.3">
      <c r="A319" t="s">
        <v>465</v>
      </c>
      <c r="B319" s="3">
        <v>44945</v>
      </c>
      <c r="C319" s="3">
        <v>44960</v>
      </c>
      <c r="D319" s="3">
        <f t="shared" si="53"/>
        <v>44960</v>
      </c>
      <c r="E319" s="4">
        <f t="shared" si="52"/>
        <v>15</v>
      </c>
      <c r="F319" s="4">
        <f t="shared" si="54"/>
        <v>15</v>
      </c>
      <c r="G319" s="4">
        <f>IF(Table1[[#This Row],[CorrectedLeadTimeDays]]&lt;=7, 1, 0)</f>
        <v>0</v>
      </c>
      <c r="H319" s="4" t="str">
        <f t="shared" si="55"/>
        <v>January</v>
      </c>
      <c r="I319" s="4" t="str">
        <f t="shared" si="56"/>
        <v>Q1-2023</v>
      </c>
      <c r="J319" s="4" t="str">
        <f t="shared" si="57"/>
        <v>2023-01</v>
      </c>
      <c r="K319" s="3">
        <f t="shared" si="58"/>
        <v>44945</v>
      </c>
      <c r="L319" t="s">
        <v>649</v>
      </c>
      <c r="M319" t="s">
        <v>658</v>
      </c>
      <c r="N319" t="s">
        <v>683</v>
      </c>
      <c r="O319" t="s">
        <v>706</v>
      </c>
      <c r="P319" t="s">
        <v>710</v>
      </c>
      <c r="Q319" t="s">
        <v>715</v>
      </c>
      <c r="R319">
        <f t="shared" si="59"/>
        <v>0</v>
      </c>
      <c r="S319" t="s">
        <v>733</v>
      </c>
      <c r="T319" t="s">
        <v>1184</v>
      </c>
      <c r="U319" s="4">
        <v>873.06</v>
      </c>
      <c r="V319" s="4">
        <f>Table1[[#This Row],[UnitCost]]*(1+WhatIf!$B$3)</f>
        <v>916.71299999999997</v>
      </c>
      <c r="W319" s="4">
        <f t="shared" si="60"/>
        <v>8730.5999999999985</v>
      </c>
      <c r="X319" s="4">
        <f>Table1[[#This Row],[ScenarioRev]]-Table1[[#This Row],[ScenarioUnitCost]]</f>
        <v>20674.611700000001</v>
      </c>
      <c r="Y319" s="4">
        <v>2101.5500000000002</v>
      </c>
      <c r="Z319" s="4">
        <f t="shared" si="61"/>
        <v>19628.476999999999</v>
      </c>
      <c r="AA319" s="4">
        <f>Table1[[#This Row],[ScenarioQuanity]]*Table1[[#This Row],[UnitPrice]]*(1-Table1[[#This Row],[ScenarioDiscPct]])</f>
        <v>21591.324700000001</v>
      </c>
      <c r="AB319" s="4">
        <f t="shared" si="62"/>
        <v>10897.877</v>
      </c>
      <c r="AC319" s="4">
        <f>Table1[[#This Row],[ScenarioRev]] - Table1[[#This Row],[ScenarioCostOfGoods]]</f>
        <v>916.71299999999974</v>
      </c>
      <c r="AD319" s="6">
        <v>6.6000000000000003E-2</v>
      </c>
      <c r="AE319" s="6">
        <f>MIN(Table1[[#This Row],[DiscountPct]], WhatIf!$B$2)</f>
        <v>6.6000000000000003E-2</v>
      </c>
      <c r="AF319" s="6">
        <f>IF(Table1[[#This Row],[DiscountPct]]&gt;0.2, 1, 0)</f>
        <v>0</v>
      </c>
      <c r="AG319" s="6" t="str">
        <f t="shared" si="63"/>
        <v>High</v>
      </c>
      <c r="AH319" s="6">
        <f t="shared" si="64"/>
        <v>0.55520746719167269</v>
      </c>
      <c r="AI319" s="5">
        <v>10</v>
      </c>
      <c r="AJ319" s="6">
        <f>Table1[[#This Row],[Quantity]]*(1+WhatIf!$B$4)</f>
        <v>11</v>
      </c>
    </row>
    <row r="320" spans="1:36" x14ac:dyDescent="0.3">
      <c r="A320" t="s">
        <v>37</v>
      </c>
      <c r="B320" s="3">
        <v>45822</v>
      </c>
      <c r="C320" s="3">
        <v>45837</v>
      </c>
      <c r="D320" s="3">
        <f t="shared" si="53"/>
        <v>45837</v>
      </c>
      <c r="E320" s="4">
        <f t="shared" si="52"/>
        <v>15</v>
      </c>
      <c r="F320" s="4">
        <f t="shared" si="54"/>
        <v>15</v>
      </c>
      <c r="G320" s="4">
        <f>IF(Table1[[#This Row],[CorrectedLeadTimeDays]]&lt;=7, 1, 0)</f>
        <v>0</v>
      </c>
      <c r="H320" s="4" t="str">
        <f t="shared" si="55"/>
        <v>June</v>
      </c>
      <c r="I320" s="4" t="str">
        <f t="shared" si="56"/>
        <v>Q2-2025</v>
      </c>
      <c r="J320" s="4" t="str">
        <f t="shared" si="57"/>
        <v>2023-01</v>
      </c>
      <c r="K320" s="3">
        <f t="shared" si="58"/>
        <v>44941</v>
      </c>
      <c r="L320" t="s">
        <v>646</v>
      </c>
      <c r="M320" t="s">
        <v>651</v>
      </c>
      <c r="N320" t="s">
        <v>663</v>
      </c>
      <c r="O320" t="s">
        <v>704</v>
      </c>
      <c r="P320" t="s">
        <v>709</v>
      </c>
      <c r="Q320" t="s">
        <v>724</v>
      </c>
      <c r="R320">
        <f t="shared" si="59"/>
        <v>28</v>
      </c>
      <c r="S320" t="s">
        <v>733</v>
      </c>
      <c r="T320" t="s">
        <v>756</v>
      </c>
      <c r="U320" s="4">
        <v>730.99</v>
      </c>
      <c r="V320" s="4">
        <f>Table1[[#This Row],[UnitCost]]*(1+WhatIf!$B$3)</f>
        <v>767.53950000000009</v>
      </c>
      <c r="W320" s="4">
        <f t="shared" si="60"/>
        <v>7309.9</v>
      </c>
      <c r="X320" s="4">
        <f>Table1[[#This Row],[ScenarioRev]]-Table1[[#This Row],[ScenarioUnitCost]]</f>
        <v>11263.151699999999</v>
      </c>
      <c r="Y320" s="4">
        <v>1242.8399999999999</v>
      </c>
      <c r="Z320" s="4">
        <f t="shared" si="61"/>
        <v>10936.992</v>
      </c>
      <c r="AA320" s="4">
        <f>Table1[[#This Row],[ScenarioQuanity]]*Table1[[#This Row],[UnitPrice]]*(1-Table1[[#This Row],[ScenarioDiscPct]])</f>
        <v>12030.691199999999</v>
      </c>
      <c r="AB320" s="4">
        <f t="shared" si="62"/>
        <v>3627.0920000000006</v>
      </c>
      <c r="AC320" s="4">
        <f>Table1[[#This Row],[ScenarioRev]] - Table1[[#This Row],[ScenarioCostOfGoods]]</f>
        <v>767.53950000000077</v>
      </c>
      <c r="AD320" s="6">
        <v>0.12</v>
      </c>
      <c r="AE320" s="6">
        <f>MIN(Table1[[#This Row],[DiscountPct]], WhatIf!$B$2)</f>
        <v>0.12</v>
      </c>
      <c r="AF320" s="6">
        <f>IF(Table1[[#This Row],[DiscountPct]]&gt;0.2, 1, 0)</f>
        <v>0</v>
      </c>
      <c r="AG320" s="6" t="str">
        <f t="shared" si="63"/>
        <v>High</v>
      </c>
      <c r="AH320" s="6">
        <f t="shared" si="64"/>
        <v>0.33163524303574515</v>
      </c>
      <c r="AI320" s="5">
        <v>10</v>
      </c>
      <c r="AJ320" s="6">
        <f>Table1[[#This Row],[Quantity]]*(1+WhatIf!$B$4)</f>
        <v>11</v>
      </c>
    </row>
    <row r="321" spans="1:36" x14ac:dyDescent="0.3">
      <c r="A321" t="s">
        <v>236</v>
      </c>
      <c r="B321" s="3">
        <v>45164</v>
      </c>
      <c r="C321" s="3">
        <v>45179</v>
      </c>
      <c r="D321" s="3">
        <f t="shared" si="53"/>
        <v>45179</v>
      </c>
      <c r="E321" s="4">
        <f t="shared" si="52"/>
        <v>15</v>
      </c>
      <c r="F321" s="4">
        <f t="shared" si="54"/>
        <v>15</v>
      </c>
      <c r="G321" s="4">
        <f>IF(Table1[[#This Row],[CorrectedLeadTimeDays]]&lt;=7, 1, 0)</f>
        <v>0</v>
      </c>
      <c r="H321" s="4" t="str">
        <f t="shared" si="55"/>
        <v>August</v>
      </c>
      <c r="I321" s="4" t="str">
        <f t="shared" si="56"/>
        <v>Q3-2023</v>
      </c>
      <c r="J321" s="4" t="str">
        <f t="shared" si="57"/>
        <v>2023-01</v>
      </c>
      <c r="K321" s="3">
        <f t="shared" si="58"/>
        <v>44933</v>
      </c>
      <c r="L321" t="s">
        <v>646</v>
      </c>
      <c r="M321" t="s">
        <v>661</v>
      </c>
      <c r="N321" t="s">
        <v>695</v>
      </c>
      <c r="O321" t="s">
        <v>703</v>
      </c>
      <c r="P321" t="s">
        <v>711</v>
      </c>
      <c r="Q321" t="s">
        <v>725</v>
      </c>
      <c r="R321">
        <f t="shared" si="59"/>
        <v>7</v>
      </c>
      <c r="S321" t="s">
        <v>727</v>
      </c>
      <c r="T321" t="s">
        <v>956</v>
      </c>
      <c r="U321" s="4">
        <v>241.14</v>
      </c>
      <c r="V321" s="4">
        <f>Table1[[#This Row],[UnitCost]]*(1+WhatIf!$B$3)</f>
        <v>253.197</v>
      </c>
      <c r="W321" s="4">
        <f t="shared" si="60"/>
        <v>2411.3999999999996</v>
      </c>
      <c r="X321" s="4">
        <f>Table1[[#This Row],[ScenarioRev]]-Table1[[#This Row],[ScenarioUnitCost]]</f>
        <v>4700.5830399999995</v>
      </c>
      <c r="Y321" s="4">
        <v>496.52</v>
      </c>
      <c r="Z321" s="4">
        <f t="shared" si="61"/>
        <v>4503.4363999999996</v>
      </c>
      <c r="AA321" s="4">
        <f>Table1[[#This Row],[ScenarioQuanity]]*Table1[[#This Row],[UnitPrice]]*(1-Table1[[#This Row],[ScenarioDiscPct]])</f>
        <v>4953.7800399999996</v>
      </c>
      <c r="AB321" s="4">
        <f t="shared" si="62"/>
        <v>2092.0364</v>
      </c>
      <c r="AC321" s="4">
        <f>Table1[[#This Row],[ScenarioRev]] - Table1[[#This Row],[ScenarioCostOfGoods]]</f>
        <v>253.19700000000012</v>
      </c>
      <c r="AD321" s="6">
        <v>9.2999999999999999E-2</v>
      </c>
      <c r="AE321" s="6">
        <f>MIN(Table1[[#This Row],[DiscountPct]], WhatIf!$B$2)</f>
        <v>9.2999999999999999E-2</v>
      </c>
      <c r="AF321" s="6">
        <f>IF(Table1[[#This Row],[DiscountPct]]&gt;0.2, 1, 0)</f>
        <v>0</v>
      </c>
      <c r="AG321" s="6" t="str">
        <f t="shared" si="63"/>
        <v>Low</v>
      </c>
      <c r="AH321" s="6">
        <f t="shared" si="64"/>
        <v>0.46454223268257994</v>
      </c>
      <c r="AI321" s="5">
        <v>10</v>
      </c>
      <c r="AJ321" s="6">
        <f>Table1[[#This Row],[Quantity]]*(1+WhatIf!$B$4)</f>
        <v>11</v>
      </c>
    </row>
    <row r="322" spans="1:36" x14ac:dyDescent="0.3">
      <c r="A322" t="s">
        <v>191</v>
      </c>
      <c r="B322" s="3">
        <v>45165</v>
      </c>
      <c r="C322" s="3">
        <v>45180</v>
      </c>
      <c r="D322" s="3">
        <f t="shared" si="53"/>
        <v>45180</v>
      </c>
      <c r="E322" s="4">
        <f t="shared" ref="E322:E385" si="65">C322-B322</f>
        <v>15</v>
      </c>
      <c r="F322" s="4">
        <f t="shared" si="54"/>
        <v>15</v>
      </c>
      <c r="G322" s="4">
        <f>IF(Table1[[#This Row],[CorrectedLeadTimeDays]]&lt;=7, 1, 0)</f>
        <v>0</v>
      </c>
      <c r="H322" s="4" t="str">
        <f t="shared" si="55"/>
        <v>August</v>
      </c>
      <c r="I322" s="4" t="str">
        <f t="shared" si="56"/>
        <v>Q3-2023</v>
      </c>
      <c r="J322" s="4" t="str">
        <f t="shared" si="57"/>
        <v>2023-01</v>
      </c>
      <c r="K322" s="3">
        <f t="shared" si="58"/>
        <v>44945</v>
      </c>
      <c r="L322" t="s">
        <v>649</v>
      </c>
      <c r="M322" t="s">
        <v>658</v>
      </c>
      <c r="N322" t="s">
        <v>683</v>
      </c>
      <c r="O322" t="s">
        <v>704</v>
      </c>
      <c r="P322" t="s">
        <v>709</v>
      </c>
      <c r="Q322" t="s">
        <v>725</v>
      </c>
      <c r="R322">
        <f t="shared" si="59"/>
        <v>7</v>
      </c>
      <c r="S322" t="s">
        <v>728</v>
      </c>
      <c r="T322" t="s">
        <v>910</v>
      </c>
      <c r="U322" s="4">
        <v>943.79</v>
      </c>
      <c r="V322" s="4">
        <f>Table1[[#This Row],[UnitCost]]*(1+WhatIf!$B$3)</f>
        <v>990.97950000000003</v>
      </c>
      <c r="W322" s="4">
        <f t="shared" si="60"/>
        <v>8494.11</v>
      </c>
      <c r="X322" s="4">
        <f>Table1[[#This Row],[ScenarioRev]]-Table1[[#This Row],[ScenarioUnitCost]]</f>
        <v>16231.138116000004</v>
      </c>
      <c r="Y322" s="4">
        <v>1913.76</v>
      </c>
      <c r="Z322" s="4">
        <f t="shared" si="61"/>
        <v>15656.47056</v>
      </c>
      <c r="AA322" s="4">
        <f>Table1[[#This Row],[ScenarioQuanity]]*Table1[[#This Row],[UnitPrice]]*(1-Table1[[#This Row],[ScenarioDiscPct]])</f>
        <v>17222.117616000003</v>
      </c>
      <c r="AB322" s="4">
        <f t="shared" si="62"/>
        <v>7162.3605599999992</v>
      </c>
      <c r="AC322" s="4">
        <f>Table1[[#This Row],[ScenarioRev]] - Table1[[#This Row],[ScenarioCostOfGoods]]</f>
        <v>990.97949999999946</v>
      </c>
      <c r="AD322" s="6">
        <v>9.0999999999999998E-2</v>
      </c>
      <c r="AE322" s="6">
        <f>MIN(Table1[[#This Row],[DiscountPct]], WhatIf!$B$2)</f>
        <v>9.0999999999999998E-2</v>
      </c>
      <c r="AF322" s="6">
        <f>IF(Table1[[#This Row],[DiscountPct]]&gt;0.2, 1, 0)</f>
        <v>0</v>
      </c>
      <c r="AG322" s="6" t="str">
        <f t="shared" si="63"/>
        <v>High</v>
      </c>
      <c r="AH322" s="6">
        <f t="shared" si="64"/>
        <v>0.45746967891338081</v>
      </c>
      <c r="AI322" s="5">
        <v>9</v>
      </c>
      <c r="AJ322" s="6">
        <f>Table1[[#This Row],[Quantity]]*(1+WhatIf!$B$4)</f>
        <v>9.9</v>
      </c>
    </row>
    <row r="323" spans="1:36" x14ac:dyDescent="0.3">
      <c r="A323" t="s">
        <v>429</v>
      </c>
      <c r="B323" s="3">
        <v>45167</v>
      </c>
      <c r="C323" s="3">
        <v>45182</v>
      </c>
      <c r="D323" s="3">
        <f t="shared" ref="D323:D386" si="66">IF(C323&lt;B323, B323+14, C323)</f>
        <v>45182</v>
      </c>
      <c r="E323" s="4">
        <f t="shared" si="65"/>
        <v>15</v>
      </c>
      <c r="F323" s="4">
        <f t="shared" ref="F323:F386" si="67">D323-B323</f>
        <v>15</v>
      </c>
      <c r="G323" s="4">
        <f>IF(Table1[[#This Row],[CorrectedLeadTimeDays]]&lt;=7, 1, 0)</f>
        <v>0</v>
      </c>
      <c r="H323" s="4" t="str">
        <f t="shared" ref="H323:H386" si="68">TEXT(B323, "mmmm")</f>
        <v>August</v>
      </c>
      <c r="I323" s="4" t="str">
        <f t="shared" ref="I323:I386" si="69">"Q"&amp;ROUNDUP(MONTH(B323)/3,0)&amp;"-"&amp;YEAR(B323)</f>
        <v>Q3-2023</v>
      </c>
      <c r="J323" s="4" t="str">
        <f t="shared" ref="J323:J386" si="70">TEXT(K323, "yyyy-mm")</f>
        <v>2023-01</v>
      </c>
      <c r="K323" s="3">
        <f t="shared" ref="K323:K386" si="71">_xlfn.MINIFS($B:$B,$M:$M,M323)</f>
        <v>44928</v>
      </c>
      <c r="L323" t="s">
        <v>648</v>
      </c>
      <c r="M323" t="s">
        <v>653</v>
      </c>
      <c r="N323" t="s">
        <v>688</v>
      </c>
      <c r="O323" t="s">
        <v>705</v>
      </c>
      <c r="P323" t="s">
        <v>709</v>
      </c>
      <c r="Q323" t="s">
        <v>719</v>
      </c>
      <c r="R323">
        <f t="shared" ref="R323:R386" si="72">DATEDIF(K323,B323,"m")</f>
        <v>7</v>
      </c>
      <c r="S323" t="s">
        <v>728</v>
      </c>
      <c r="T323" t="s">
        <v>1148</v>
      </c>
      <c r="U323" s="4">
        <v>1287.6400000000001</v>
      </c>
      <c r="V323" s="4">
        <f>Table1[[#This Row],[UnitCost]]*(1+WhatIf!$B$3)</f>
        <v>1352.0220000000002</v>
      </c>
      <c r="W323" s="4">
        <f t="shared" ref="W323:W386" si="73">U323*AI323</f>
        <v>9013.4800000000014</v>
      </c>
      <c r="X323" s="4">
        <f>Table1[[#This Row],[ScenarioRev]]-Table1[[#This Row],[ScenarioUnitCost]]</f>
        <v>18900.527240000003</v>
      </c>
      <c r="Y323" s="4">
        <v>2717.15</v>
      </c>
      <c r="Z323" s="4">
        <f t="shared" ref="Z323:Z386" si="74">Y323*AI323*(1-AD323)</f>
        <v>18411.4084</v>
      </c>
      <c r="AA323" s="4">
        <f>Table1[[#This Row],[ScenarioQuanity]]*Table1[[#This Row],[UnitPrice]]*(1-Table1[[#This Row],[ScenarioDiscPct]])</f>
        <v>20252.549240000004</v>
      </c>
      <c r="AB323" s="4">
        <f t="shared" ref="AB323:AB386" si="75">Z323-W323</f>
        <v>9397.9283999999989</v>
      </c>
      <c r="AC323" s="4">
        <f>Table1[[#This Row],[ScenarioRev]] - Table1[[#This Row],[ScenarioCostOfGoods]]</f>
        <v>1352.0220000000008</v>
      </c>
      <c r="AD323" s="6">
        <v>3.2000000000000001E-2</v>
      </c>
      <c r="AE323" s="6">
        <f>MIN(Table1[[#This Row],[DiscountPct]], WhatIf!$B$2)</f>
        <v>3.2000000000000001E-2</v>
      </c>
      <c r="AF323" s="6">
        <f>IF(Table1[[#This Row],[DiscountPct]]&gt;0.2, 1, 0)</f>
        <v>0</v>
      </c>
      <c r="AG323" s="6" t="str">
        <f t="shared" ref="AG323:AG386" si="76">IF(Y323&lt;=_xlfn.PERCENTILE.INC($Y:$Y,0.33),"Low",
 IF(D323&lt;=_xlfn.PERCENTILE.INC($Y:$Y,0.66),"Medium",
 "High"))</f>
        <v>High</v>
      </c>
      <c r="AH323" s="6">
        <f t="shared" ref="AH323:AH386" si="77">IF(Z323=0, 0, AB323/Z323)</f>
        <v>0.51044049405802105</v>
      </c>
      <c r="AI323" s="5">
        <v>7</v>
      </c>
      <c r="AJ323" s="6">
        <f>Table1[[#This Row],[Quantity]]*(1+WhatIf!$B$4)</f>
        <v>7.7000000000000011</v>
      </c>
    </row>
    <row r="324" spans="1:36" x14ac:dyDescent="0.3">
      <c r="A324" t="s">
        <v>295</v>
      </c>
      <c r="B324" s="3">
        <v>45730</v>
      </c>
      <c r="C324" s="3">
        <v>45745</v>
      </c>
      <c r="D324" s="3">
        <f t="shared" si="66"/>
        <v>45745</v>
      </c>
      <c r="E324" s="4">
        <f t="shared" si="65"/>
        <v>15</v>
      </c>
      <c r="F324" s="4">
        <f t="shared" si="67"/>
        <v>15</v>
      </c>
      <c r="G324" s="4">
        <f>IF(Table1[[#This Row],[CorrectedLeadTimeDays]]&lt;=7, 1, 0)</f>
        <v>0</v>
      </c>
      <c r="H324" s="4" t="str">
        <f t="shared" si="68"/>
        <v>March</v>
      </c>
      <c r="I324" s="4" t="str">
        <f t="shared" si="69"/>
        <v>Q1-2025</v>
      </c>
      <c r="J324" s="4" t="str">
        <f t="shared" si="70"/>
        <v>2023-03</v>
      </c>
      <c r="K324" s="3">
        <f t="shared" si="71"/>
        <v>44988</v>
      </c>
      <c r="L324" t="s">
        <v>647</v>
      </c>
      <c r="M324" t="s">
        <v>652</v>
      </c>
      <c r="N324" t="s">
        <v>689</v>
      </c>
      <c r="O324" t="s">
        <v>703</v>
      </c>
      <c r="P324" t="s">
        <v>711</v>
      </c>
      <c r="Q324" t="s">
        <v>722</v>
      </c>
      <c r="R324">
        <f t="shared" si="72"/>
        <v>24</v>
      </c>
      <c r="S324" t="s">
        <v>729</v>
      </c>
      <c r="T324" t="s">
        <v>1015</v>
      </c>
      <c r="U324" s="4">
        <v>1106.96</v>
      </c>
      <c r="V324" s="4">
        <f>Table1[[#This Row],[UnitCost]]*(1+WhatIf!$B$3)</f>
        <v>1162.308</v>
      </c>
      <c r="W324" s="4">
        <f t="shared" si="73"/>
        <v>7748.72</v>
      </c>
      <c r="X324" s="4">
        <f>Table1[[#This Row],[ScenarioRev]]-Table1[[#This Row],[ScenarioUnitCost]]</f>
        <v>15633.671200000001</v>
      </c>
      <c r="Y324" s="4">
        <v>2726.62</v>
      </c>
      <c r="Z324" s="4">
        <f t="shared" si="74"/>
        <v>13035.970220000001</v>
      </c>
      <c r="AA324" s="4">
        <f>Table1[[#This Row],[ScenarioQuanity]]*Table1[[#This Row],[UnitPrice]]*(1-Table1[[#This Row],[ScenarioDiscPct]])</f>
        <v>16795.979200000002</v>
      </c>
      <c r="AB324" s="4">
        <f t="shared" si="75"/>
        <v>5287.2502200000008</v>
      </c>
      <c r="AC324" s="4">
        <f>Table1[[#This Row],[ScenarioRev]] - Table1[[#This Row],[ScenarioCostOfGoods]]</f>
        <v>1162.3080000000009</v>
      </c>
      <c r="AD324" s="6">
        <v>0.317</v>
      </c>
      <c r="AE324" s="6">
        <f>MIN(Table1[[#This Row],[DiscountPct]], WhatIf!$B$2)</f>
        <v>0.2</v>
      </c>
      <c r="AF324" s="6">
        <f>IF(Table1[[#This Row],[DiscountPct]]&gt;0.2, 1, 0)</f>
        <v>1</v>
      </c>
      <c r="AG324" s="6" t="str">
        <f t="shared" si="76"/>
        <v>High</v>
      </c>
      <c r="AH324" s="6">
        <f t="shared" si="77"/>
        <v>0.40558931408789306</v>
      </c>
      <c r="AI324" s="5">
        <v>7</v>
      </c>
      <c r="AJ324" s="6">
        <f>Table1[[#This Row],[Quantity]]*(1+WhatIf!$B$4)</f>
        <v>7.7000000000000011</v>
      </c>
    </row>
    <row r="325" spans="1:36" x14ac:dyDescent="0.3">
      <c r="A325" t="s">
        <v>618</v>
      </c>
      <c r="B325" s="3">
        <v>45026</v>
      </c>
      <c r="C325" s="3">
        <v>45041</v>
      </c>
      <c r="D325" s="3">
        <f t="shared" si="66"/>
        <v>45041</v>
      </c>
      <c r="E325" s="4">
        <f t="shared" si="65"/>
        <v>15</v>
      </c>
      <c r="F325" s="4">
        <f t="shared" si="67"/>
        <v>15</v>
      </c>
      <c r="G325" s="4">
        <f>IF(Table1[[#This Row],[CorrectedLeadTimeDays]]&lt;=7, 1, 0)</f>
        <v>0</v>
      </c>
      <c r="H325" s="4" t="str">
        <f t="shared" si="68"/>
        <v>April</v>
      </c>
      <c r="I325" s="4" t="str">
        <f t="shared" si="69"/>
        <v>Q2-2023</v>
      </c>
      <c r="J325" s="4" t="str">
        <f t="shared" si="70"/>
        <v>2023-01</v>
      </c>
      <c r="K325" s="3">
        <f t="shared" si="71"/>
        <v>44945</v>
      </c>
      <c r="L325" t="s">
        <v>649</v>
      </c>
      <c r="M325" t="s">
        <v>658</v>
      </c>
      <c r="N325" t="s">
        <v>683</v>
      </c>
      <c r="O325" t="s">
        <v>705</v>
      </c>
      <c r="P325" t="s">
        <v>707</v>
      </c>
      <c r="Q325" t="s">
        <v>726</v>
      </c>
      <c r="R325">
        <f t="shared" si="72"/>
        <v>2</v>
      </c>
      <c r="S325" t="s">
        <v>728</v>
      </c>
      <c r="T325" t="s">
        <v>1336</v>
      </c>
      <c r="U325" s="4">
        <v>405.66</v>
      </c>
      <c r="V325" s="4">
        <f>Table1[[#This Row],[UnitCost]]*(1+WhatIf!$B$3)</f>
        <v>425.94300000000004</v>
      </c>
      <c r="W325" s="4">
        <f t="shared" si="73"/>
        <v>2839.6200000000003</v>
      </c>
      <c r="X325" s="4">
        <f>Table1[[#This Row],[ScenarioRev]]-Table1[[#This Row],[ScenarioUnitCost]]</f>
        <v>5577.2318700000014</v>
      </c>
      <c r="Y325" s="4">
        <v>962.51</v>
      </c>
      <c r="Z325" s="4">
        <f t="shared" si="74"/>
        <v>5457.4317000000001</v>
      </c>
      <c r="AA325" s="4">
        <f>Table1[[#This Row],[ScenarioQuanity]]*Table1[[#This Row],[UnitPrice]]*(1-Table1[[#This Row],[ScenarioDiscPct]])</f>
        <v>6003.1748700000016</v>
      </c>
      <c r="AB325" s="4">
        <f t="shared" si="75"/>
        <v>2617.8116999999997</v>
      </c>
      <c r="AC325" s="4">
        <f>Table1[[#This Row],[ScenarioRev]] - Table1[[#This Row],[ScenarioCostOfGoods]]</f>
        <v>425.94300000000021</v>
      </c>
      <c r="AD325" s="6">
        <v>0.19</v>
      </c>
      <c r="AE325" s="6">
        <f>MIN(Table1[[#This Row],[DiscountPct]], WhatIf!$B$2)</f>
        <v>0.19</v>
      </c>
      <c r="AF325" s="6">
        <f>IF(Table1[[#This Row],[DiscountPct]]&gt;0.2, 1, 0)</f>
        <v>0</v>
      </c>
      <c r="AG325" s="6" t="str">
        <f t="shared" si="76"/>
        <v>High</v>
      </c>
      <c r="AH325" s="6">
        <f t="shared" si="77"/>
        <v>0.47967832561239376</v>
      </c>
      <c r="AI325" s="5">
        <v>7</v>
      </c>
      <c r="AJ325" s="6">
        <f>Table1[[#This Row],[Quantity]]*(1+WhatIf!$B$4)</f>
        <v>7.7000000000000011</v>
      </c>
    </row>
    <row r="326" spans="1:36" x14ac:dyDescent="0.3">
      <c r="A326" t="s">
        <v>129</v>
      </c>
      <c r="B326" s="3">
        <v>45250</v>
      </c>
      <c r="C326" s="3">
        <v>45265</v>
      </c>
      <c r="D326" s="3">
        <f t="shared" si="66"/>
        <v>45265</v>
      </c>
      <c r="E326" s="4">
        <f t="shared" si="65"/>
        <v>15</v>
      </c>
      <c r="F326" s="4">
        <f t="shared" si="67"/>
        <v>15</v>
      </c>
      <c r="G326" s="4">
        <f>IF(Table1[[#This Row],[CorrectedLeadTimeDays]]&lt;=7, 1, 0)</f>
        <v>0</v>
      </c>
      <c r="H326" s="4" t="str">
        <f t="shared" si="68"/>
        <v>November</v>
      </c>
      <c r="I326" s="4" t="str">
        <f t="shared" si="69"/>
        <v>Q4-2023</v>
      </c>
      <c r="J326" s="4" t="str">
        <f t="shared" si="70"/>
        <v>2023-03</v>
      </c>
      <c r="K326" s="3">
        <f t="shared" si="71"/>
        <v>44988</v>
      </c>
      <c r="L326" t="s">
        <v>647</v>
      </c>
      <c r="M326" t="s">
        <v>652</v>
      </c>
      <c r="N326" t="s">
        <v>689</v>
      </c>
      <c r="O326" t="s">
        <v>706</v>
      </c>
      <c r="P326" t="s">
        <v>707</v>
      </c>
      <c r="Q326" t="s">
        <v>716</v>
      </c>
      <c r="R326">
        <f t="shared" si="72"/>
        <v>8</v>
      </c>
      <c r="S326" t="s">
        <v>729</v>
      </c>
      <c r="T326" t="s">
        <v>848</v>
      </c>
      <c r="U326" s="4">
        <v>354.24</v>
      </c>
      <c r="V326" s="4">
        <f>Table1[[#This Row],[UnitCost]]*(1+WhatIf!$B$3)</f>
        <v>371.952</v>
      </c>
      <c r="W326" s="4">
        <f t="shared" si="73"/>
        <v>2125.44</v>
      </c>
      <c r="X326" s="4">
        <f>Table1[[#This Row],[ScenarioRev]]-Table1[[#This Row],[ScenarioUnitCost]]</f>
        <v>1277.19</v>
      </c>
      <c r="Y326" s="4">
        <v>249.87</v>
      </c>
      <c r="Z326" s="4">
        <f t="shared" si="74"/>
        <v>1499.22</v>
      </c>
      <c r="AA326" s="4">
        <f>Table1[[#This Row],[ScenarioQuanity]]*Table1[[#This Row],[UnitPrice]]*(1-Table1[[#This Row],[ScenarioDiscPct]])</f>
        <v>1649.1420000000001</v>
      </c>
      <c r="AB326" s="4">
        <f t="shared" si="75"/>
        <v>-626.22</v>
      </c>
      <c r="AC326" s="4">
        <f>Table1[[#This Row],[ScenarioRev]] - Table1[[#This Row],[ScenarioCostOfGoods]]</f>
        <v>371.952</v>
      </c>
      <c r="AD326" s="6">
        <v>0</v>
      </c>
      <c r="AE326" s="6">
        <f>MIN(Table1[[#This Row],[DiscountPct]], WhatIf!$B$2)</f>
        <v>0</v>
      </c>
      <c r="AF326" s="6">
        <f>IF(Table1[[#This Row],[DiscountPct]]&gt;0.2, 1, 0)</f>
        <v>0</v>
      </c>
      <c r="AG326" s="6" t="str">
        <f t="shared" si="76"/>
        <v>Low</v>
      </c>
      <c r="AH326" s="6">
        <f t="shared" si="77"/>
        <v>-0.41769720254532355</v>
      </c>
      <c r="AI326" s="5">
        <v>6</v>
      </c>
      <c r="AJ326" s="6">
        <f>Table1[[#This Row],[Quantity]]*(1+WhatIf!$B$4)</f>
        <v>6.6000000000000005</v>
      </c>
    </row>
    <row r="327" spans="1:36" x14ac:dyDescent="0.3">
      <c r="A327" t="s">
        <v>111</v>
      </c>
      <c r="B327" s="3">
        <v>45870</v>
      </c>
      <c r="C327" s="3">
        <v>45885</v>
      </c>
      <c r="D327" s="3">
        <f t="shared" si="66"/>
        <v>45885</v>
      </c>
      <c r="E327" s="4">
        <f t="shared" si="65"/>
        <v>15</v>
      </c>
      <c r="F327" s="4">
        <f t="shared" si="67"/>
        <v>15</v>
      </c>
      <c r="G327" s="4">
        <f>IF(Table1[[#This Row],[CorrectedLeadTimeDays]]&lt;=7, 1, 0)</f>
        <v>0</v>
      </c>
      <c r="H327" s="4" t="str">
        <f t="shared" si="68"/>
        <v>August</v>
      </c>
      <c r="I327" s="4" t="str">
        <f t="shared" si="69"/>
        <v>Q3-2025</v>
      </c>
      <c r="J327" s="4" t="str">
        <f t="shared" si="70"/>
        <v>2023-01</v>
      </c>
      <c r="K327" s="3">
        <f t="shared" si="71"/>
        <v>44955</v>
      </c>
      <c r="L327" t="s">
        <v>647</v>
      </c>
      <c r="M327" t="s">
        <v>654</v>
      </c>
      <c r="O327" t="s">
        <v>706</v>
      </c>
      <c r="P327" t="s">
        <v>711</v>
      </c>
      <c r="Q327" t="s">
        <v>719</v>
      </c>
      <c r="R327">
        <f t="shared" si="72"/>
        <v>30</v>
      </c>
      <c r="S327" t="s">
        <v>732</v>
      </c>
      <c r="T327" t="s">
        <v>830</v>
      </c>
      <c r="U327" s="4">
        <v>24.44</v>
      </c>
      <c r="V327" s="4">
        <f>Table1[[#This Row],[UnitCost]]*(1+WhatIf!$B$3)</f>
        <v>25.662000000000003</v>
      </c>
      <c r="W327" s="4">
        <f t="shared" si="73"/>
        <v>146.64000000000001</v>
      </c>
      <c r="X327" s="4">
        <f>Table1[[#This Row],[ScenarioRev]]-Table1[[#This Row],[ScenarioUnitCost]]</f>
        <v>136.04631599999999</v>
      </c>
      <c r="Y327" s="4">
        <v>28.69</v>
      </c>
      <c r="Z327" s="4">
        <f t="shared" si="74"/>
        <v>147.00756000000001</v>
      </c>
      <c r="AA327" s="4">
        <f>Table1[[#This Row],[ScenarioQuanity]]*Table1[[#This Row],[UnitPrice]]*(1-Table1[[#This Row],[ScenarioDiscPct]])</f>
        <v>161.708316</v>
      </c>
      <c r="AB327" s="4">
        <f t="shared" si="75"/>
        <v>0.36755999999999744</v>
      </c>
      <c r="AC327" s="4">
        <f>Table1[[#This Row],[ScenarioRev]] - Table1[[#This Row],[ScenarioCostOfGoods]]</f>
        <v>25.662000000000006</v>
      </c>
      <c r="AD327" s="6">
        <v>0.14599999999999999</v>
      </c>
      <c r="AE327" s="6">
        <f>MIN(Table1[[#This Row],[DiscountPct]], WhatIf!$B$2)</f>
        <v>0.14599999999999999</v>
      </c>
      <c r="AF327" s="6">
        <f>IF(Table1[[#This Row],[DiscountPct]]&gt;0.2, 1, 0)</f>
        <v>0</v>
      </c>
      <c r="AG327" s="6" t="str">
        <f t="shared" si="76"/>
        <v>Low</v>
      </c>
      <c r="AH327" s="6">
        <f t="shared" si="77"/>
        <v>2.5002795774584476E-3</v>
      </c>
      <c r="AI327" s="5">
        <v>6</v>
      </c>
      <c r="AJ327" s="6">
        <f>Table1[[#This Row],[Quantity]]*(1+WhatIf!$B$4)</f>
        <v>6.6000000000000005</v>
      </c>
    </row>
    <row r="328" spans="1:36" x14ac:dyDescent="0.3">
      <c r="A328" t="s">
        <v>607</v>
      </c>
      <c r="B328" s="3">
        <v>45504</v>
      </c>
      <c r="C328" s="3">
        <v>45519</v>
      </c>
      <c r="D328" s="3">
        <f t="shared" si="66"/>
        <v>45519</v>
      </c>
      <c r="E328" s="4">
        <f t="shared" si="65"/>
        <v>15</v>
      </c>
      <c r="F328" s="4">
        <f t="shared" si="67"/>
        <v>15</v>
      </c>
      <c r="G328" s="4">
        <f>IF(Table1[[#This Row],[CorrectedLeadTimeDays]]&lt;=7, 1, 0)</f>
        <v>0</v>
      </c>
      <c r="H328" s="4" t="str">
        <f t="shared" si="68"/>
        <v>July</v>
      </c>
      <c r="I328" s="4" t="str">
        <f t="shared" si="69"/>
        <v>Q3-2024</v>
      </c>
      <c r="J328" s="4" t="str">
        <f t="shared" si="70"/>
        <v>2023-03</v>
      </c>
      <c r="K328" s="3">
        <f t="shared" si="71"/>
        <v>44988</v>
      </c>
      <c r="L328" t="s">
        <v>647</v>
      </c>
      <c r="M328" t="s">
        <v>652</v>
      </c>
      <c r="N328" t="s">
        <v>689</v>
      </c>
      <c r="O328" t="s">
        <v>701</v>
      </c>
      <c r="P328" t="s">
        <v>709</v>
      </c>
      <c r="Q328" t="s">
        <v>721</v>
      </c>
      <c r="R328">
        <f t="shared" si="72"/>
        <v>16</v>
      </c>
      <c r="S328" t="s">
        <v>732</v>
      </c>
      <c r="T328" t="s">
        <v>1325</v>
      </c>
      <c r="U328" s="4">
        <v>1252.52</v>
      </c>
      <c r="V328" s="4">
        <f>Table1[[#This Row],[UnitCost]]*(1+WhatIf!$B$3)</f>
        <v>1315.146</v>
      </c>
      <c r="W328" s="4">
        <f t="shared" si="73"/>
        <v>6262.6</v>
      </c>
      <c r="X328" s="4">
        <f>Table1[[#This Row],[ScenarioRev]]-Table1[[#This Row],[ScenarioUnitCost]]</f>
        <v>4983.0685600000006</v>
      </c>
      <c r="Y328" s="4">
        <v>1417.24</v>
      </c>
      <c r="Z328" s="4">
        <f t="shared" si="74"/>
        <v>5725.6496000000006</v>
      </c>
      <c r="AA328" s="4">
        <f>Table1[[#This Row],[ScenarioQuanity]]*Table1[[#This Row],[UnitPrice]]*(1-Table1[[#This Row],[ScenarioDiscPct]])</f>
        <v>6298.2145600000003</v>
      </c>
      <c r="AB328" s="4">
        <f t="shared" si="75"/>
        <v>-536.95039999999972</v>
      </c>
      <c r="AC328" s="4">
        <f>Table1[[#This Row],[ScenarioRev]] - Table1[[#This Row],[ScenarioCostOfGoods]]</f>
        <v>1315.1459999999997</v>
      </c>
      <c r="AD328" s="6">
        <v>0.192</v>
      </c>
      <c r="AE328" s="6">
        <f>MIN(Table1[[#This Row],[DiscountPct]], WhatIf!$B$2)</f>
        <v>0.192</v>
      </c>
      <c r="AF328" s="6">
        <f>IF(Table1[[#This Row],[DiscountPct]]&gt;0.2, 1, 0)</f>
        <v>0</v>
      </c>
      <c r="AG328" s="6" t="str">
        <f t="shared" si="76"/>
        <v>High</v>
      </c>
      <c r="AH328" s="6">
        <f t="shared" si="77"/>
        <v>-9.3779821943696953E-2</v>
      </c>
      <c r="AI328" s="5">
        <v>5</v>
      </c>
      <c r="AJ328" s="6">
        <f>Table1[[#This Row],[Quantity]]*(1+WhatIf!$B$4)</f>
        <v>5.5</v>
      </c>
    </row>
    <row r="329" spans="1:36" x14ac:dyDescent="0.3">
      <c r="A329" t="s">
        <v>293</v>
      </c>
      <c r="B329" s="3">
        <v>45229</v>
      </c>
      <c r="C329" s="3">
        <v>45244</v>
      </c>
      <c r="D329" s="3">
        <f t="shared" si="66"/>
        <v>45244</v>
      </c>
      <c r="E329" s="4">
        <f t="shared" si="65"/>
        <v>15</v>
      </c>
      <c r="F329" s="4">
        <f t="shared" si="67"/>
        <v>15</v>
      </c>
      <c r="G329" s="4">
        <f>IF(Table1[[#This Row],[CorrectedLeadTimeDays]]&lt;=7, 1, 0)</f>
        <v>0</v>
      </c>
      <c r="H329" s="4" t="str">
        <f t="shared" si="68"/>
        <v>October</v>
      </c>
      <c r="I329" s="4" t="str">
        <f t="shared" si="69"/>
        <v>Q4-2023</v>
      </c>
      <c r="J329" s="4" t="str">
        <f t="shared" si="70"/>
        <v>2023-01</v>
      </c>
      <c r="K329" s="3">
        <f t="shared" si="71"/>
        <v>44955</v>
      </c>
      <c r="L329" t="s">
        <v>647</v>
      </c>
      <c r="M329" t="s">
        <v>654</v>
      </c>
      <c r="N329" t="s">
        <v>668</v>
      </c>
      <c r="O329" t="s">
        <v>701</v>
      </c>
      <c r="P329" t="s">
        <v>708</v>
      </c>
      <c r="Q329" t="s">
        <v>721</v>
      </c>
      <c r="R329">
        <f t="shared" si="72"/>
        <v>9</v>
      </c>
      <c r="S329" t="s">
        <v>731</v>
      </c>
      <c r="T329" t="s">
        <v>1013</v>
      </c>
      <c r="U329" s="4">
        <v>953.46</v>
      </c>
      <c r="V329" s="4">
        <f>Table1[[#This Row],[UnitCost]]*(1+WhatIf!$B$3)</f>
        <v>1001.133</v>
      </c>
      <c r="W329" s="4">
        <f t="shared" si="73"/>
        <v>4767.3</v>
      </c>
      <c r="X329" s="4">
        <f>Table1[[#This Row],[ScenarioRev]]-Table1[[#This Row],[ScenarioUnitCost]]</f>
        <v>8797.3287500000006</v>
      </c>
      <c r="Y329" s="4">
        <v>2066.75</v>
      </c>
      <c r="Z329" s="4">
        <f t="shared" si="74"/>
        <v>8907.6924999999992</v>
      </c>
      <c r="AA329" s="4">
        <f>Table1[[#This Row],[ScenarioQuanity]]*Table1[[#This Row],[UnitPrice]]*(1-Table1[[#This Row],[ScenarioDiscPct]])</f>
        <v>9798.4617500000004</v>
      </c>
      <c r="AB329" s="4">
        <f t="shared" si="75"/>
        <v>4140.392499999999</v>
      </c>
      <c r="AC329" s="4">
        <f>Table1[[#This Row],[ScenarioRev]] - Table1[[#This Row],[ScenarioCostOfGoods]]</f>
        <v>1001.1329999999998</v>
      </c>
      <c r="AD329" s="6">
        <v>0.13800000000000001</v>
      </c>
      <c r="AE329" s="6">
        <f>MIN(Table1[[#This Row],[DiscountPct]], WhatIf!$B$2)</f>
        <v>0.13800000000000001</v>
      </c>
      <c r="AF329" s="6">
        <f>IF(Table1[[#This Row],[DiscountPct]]&gt;0.2, 1, 0)</f>
        <v>0</v>
      </c>
      <c r="AG329" s="6" t="str">
        <f t="shared" si="76"/>
        <v>High</v>
      </c>
      <c r="AH329" s="6">
        <f t="shared" si="77"/>
        <v>0.46481089238318446</v>
      </c>
      <c r="AI329" s="5">
        <v>5</v>
      </c>
      <c r="AJ329" s="6">
        <f>Table1[[#This Row],[Quantity]]*(1+WhatIf!$B$4)</f>
        <v>5.5</v>
      </c>
    </row>
    <row r="330" spans="1:36" x14ac:dyDescent="0.3">
      <c r="A330" t="s">
        <v>417</v>
      </c>
      <c r="B330" s="3">
        <v>45497</v>
      </c>
      <c r="C330" s="3">
        <v>45512</v>
      </c>
      <c r="D330" s="3">
        <f t="shared" si="66"/>
        <v>45512</v>
      </c>
      <c r="E330" s="4">
        <f t="shared" si="65"/>
        <v>15</v>
      </c>
      <c r="F330" s="4">
        <f t="shared" si="67"/>
        <v>15</v>
      </c>
      <c r="G330" s="4">
        <f>IF(Table1[[#This Row],[CorrectedLeadTimeDays]]&lt;=7, 1, 0)</f>
        <v>0</v>
      </c>
      <c r="H330" s="4" t="str">
        <f t="shared" si="68"/>
        <v>July</v>
      </c>
      <c r="I330" s="4" t="str">
        <f t="shared" si="69"/>
        <v>Q3-2024</v>
      </c>
      <c r="J330" s="4" t="str">
        <f t="shared" si="70"/>
        <v>2023-01</v>
      </c>
      <c r="K330" s="3">
        <f t="shared" si="71"/>
        <v>44936</v>
      </c>
      <c r="L330" t="s">
        <v>649</v>
      </c>
      <c r="M330" t="s">
        <v>657</v>
      </c>
      <c r="N330" t="s">
        <v>673</v>
      </c>
      <c r="O330" t="s">
        <v>706</v>
      </c>
      <c r="P330" t="s">
        <v>709</v>
      </c>
      <c r="Q330" t="s">
        <v>722</v>
      </c>
      <c r="R330">
        <f t="shared" si="72"/>
        <v>18</v>
      </c>
      <c r="S330" t="s">
        <v>731</v>
      </c>
      <c r="T330" t="s">
        <v>1136</v>
      </c>
      <c r="U330" s="4">
        <v>501.5</v>
      </c>
      <c r="V330" s="4">
        <f>Table1[[#This Row],[UnitCost]]*(1+WhatIf!$B$3)</f>
        <v>526.57500000000005</v>
      </c>
      <c r="W330" s="4">
        <f t="shared" si="73"/>
        <v>2507.5</v>
      </c>
      <c r="X330" s="4">
        <f>Table1[[#This Row],[ScenarioRev]]-Table1[[#This Row],[ScenarioUnitCost]]</f>
        <v>5248.8912900000005</v>
      </c>
      <c r="Y330" s="4">
        <v>1201.47</v>
      </c>
      <c r="Z330" s="4">
        <f t="shared" si="74"/>
        <v>5250.4239000000007</v>
      </c>
      <c r="AA330" s="4">
        <f>Table1[[#This Row],[ScenarioQuanity]]*Table1[[#This Row],[UnitPrice]]*(1-Table1[[#This Row],[ScenarioDiscPct]])</f>
        <v>5775.4662900000003</v>
      </c>
      <c r="AB330" s="4">
        <f t="shared" si="75"/>
        <v>2742.9239000000007</v>
      </c>
      <c r="AC330" s="4">
        <f>Table1[[#This Row],[ScenarioRev]] - Table1[[#This Row],[ScenarioCostOfGoods]]</f>
        <v>526.57499999999982</v>
      </c>
      <c r="AD330" s="6">
        <v>0.126</v>
      </c>
      <c r="AE330" s="6">
        <f>MIN(Table1[[#This Row],[DiscountPct]], WhatIf!$B$2)</f>
        <v>0.126</v>
      </c>
      <c r="AF330" s="6">
        <f>IF(Table1[[#This Row],[DiscountPct]]&gt;0.2, 1, 0)</f>
        <v>0</v>
      </c>
      <c r="AG330" s="6" t="str">
        <f t="shared" si="76"/>
        <v>High</v>
      </c>
      <c r="AH330" s="6">
        <f t="shared" si="77"/>
        <v>0.52241951359394057</v>
      </c>
      <c r="AI330" s="5">
        <v>5</v>
      </c>
      <c r="AJ330" s="6">
        <f>Table1[[#This Row],[Quantity]]*(1+WhatIf!$B$4)</f>
        <v>5.5</v>
      </c>
    </row>
    <row r="331" spans="1:36" x14ac:dyDescent="0.3">
      <c r="A331" t="s">
        <v>545</v>
      </c>
      <c r="B331" s="3">
        <v>45727</v>
      </c>
      <c r="C331" s="3">
        <v>45742</v>
      </c>
      <c r="D331" s="3">
        <f t="shared" si="66"/>
        <v>45742</v>
      </c>
      <c r="E331" s="4">
        <f t="shared" si="65"/>
        <v>15</v>
      </c>
      <c r="F331" s="4">
        <f t="shared" si="67"/>
        <v>15</v>
      </c>
      <c r="G331" s="4">
        <f>IF(Table1[[#This Row],[CorrectedLeadTimeDays]]&lt;=7, 1, 0)</f>
        <v>0</v>
      </c>
      <c r="H331" s="4" t="str">
        <f t="shared" si="68"/>
        <v>March</v>
      </c>
      <c r="I331" s="4" t="str">
        <f t="shared" si="69"/>
        <v>Q1-2025</v>
      </c>
      <c r="J331" s="4" t="str">
        <f t="shared" si="70"/>
        <v>2023-01</v>
      </c>
      <c r="K331" s="3">
        <f t="shared" si="71"/>
        <v>44948</v>
      </c>
      <c r="L331" t="s">
        <v>649</v>
      </c>
      <c r="M331" t="s">
        <v>656</v>
      </c>
      <c r="N331" t="s">
        <v>671</v>
      </c>
      <c r="O331" t="s">
        <v>705</v>
      </c>
      <c r="P331" t="s">
        <v>708</v>
      </c>
      <c r="Q331" t="s">
        <v>714</v>
      </c>
      <c r="R331">
        <f t="shared" si="72"/>
        <v>25</v>
      </c>
      <c r="S331" t="s">
        <v>730</v>
      </c>
      <c r="T331" t="s">
        <v>1264</v>
      </c>
      <c r="U331" s="4">
        <v>116.97</v>
      </c>
      <c r="V331" s="4">
        <f>Table1[[#This Row],[UnitCost]]*(1+WhatIf!$B$3)</f>
        <v>122.8185</v>
      </c>
      <c r="W331" s="4">
        <f t="shared" si="73"/>
        <v>584.85</v>
      </c>
      <c r="X331" s="4">
        <f>Table1[[#This Row],[ScenarioRev]]-Table1[[#This Row],[ScenarioUnitCost]]</f>
        <v>557.20128</v>
      </c>
      <c r="Y331" s="4">
        <v>140.82</v>
      </c>
      <c r="Z331" s="4">
        <f t="shared" si="74"/>
        <v>618.19979999999987</v>
      </c>
      <c r="AA331" s="4">
        <f>Table1[[#This Row],[ScenarioQuanity]]*Table1[[#This Row],[UnitPrice]]*(1-Table1[[#This Row],[ScenarioDiscPct]])</f>
        <v>680.01977999999997</v>
      </c>
      <c r="AB331" s="4">
        <f t="shared" si="75"/>
        <v>33.349799999999846</v>
      </c>
      <c r="AC331" s="4">
        <f>Table1[[#This Row],[ScenarioRev]] - Table1[[#This Row],[ScenarioCostOfGoods]]</f>
        <v>122.81849999999997</v>
      </c>
      <c r="AD331" s="6">
        <v>0.122</v>
      </c>
      <c r="AE331" s="6">
        <f>MIN(Table1[[#This Row],[DiscountPct]], WhatIf!$B$2)</f>
        <v>0.122</v>
      </c>
      <c r="AF331" s="6">
        <f>IF(Table1[[#This Row],[DiscountPct]]&gt;0.2, 1, 0)</f>
        <v>0</v>
      </c>
      <c r="AG331" s="6" t="str">
        <f t="shared" si="76"/>
        <v>Low</v>
      </c>
      <c r="AH331" s="6">
        <f t="shared" si="77"/>
        <v>5.3946636669891926E-2</v>
      </c>
      <c r="AI331" s="5">
        <v>5</v>
      </c>
      <c r="AJ331" s="6">
        <f>Table1[[#This Row],[Quantity]]*(1+WhatIf!$B$4)</f>
        <v>5.5</v>
      </c>
    </row>
    <row r="332" spans="1:36" x14ac:dyDescent="0.3">
      <c r="A332" t="s">
        <v>78</v>
      </c>
      <c r="B332" s="3">
        <v>45598</v>
      </c>
      <c r="C332" s="3">
        <v>45614</v>
      </c>
      <c r="D332" s="3">
        <f t="shared" si="66"/>
        <v>45614</v>
      </c>
      <c r="E332" s="4">
        <f t="shared" si="65"/>
        <v>16</v>
      </c>
      <c r="F332" s="4">
        <f t="shared" si="67"/>
        <v>16</v>
      </c>
      <c r="G332" s="4">
        <f>IF(Table1[[#This Row],[CorrectedLeadTimeDays]]&lt;=7, 1, 0)</f>
        <v>0</v>
      </c>
      <c r="H332" s="4" t="str">
        <f t="shared" si="68"/>
        <v>November</v>
      </c>
      <c r="I332" s="4" t="str">
        <f t="shared" si="69"/>
        <v>Q4-2024</v>
      </c>
      <c r="J332" s="4" t="str">
        <f t="shared" si="70"/>
        <v>2023-01</v>
      </c>
      <c r="K332" s="3">
        <f t="shared" si="71"/>
        <v>44955</v>
      </c>
      <c r="L332" t="s">
        <v>647</v>
      </c>
      <c r="M332" t="s">
        <v>654</v>
      </c>
      <c r="N332" t="s">
        <v>691</v>
      </c>
      <c r="O332" t="s">
        <v>705</v>
      </c>
      <c r="P332" t="s">
        <v>710</v>
      </c>
      <c r="Q332" t="s">
        <v>719</v>
      </c>
      <c r="R332">
        <f t="shared" si="72"/>
        <v>21</v>
      </c>
      <c r="S332" t="s">
        <v>732</v>
      </c>
      <c r="T332" t="s">
        <v>797</v>
      </c>
      <c r="U332" s="4">
        <v>1233.58</v>
      </c>
      <c r="V332" s="4">
        <f>Table1[[#This Row],[UnitCost]]*(1+WhatIf!$B$3)</f>
        <v>1295.259</v>
      </c>
      <c r="W332" s="4">
        <f t="shared" si="73"/>
        <v>62912.579999999994</v>
      </c>
      <c r="X332" s="4">
        <f>Table1[[#This Row],[ScenarioRev]]-Table1[[#This Row],[ScenarioUnitCost]]</f>
        <v>84538.189800000007</v>
      </c>
      <c r="Y332" s="4">
        <v>1912.51</v>
      </c>
      <c r="Z332" s="4">
        <f t="shared" si="74"/>
        <v>72665.817450000002</v>
      </c>
      <c r="AA332" s="4">
        <f>Table1[[#This Row],[ScenarioQuanity]]*Table1[[#This Row],[UnitPrice]]*(1-Table1[[#This Row],[ScenarioDiscPct]])</f>
        <v>85833.448800000013</v>
      </c>
      <c r="AB332" s="4">
        <f t="shared" si="75"/>
        <v>9753.2374500000078</v>
      </c>
      <c r="AC332" s="4">
        <f>Table1[[#This Row],[ScenarioRev]] - Table1[[#This Row],[ScenarioCostOfGoods]]</f>
        <v>1295.2590000000055</v>
      </c>
      <c r="AD332" s="6">
        <v>0.255</v>
      </c>
      <c r="AE332" s="6">
        <f>MIN(Table1[[#This Row],[DiscountPct]], WhatIf!$B$2)</f>
        <v>0.2</v>
      </c>
      <c r="AF332" s="6">
        <f>IF(Table1[[#This Row],[DiscountPct]]&gt;0.2, 1, 0)</f>
        <v>1</v>
      </c>
      <c r="AG332" s="6" t="str">
        <f t="shared" si="76"/>
        <v>High</v>
      </c>
      <c r="AH332" s="6">
        <f t="shared" si="77"/>
        <v>0.134220432553601</v>
      </c>
      <c r="AI332" s="5">
        <v>51</v>
      </c>
      <c r="AJ332" s="6">
        <f>Table1[[#This Row],[Quantity]]*(1+WhatIf!$B$4)</f>
        <v>56.1</v>
      </c>
    </row>
    <row r="333" spans="1:36" x14ac:dyDescent="0.3">
      <c r="A333" t="s">
        <v>155</v>
      </c>
      <c r="B333" s="3">
        <v>45048</v>
      </c>
      <c r="C333" s="3">
        <v>45064</v>
      </c>
      <c r="D333" s="3">
        <f t="shared" si="66"/>
        <v>45064</v>
      </c>
      <c r="E333" s="4">
        <f t="shared" si="65"/>
        <v>16</v>
      </c>
      <c r="F333" s="4">
        <f t="shared" si="67"/>
        <v>16</v>
      </c>
      <c r="G333" s="4">
        <f>IF(Table1[[#This Row],[CorrectedLeadTimeDays]]&lt;=7, 1, 0)</f>
        <v>0</v>
      </c>
      <c r="H333" s="4" t="str">
        <f t="shared" si="68"/>
        <v>May</v>
      </c>
      <c r="I333" s="4" t="str">
        <f t="shared" si="69"/>
        <v>Q2-2023</v>
      </c>
      <c r="J333" s="4" t="str">
        <f t="shared" si="70"/>
        <v>2023-01</v>
      </c>
      <c r="K333" s="3">
        <f t="shared" si="71"/>
        <v>44955</v>
      </c>
      <c r="L333" t="s">
        <v>647</v>
      </c>
      <c r="M333" t="s">
        <v>654</v>
      </c>
      <c r="N333" t="s">
        <v>680</v>
      </c>
      <c r="O333" t="s">
        <v>705</v>
      </c>
      <c r="P333" t="s">
        <v>709</v>
      </c>
      <c r="Q333" t="s">
        <v>723</v>
      </c>
      <c r="R333">
        <f t="shared" si="72"/>
        <v>3</v>
      </c>
      <c r="S333" t="s">
        <v>732</v>
      </c>
      <c r="T333" t="s">
        <v>874</v>
      </c>
      <c r="U333" s="4">
        <v>1463.92</v>
      </c>
      <c r="V333" s="4">
        <f>Table1[[#This Row],[UnitCost]]*(1+WhatIf!$B$3)</f>
        <v>1537.1160000000002</v>
      </c>
      <c r="W333" s="4">
        <f t="shared" si="73"/>
        <v>64412.480000000003</v>
      </c>
      <c r="X333" s="4">
        <f>Table1[[#This Row],[ScenarioRev]]-Table1[[#This Row],[ScenarioUnitCost]]</f>
        <v>94608.306912</v>
      </c>
      <c r="Y333" s="4">
        <v>2252.2399999999998</v>
      </c>
      <c r="Z333" s="4">
        <f t="shared" si="74"/>
        <v>87404.929919999995</v>
      </c>
      <c r="AA333" s="4">
        <f>Table1[[#This Row],[ScenarioQuanity]]*Table1[[#This Row],[UnitPrice]]*(1-Table1[[#This Row],[ScenarioDiscPct]])</f>
        <v>96145.422911999995</v>
      </c>
      <c r="AB333" s="4">
        <f t="shared" si="75"/>
        <v>22992.449919999992</v>
      </c>
      <c r="AC333" s="4">
        <f>Table1[[#This Row],[ScenarioRev]] - Table1[[#This Row],[ScenarioCostOfGoods]]</f>
        <v>1537.1159999999945</v>
      </c>
      <c r="AD333" s="6">
        <v>0.11799999999999999</v>
      </c>
      <c r="AE333" s="6">
        <f>MIN(Table1[[#This Row],[DiscountPct]], WhatIf!$B$2)</f>
        <v>0.11799999999999999</v>
      </c>
      <c r="AF333" s="6">
        <f>IF(Table1[[#This Row],[DiscountPct]]&gt;0.2, 1, 0)</f>
        <v>0</v>
      </c>
      <c r="AG333" s="6" t="str">
        <f t="shared" si="76"/>
        <v>High</v>
      </c>
      <c r="AH333" s="6">
        <f t="shared" si="77"/>
        <v>0.26305667130040061</v>
      </c>
      <c r="AI333" s="5">
        <v>44</v>
      </c>
      <c r="AJ333" s="6">
        <f>Table1[[#This Row],[Quantity]]*(1+WhatIf!$B$4)</f>
        <v>48.400000000000006</v>
      </c>
    </row>
    <row r="334" spans="1:36" x14ac:dyDescent="0.3">
      <c r="A334" t="s">
        <v>389</v>
      </c>
      <c r="B334" s="3">
        <v>45354</v>
      </c>
      <c r="C334" s="3">
        <v>45370</v>
      </c>
      <c r="D334" s="3">
        <f t="shared" si="66"/>
        <v>45370</v>
      </c>
      <c r="E334" s="4">
        <f t="shared" si="65"/>
        <v>16</v>
      </c>
      <c r="F334" s="4">
        <f t="shared" si="67"/>
        <v>16</v>
      </c>
      <c r="G334" s="4">
        <f>IF(Table1[[#This Row],[CorrectedLeadTimeDays]]&lt;=7, 1, 0)</f>
        <v>0</v>
      </c>
      <c r="H334" s="4" t="str">
        <f t="shared" si="68"/>
        <v>March</v>
      </c>
      <c r="I334" s="4" t="str">
        <f t="shared" si="69"/>
        <v>Q1-2024</v>
      </c>
      <c r="J334" s="4" t="str">
        <f t="shared" si="70"/>
        <v>2023-01</v>
      </c>
      <c r="K334" s="3">
        <f t="shared" si="71"/>
        <v>44938</v>
      </c>
      <c r="L334" t="s">
        <v>647</v>
      </c>
      <c r="M334" t="s">
        <v>659</v>
      </c>
      <c r="N334" t="s">
        <v>699</v>
      </c>
      <c r="O334" t="s">
        <v>704</v>
      </c>
      <c r="P334" t="s">
        <v>710</v>
      </c>
      <c r="Q334" t="s">
        <v>715</v>
      </c>
      <c r="R334">
        <f t="shared" si="72"/>
        <v>13</v>
      </c>
      <c r="S334" t="s">
        <v>730</v>
      </c>
      <c r="T334" t="s">
        <v>1109</v>
      </c>
      <c r="U334" s="4">
        <v>988.83</v>
      </c>
      <c r="V334" s="4">
        <f>Table1[[#This Row],[UnitCost]]*(1+WhatIf!$B$3)</f>
        <v>1038.2715000000001</v>
      </c>
      <c r="W334" s="4">
        <f t="shared" si="73"/>
        <v>33620.22</v>
      </c>
      <c r="X334" s="4">
        <f>Table1[[#This Row],[ScenarioRev]]-Table1[[#This Row],[ScenarioUnitCost]]</f>
        <v>41225.953052000004</v>
      </c>
      <c r="Y334" s="4">
        <v>1206.04</v>
      </c>
      <c r="Z334" s="4">
        <f t="shared" si="74"/>
        <v>38422.022320000004</v>
      </c>
      <c r="AA334" s="4">
        <f>Table1[[#This Row],[ScenarioQuanity]]*Table1[[#This Row],[UnitPrice]]*(1-Table1[[#This Row],[ScenarioDiscPct]])</f>
        <v>42264.224552000007</v>
      </c>
      <c r="AB334" s="4">
        <f t="shared" si="75"/>
        <v>4801.8023200000025</v>
      </c>
      <c r="AC334" s="4">
        <f>Table1[[#This Row],[ScenarioRev]] - Table1[[#This Row],[ScenarioCostOfGoods]]</f>
        <v>1038.2715000000026</v>
      </c>
      <c r="AD334" s="6">
        <v>6.3E-2</v>
      </c>
      <c r="AE334" s="6">
        <f>MIN(Table1[[#This Row],[DiscountPct]], WhatIf!$B$2)</f>
        <v>6.3E-2</v>
      </c>
      <c r="AF334" s="6">
        <f>IF(Table1[[#This Row],[DiscountPct]]&gt;0.2, 1, 0)</f>
        <v>0</v>
      </c>
      <c r="AG334" s="6" t="str">
        <f t="shared" si="76"/>
        <v>High</v>
      </c>
      <c r="AH334" s="6">
        <f t="shared" si="77"/>
        <v>0.12497526236406606</v>
      </c>
      <c r="AI334" s="5">
        <v>34</v>
      </c>
      <c r="AJ334" s="6">
        <f>Table1[[#This Row],[Quantity]]*(1+WhatIf!$B$4)</f>
        <v>37.400000000000006</v>
      </c>
    </row>
    <row r="335" spans="1:36" x14ac:dyDescent="0.3">
      <c r="A335" t="s">
        <v>106</v>
      </c>
      <c r="B335" s="3">
        <v>45817</v>
      </c>
      <c r="C335" s="3">
        <v>45833</v>
      </c>
      <c r="D335" s="3">
        <f t="shared" si="66"/>
        <v>45833</v>
      </c>
      <c r="E335" s="4">
        <f t="shared" si="65"/>
        <v>16</v>
      </c>
      <c r="F335" s="4">
        <f t="shared" si="67"/>
        <v>16</v>
      </c>
      <c r="G335" s="4">
        <f>IF(Table1[[#This Row],[CorrectedLeadTimeDays]]&lt;=7, 1, 0)</f>
        <v>0</v>
      </c>
      <c r="H335" s="4" t="str">
        <f t="shared" si="68"/>
        <v>June</v>
      </c>
      <c r="I335" s="4" t="str">
        <f t="shared" si="69"/>
        <v>Q2-2025</v>
      </c>
      <c r="J335" s="4" t="str">
        <f t="shared" si="70"/>
        <v>2023-01</v>
      </c>
      <c r="K335" s="3">
        <f t="shared" si="71"/>
        <v>44955</v>
      </c>
      <c r="L335" t="s">
        <v>647</v>
      </c>
      <c r="M335" t="s">
        <v>654</v>
      </c>
      <c r="N335" t="s">
        <v>696</v>
      </c>
      <c r="O335" t="s">
        <v>706</v>
      </c>
      <c r="P335" t="s">
        <v>710</v>
      </c>
      <c r="Q335" t="s">
        <v>724</v>
      </c>
      <c r="R335">
        <f t="shared" si="72"/>
        <v>28</v>
      </c>
      <c r="S335" t="s">
        <v>730</v>
      </c>
      <c r="T335" t="s">
        <v>825</v>
      </c>
      <c r="U335" s="4">
        <v>527.33000000000004</v>
      </c>
      <c r="V335" s="4">
        <f>Table1[[#This Row],[UnitCost]]*(1+WhatIf!$B$3)</f>
        <v>553.69650000000001</v>
      </c>
      <c r="W335" s="4">
        <f t="shared" si="73"/>
        <v>13183.250000000002</v>
      </c>
      <c r="X335" s="4">
        <f>Table1[[#This Row],[ScenarioRev]]-Table1[[#This Row],[ScenarioUnitCost]]</f>
        <v>20908.192300000002</v>
      </c>
      <c r="Y335" s="4">
        <v>911.72</v>
      </c>
      <c r="Z335" s="4">
        <f t="shared" si="74"/>
        <v>19510.808000000001</v>
      </c>
      <c r="AA335" s="4">
        <f>Table1[[#This Row],[ScenarioQuanity]]*Table1[[#This Row],[UnitPrice]]*(1-Table1[[#This Row],[ScenarioDiscPct]])</f>
        <v>21461.888800000001</v>
      </c>
      <c r="AB335" s="4">
        <f t="shared" si="75"/>
        <v>6327.5579999999991</v>
      </c>
      <c r="AC335" s="4">
        <f>Table1[[#This Row],[ScenarioRev]] - Table1[[#This Row],[ScenarioCostOfGoods]]</f>
        <v>553.6964999999982</v>
      </c>
      <c r="AD335" s="6">
        <v>0.14399999999999999</v>
      </c>
      <c r="AE335" s="6">
        <f>MIN(Table1[[#This Row],[DiscountPct]], WhatIf!$B$2)</f>
        <v>0.14399999999999999</v>
      </c>
      <c r="AF335" s="6">
        <f>IF(Table1[[#This Row],[DiscountPct]]&gt;0.2, 1, 0)</f>
        <v>0</v>
      </c>
      <c r="AG335" s="6" t="str">
        <f t="shared" si="76"/>
        <v>High</v>
      </c>
      <c r="AH335" s="6">
        <f t="shared" si="77"/>
        <v>0.32431040272652978</v>
      </c>
      <c r="AI335" s="5">
        <v>25</v>
      </c>
      <c r="AJ335" s="6">
        <f>Table1[[#This Row],[Quantity]]*(1+WhatIf!$B$4)</f>
        <v>27.500000000000004</v>
      </c>
    </row>
    <row r="336" spans="1:36" x14ac:dyDescent="0.3">
      <c r="A336" t="s">
        <v>438</v>
      </c>
      <c r="B336" s="3">
        <v>45341</v>
      </c>
      <c r="C336" s="3">
        <v>45357</v>
      </c>
      <c r="D336" s="3">
        <f t="shared" si="66"/>
        <v>45357</v>
      </c>
      <c r="E336" s="4">
        <f t="shared" si="65"/>
        <v>16</v>
      </c>
      <c r="F336" s="4">
        <f t="shared" si="67"/>
        <v>16</v>
      </c>
      <c r="G336" s="4">
        <f>IF(Table1[[#This Row],[CorrectedLeadTimeDays]]&lt;=7, 1, 0)</f>
        <v>0</v>
      </c>
      <c r="H336" s="4" t="str">
        <f t="shared" si="68"/>
        <v>February</v>
      </c>
      <c r="I336" s="4" t="str">
        <f t="shared" si="69"/>
        <v>Q1-2024</v>
      </c>
      <c r="J336" s="4" t="str">
        <f t="shared" si="70"/>
        <v>2023-01</v>
      </c>
      <c r="K336" s="3">
        <f t="shared" si="71"/>
        <v>44938</v>
      </c>
      <c r="L336" t="s">
        <v>647</v>
      </c>
      <c r="M336" t="s">
        <v>659</v>
      </c>
      <c r="N336" t="s">
        <v>699</v>
      </c>
      <c r="O336" t="s">
        <v>702</v>
      </c>
      <c r="P336" t="s">
        <v>709</v>
      </c>
      <c r="Q336" t="s">
        <v>719</v>
      </c>
      <c r="R336">
        <f t="shared" si="72"/>
        <v>13</v>
      </c>
      <c r="S336" t="s">
        <v>728</v>
      </c>
      <c r="T336" t="s">
        <v>1157</v>
      </c>
      <c r="U336" s="4">
        <v>1477.84</v>
      </c>
      <c r="V336" s="4">
        <f>Table1[[#This Row],[UnitCost]]*(1+WhatIf!$B$3)</f>
        <v>1551.732</v>
      </c>
      <c r="W336" s="4">
        <f t="shared" si="73"/>
        <v>35468.159999999996</v>
      </c>
      <c r="X336" s="4">
        <f>Table1[[#This Row],[ScenarioRev]]-Table1[[#This Row],[ScenarioUnitCost]]</f>
        <v>65978.834399999992</v>
      </c>
      <c r="Y336" s="4">
        <v>3197.47</v>
      </c>
      <c r="Z336" s="4">
        <f t="shared" si="74"/>
        <v>58091.634960000003</v>
      </c>
      <c r="AA336" s="4">
        <f>Table1[[#This Row],[ScenarioQuanity]]*Table1[[#This Row],[UnitPrice]]*(1-Table1[[#This Row],[ScenarioDiscPct]])</f>
        <v>67530.566399999996</v>
      </c>
      <c r="AB336" s="4">
        <f t="shared" si="75"/>
        <v>22623.474960000007</v>
      </c>
      <c r="AC336" s="4">
        <f>Table1[[#This Row],[ScenarioRev]] - Table1[[#This Row],[ScenarioCostOfGoods]]</f>
        <v>1551.7320000000036</v>
      </c>
      <c r="AD336" s="6">
        <v>0.24299999999999999</v>
      </c>
      <c r="AE336" s="6">
        <f>MIN(Table1[[#This Row],[DiscountPct]], WhatIf!$B$2)</f>
        <v>0.2</v>
      </c>
      <c r="AF336" s="6">
        <f>IF(Table1[[#This Row],[DiscountPct]]&gt;0.2, 1, 0)</f>
        <v>1</v>
      </c>
      <c r="AG336" s="6" t="str">
        <f t="shared" si="76"/>
        <v>High</v>
      </c>
      <c r="AH336" s="6">
        <f t="shared" si="77"/>
        <v>0.38944462443823091</v>
      </c>
      <c r="AI336" s="5">
        <v>24</v>
      </c>
      <c r="AJ336" s="6">
        <f>Table1[[#This Row],[Quantity]]*(1+WhatIf!$B$4)</f>
        <v>26.400000000000002</v>
      </c>
    </row>
    <row r="337" spans="1:36" x14ac:dyDescent="0.3">
      <c r="A337" t="s">
        <v>204</v>
      </c>
      <c r="B337" s="3">
        <v>45325</v>
      </c>
      <c r="C337" s="3">
        <v>45341</v>
      </c>
      <c r="D337" s="3">
        <f t="shared" si="66"/>
        <v>45341</v>
      </c>
      <c r="E337" s="4">
        <f t="shared" si="65"/>
        <v>16</v>
      </c>
      <c r="F337" s="4">
        <f t="shared" si="67"/>
        <v>16</v>
      </c>
      <c r="G337" s="4">
        <f>IF(Table1[[#This Row],[CorrectedLeadTimeDays]]&lt;=7, 1, 0)</f>
        <v>0</v>
      </c>
      <c r="H337" s="4" t="str">
        <f t="shared" si="68"/>
        <v>February</v>
      </c>
      <c r="I337" s="4" t="str">
        <f t="shared" si="69"/>
        <v>Q1-2024</v>
      </c>
      <c r="J337" s="4" t="str">
        <f t="shared" si="70"/>
        <v>2023-01</v>
      </c>
      <c r="K337" s="3">
        <f t="shared" si="71"/>
        <v>44938</v>
      </c>
      <c r="L337" t="s">
        <v>647</v>
      </c>
      <c r="M337" t="s">
        <v>659</v>
      </c>
      <c r="N337" t="s">
        <v>676</v>
      </c>
      <c r="O337" t="s">
        <v>705</v>
      </c>
      <c r="P337" t="s">
        <v>708</v>
      </c>
      <c r="Q337" t="s">
        <v>722</v>
      </c>
      <c r="R337">
        <f t="shared" si="72"/>
        <v>12</v>
      </c>
      <c r="S337" t="s">
        <v>731</v>
      </c>
      <c r="T337" t="s">
        <v>924</v>
      </c>
      <c r="U337" s="4">
        <v>993.75</v>
      </c>
      <c r="V337" s="4">
        <f>Table1[[#This Row],[UnitCost]]*(1+WhatIf!$B$3)</f>
        <v>1043.4375</v>
      </c>
      <c r="W337" s="4">
        <f t="shared" si="73"/>
        <v>18881.25</v>
      </c>
      <c r="X337" s="4">
        <f>Table1[[#This Row],[ScenarioRev]]-Table1[[#This Row],[ScenarioUnitCost]]</f>
        <v>20864.611300000004</v>
      </c>
      <c r="Y337" s="4">
        <v>1310.29</v>
      </c>
      <c r="Z337" s="4">
        <f t="shared" si="74"/>
        <v>19542.975350000001</v>
      </c>
      <c r="AA337" s="4">
        <f>Table1[[#This Row],[ScenarioQuanity]]*Table1[[#This Row],[UnitPrice]]*(1-Table1[[#This Row],[ScenarioDiscPct]])</f>
        <v>21908.048800000004</v>
      </c>
      <c r="AB337" s="4">
        <f t="shared" si="75"/>
        <v>661.72535000000062</v>
      </c>
      <c r="AC337" s="4">
        <f>Table1[[#This Row],[ScenarioRev]] - Table1[[#This Row],[ScenarioCostOfGoods]]</f>
        <v>1043.4375</v>
      </c>
      <c r="AD337" s="6">
        <v>0.215</v>
      </c>
      <c r="AE337" s="6">
        <f>MIN(Table1[[#This Row],[DiscountPct]], WhatIf!$B$2)</f>
        <v>0.2</v>
      </c>
      <c r="AF337" s="6">
        <f>IF(Table1[[#This Row],[DiscountPct]]&gt;0.2, 1, 0)</f>
        <v>1</v>
      </c>
      <c r="AG337" s="6" t="str">
        <f t="shared" si="76"/>
        <v>High</v>
      </c>
      <c r="AH337" s="6">
        <f t="shared" si="77"/>
        <v>3.3860010471742245E-2</v>
      </c>
      <c r="AI337" s="5">
        <v>19</v>
      </c>
      <c r="AJ337" s="6">
        <f>Table1[[#This Row],[Quantity]]*(1+WhatIf!$B$4)</f>
        <v>20.900000000000002</v>
      </c>
    </row>
    <row r="338" spans="1:36" x14ac:dyDescent="0.3">
      <c r="A338" t="s">
        <v>33</v>
      </c>
      <c r="B338" s="3">
        <v>45858</v>
      </c>
      <c r="C338" s="3">
        <v>45874</v>
      </c>
      <c r="D338" s="3">
        <f t="shared" si="66"/>
        <v>45874</v>
      </c>
      <c r="E338" s="4">
        <f t="shared" si="65"/>
        <v>16</v>
      </c>
      <c r="F338" s="4">
        <f t="shared" si="67"/>
        <v>16</v>
      </c>
      <c r="G338" s="4">
        <f>IF(Table1[[#This Row],[CorrectedLeadTimeDays]]&lt;=7, 1, 0)</f>
        <v>0</v>
      </c>
      <c r="H338" s="4" t="str">
        <f t="shared" si="68"/>
        <v>July</v>
      </c>
      <c r="I338" s="4" t="str">
        <f t="shared" si="69"/>
        <v>Q3-2025</v>
      </c>
      <c r="J338" s="4" t="str">
        <f t="shared" si="70"/>
        <v>2023-01</v>
      </c>
      <c r="K338" s="3">
        <f t="shared" si="71"/>
        <v>44955</v>
      </c>
      <c r="L338" t="s">
        <v>648</v>
      </c>
      <c r="M338" t="s">
        <v>655</v>
      </c>
      <c r="N338" t="s">
        <v>672</v>
      </c>
      <c r="O338" t="s">
        <v>706</v>
      </c>
      <c r="P338" t="s">
        <v>709</v>
      </c>
      <c r="Q338" t="s">
        <v>715</v>
      </c>
      <c r="R338">
        <f t="shared" si="72"/>
        <v>29</v>
      </c>
      <c r="S338" t="s">
        <v>733</v>
      </c>
      <c r="T338" t="s">
        <v>752</v>
      </c>
      <c r="U338" s="4">
        <v>1068.17</v>
      </c>
      <c r="V338" s="4">
        <f>Table1[[#This Row],[UnitCost]]*(1+WhatIf!$B$3)</f>
        <v>1121.5785000000001</v>
      </c>
      <c r="W338" s="4">
        <f t="shared" si="73"/>
        <v>19227.060000000001</v>
      </c>
      <c r="X338" s="4">
        <f>Table1[[#This Row],[ScenarioRev]]-Table1[[#This Row],[ScenarioUnitCost]]</f>
        <v>40784.223965999998</v>
      </c>
      <c r="Y338" s="4">
        <v>2375.37</v>
      </c>
      <c r="Z338" s="4">
        <f t="shared" si="74"/>
        <v>38096.18406</v>
      </c>
      <c r="AA338" s="4">
        <f>Table1[[#This Row],[ScenarioQuanity]]*Table1[[#This Row],[UnitPrice]]*(1-Table1[[#This Row],[ScenarioDiscPct]])</f>
        <v>41905.802466000001</v>
      </c>
      <c r="AB338" s="4">
        <f t="shared" si="75"/>
        <v>18869.124059999998</v>
      </c>
      <c r="AC338" s="4">
        <f>Table1[[#This Row],[ScenarioRev]] - Table1[[#This Row],[ScenarioCostOfGoods]]</f>
        <v>1121.5785000000033</v>
      </c>
      <c r="AD338" s="6">
        <v>0.109</v>
      </c>
      <c r="AE338" s="6">
        <f>MIN(Table1[[#This Row],[DiscountPct]], WhatIf!$B$2)</f>
        <v>0.109</v>
      </c>
      <c r="AF338" s="6">
        <f>IF(Table1[[#This Row],[DiscountPct]]&gt;0.2, 1, 0)</f>
        <v>0</v>
      </c>
      <c r="AG338" s="6" t="str">
        <f t="shared" si="76"/>
        <v>High</v>
      </c>
      <c r="AH338" s="6">
        <f t="shared" si="77"/>
        <v>0.49530220744108822</v>
      </c>
      <c r="AI338" s="5">
        <v>18</v>
      </c>
      <c r="AJ338" s="6">
        <f>Table1[[#This Row],[Quantity]]*(1+WhatIf!$B$4)</f>
        <v>19.8</v>
      </c>
    </row>
    <row r="339" spans="1:36" x14ac:dyDescent="0.3">
      <c r="A339" t="s">
        <v>362</v>
      </c>
      <c r="B339" s="3">
        <v>45281</v>
      </c>
      <c r="C339" s="3">
        <v>45297</v>
      </c>
      <c r="D339" s="3">
        <f t="shared" si="66"/>
        <v>45297</v>
      </c>
      <c r="E339" s="4">
        <f t="shared" si="65"/>
        <v>16</v>
      </c>
      <c r="F339" s="4">
        <f t="shared" si="67"/>
        <v>16</v>
      </c>
      <c r="G339" s="4">
        <f>IF(Table1[[#This Row],[CorrectedLeadTimeDays]]&lt;=7, 1, 0)</f>
        <v>0</v>
      </c>
      <c r="H339" s="4" t="str">
        <f t="shared" si="68"/>
        <v>December</v>
      </c>
      <c r="I339" s="4" t="str">
        <f t="shared" si="69"/>
        <v>Q4-2023</v>
      </c>
      <c r="J339" s="4" t="str">
        <f t="shared" si="70"/>
        <v>2023-01</v>
      </c>
      <c r="K339" s="3">
        <f t="shared" si="71"/>
        <v>44941</v>
      </c>
      <c r="L339" t="s">
        <v>646</v>
      </c>
      <c r="M339" t="s">
        <v>651</v>
      </c>
      <c r="O339" t="s">
        <v>701</v>
      </c>
      <c r="P339" t="s">
        <v>709</v>
      </c>
      <c r="Q339" t="s">
        <v>723</v>
      </c>
      <c r="R339">
        <f t="shared" si="72"/>
        <v>11</v>
      </c>
      <c r="S339" t="s">
        <v>727</v>
      </c>
      <c r="T339" t="s">
        <v>1082</v>
      </c>
      <c r="U339" s="4">
        <v>932.61</v>
      </c>
      <c r="V339" s="4">
        <f>Table1[[#This Row],[UnitCost]]*(1+WhatIf!$B$3)</f>
        <v>979.24050000000011</v>
      </c>
      <c r="W339" s="4">
        <f t="shared" si="73"/>
        <v>14921.76</v>
      </c>
      <c r="X339" s="4">
        <f>Table1[[#This Row],[ScenarioRev]]-Table1[[#This Row],[ScenarioUnitCost]]</f>
        <v>28895.542988000005</v>
      </c>
      <c r="Y339" s="4">
        <v>1982.98</v>
      </c>
      <c r="Z339" s="4">
        <f t="shared" si="74"/>
        <v>27158.894079999998</v>
      </c>
      <c r="AA339" s="4">
        <f>Table1[[#This Row],[ScenarioQuanity]]*Table1[[#This Row],[UnitPrice]]*(1-Table1[[#This Row],[ScenarioDiscPct]])</f>
        <v>29874.783488000005</v>
      </c>
      <c r="AB339" s="4">
        <f t="shared" si="75"/>
        <v>12237.134079999998</v>
      </c>
      <c r="AC339" s="4">
        <f>Table1[[#This Row],[ScenarioRev]] - Table1[[#This Row],[ScenarioCostOfGoods]]</f>
        <v>979.24049999999988</v>
      </c>
      <c r="AD339" s="6">
        <v>0.14399999999999999</v>
      </c>
      <c r="AE339" s="6">
        <f>MIN(Table1[[#This Row],[DiscountPct]], WhatIf!$B$2)</f>
        <v>0.14399999999999999</v>
      </c>
      <c r="AF339" s="6">
        <f>IF(Table1[[#This Row],[DiscountPct]]&gt;0.2, 1, 0)</f>
        <v>0</v>
      </c>
      <c r="AG339" s="6" t="str">
        <f t="shared" si="76"/>
        <v>High</v>
      </c>
      <c r="AH339" s="6">
        <f t="shared" si="77"/>
        <v>0.45057556629345635</v>
      </c>
      <c r="AI339" s="5">
        <v>16</v>
      </c>
      <c r="AJ339" s="6">
        <f>Table1[[#This Row],[Quantity]]*(1+WhatIf!$B$4)</f>
        <v>17.600000000000001</v>
      </c>
    </row>
    <row r="340" spans="1:36" x14ac:dyDescent="0.3">
      <c r="A340" t="s">
        <v>331</v>
      </c>
      <c r="B340" s="3">
        <v>45244</v>
      </c>
      <c r="C340" s="3">
        <v>45260</v>
      </c>
      <c r="D340" s="3">
        <f t="shared" si="66"/>
        <v>45260</v>
      </c>
      <c r="E340" s="4">
        <f t="shared" si="65"/>
        <v>16</v>
      </c>
      <c r="F340" s="4">
        <f t="shared" si="67"/>
        <v>16</v>
      </c>
      <c r="G340" s="4">
        <f>IF(Table1[[#This Row],[CorrectedLeadTimeDays]]&lt;=7, 1, 0)</f>
        <v>0</v>
      </c>
      <c r="H340" s="4" t="str">
        <f t="shared" si="68"/>
        <v>November</v>
      </c>
      <c r="I340" s="4" t="str">
        <f t="shared" si="69"/>
        <v>Q4-2023</v>
      </c>
      <c r="J340" s="4" t="str">
        <f t="shared" si="70"/>
        <v>2023-01</v>
      </c>
      <c r="K340" s="3">
        <f t="shared" si="71"/>
        <v>44955</v>
      </c>
      <c r="L340" t="s">
        <v>648</v>
      </c>
      <c r="M340" t="s">
        <v>655</v>
      </c>
      <c r="N340" t="s">
        <v>670</v>
      </c>
      <c r="O340" t="s">
        <v>706</v>
      </c>
      <c r="P340" t="s">
        <v>711</v>
      </c>
      <c r="Q340" t="s">
        <v>723</v>
      </c>
      <c r="R340">
        <f t="shared" si="72"/>
        <v>9</v>
      </c>
      <c r="S340" t="s">
        <v>729</v>
      </c>
      <c r="T340" t="s">
        <v>1051</v>
      </c>
      <c r="U340" s="4">
        <v>1017.92</v>
      </c>
      <c r="V340" s="4">
        <f>Table1[[#This Row],[UnitCost]]*(1+WhatIf!$B$3)</f>
        <v>1068.816</v>
      </c>
      <c r="W340" s="4">
        <f t="shared" si="73"/>
        <v>15268.8</v>
      </c>
      <c r="X340" s="4">
        <f>Table1[[#This Row],[ScenarioRev]]-Table1[[#This Row],[ScenarioUnitCost]]</f>
        <v>16868.437125</v>
      </c>
      <c r="Y340" s="4">
        <v>1175.25</v>
      </c>
      <c r="Z340" s="4">
        <f t="shared" si="74"/>
        <v>16306.59375</v>
      </c>
      <c r="AA340" s="4">
        <f>Table1[[#This Row],[ScenarioQuanity]]*Table1[[#This Row],[UnitPrice]]*(1-Table1[[#This Row],[ScenarioDiscPct]])</f>
        <v>17937.253124999999</v>
      </c>
      <c r="AB340" s="4">
        <f t="shared" si="75"/>
        <v>1037.7937500000007</v>
      </c>
      <c r="AC340" s="4">
        <f>Table1[[#This Row],[ScenarioRev]] - Table1[[#This Row],[ScenarioCostOfGoods]]</f>
        <v>1068.8159999999989</v>
      </c>
      <c r="AD340" s="6">
        <v>7.4999999999999997E-2</v>
      </c>
      <c r="AE340" s="6">
        <f>MIN(Table1[[#This Row],[DiscountPct]], WhatIf!$B$2)</f>
        <v>7.4999999999999997E-2</v>
      </c>
      <c r="AF340" s="6">
        <f>IF(Table1[[#This Row],[DiscountPct]]&gt;0.2, 1, 0)</f>
        <v>0</v>
      </c>
      <c r="AG340" s="6" t="str">
        <f t="shared" si="76"/>
        <v>High</v>
      </c>
      <c r="AH340" s="6">
        <f t="shared" si="77"/>
        <v>6.3642583234159542E-2</v>
      </c>
      <c r="AI340" s="5">
        <v>15</v>
      </c>
      <c r="AJ340" s="6">
        <f>Table1[[#This Row],[Quantity]]*(1+WhatIf!$B$4)</f>
        <v>16.5</v>
      </c>
    </row>
    <row r="341" spans="1:36" x14ac:dyDescent="0.3">
      <c r="A341" t="s">
        <v>537</v>
      </c>
      <c r="B341" s="3">
        <v>45406</v>
      </c>
      <c r="C341" s="3">
        <v>45422</v>
      </c>
      <c r="D341" s="3">
        <f t="shared" si="66"/>
        <v>45422</v>
      </c>
      <c r="E341" s="4">
        <f t="shared" si="65"/>
        <v>16</v>
      </c>
      <c r="F341" s="4">
        <f t="shared" si="67"/>
        <v>16</v>
      </c>
      <c r="G341" s="4">
        <f>IF(Table1[[#This Row],[CorrectedLeadTimeDays]]&lt;=7, 1, 0)</f>
        <v>0</v>
      </c>
      <c r="H341" s="4" t="str">
        <f t="shared" si="68"/>
        <v>April</v>
      </c>
      <c r="I341" s="4" t="str">
        <f t="shared" si="69"/>
        <v>Q2-2024</v>
      </c>
      <c r="J341" s="4" t="str">
        <f t="shared" si="70"/>
        <v>2023-01</v>
      </c>
      <c r="K341" s="3">
        <f t="shared" si="71"/>
        <v>44946</v>
      </c>
      <c r="L341" t="s">
        <v>646</v>
      </c>
      <c r="M341" t="s">
        <v>650</v>
      </c>
      <c r="N341" t="s">
        <v>662</v>
      </c>
      <c r="O341" t="s">
        <v>703</v>
      </c>
      <c r="P341" t="s">
        <v>708</v>
      </c>
      <c r="Q341" t="s">
        <v>725</v>
      </c>
      <c r="R341">
        <f t="shared" si="72"/>
        <v>15</v>
      </c>
      <c r="S341" t="s">
        <v>732</v>
      </c>
      <c r="T341" t="s">
        <v>1256</v>
      </c>
      <c r="U341" s="4">
        <v>513.30999999999995</v>
      </c>
      <c r="V341" s="4">
        <f>Table1[[#This Row],[UnitCost]]*(1+WhatIf!$B$3)</f>
        <v>538.97550000000001</v>
      </c>
      <c r="W341" s="4">
        <f t="shared" si="73"/>
        <v>7699.65</v>
      </c>
      <c r="X341" s="4">
        <f>Table1[[#This Row],[ScenarioRev]]-Table1[[#This Row],[ScenarioUnitCost]]</f>
        <v>17194.42524</v>
      </c>
      <c r="Y341" s="4">
        <v>1186.26</v>
      </c>
      <c r="Z341" s="4">
        <f t="shared" si="74"/>
        <v>16121.273400000002</v>
      </c>
      <c r="AA341" s="4">
        <f>Table1[[#This Row],[ScenarioQuanity]]*Table1[[#This Row],[UnitPrice]]*(1-Table1[[#This Row],[ScenarioDiscPct]])</f>
        <v>17733.400740000001</v>
      </c>
      <c r="AB341" s="4">
        <f t="shared" si="75"/>
        <v>8421.6234000000022</v>
      </c>
      <c r="AC341" s="4">
        <f>Table1[[#This Row],[ScenarioRev]] - Table1[[#This Row],[ScenarioCostOfGoods]]</f>
        <v>538.97550000000047</v>
      </c>
      <c r="AD341" s="6">
        <v>9.4E-2</v>
      </c>
      <c r="AE341" s="6">
        <f>MIN(Table1[[#This Row],[DiscountPct]], WhatIf!$B$2)</f>
        <v>9.4E-2</v>
      </c>
      <c r="AF341" s="6">
        <f>IF(Table1[[#This Row],[DiscountPct]]&gt;0.2, 1, 0)</f>
        <v>0</v>
      </c>
      <c r="AG341" s="6" t="str">
        <f t="shared" si="76"/>
        <v>High</v>
      </c>
      <c r="AH341" s="6">
        <f t="shared" si="77"/>
        <v>0.52239194702820446</v>
      </c>
      <c r="AI341" s="5">
        <v>15</v>
      </c>
      <c r="AJ341" s="6">
        <f>Table1[[#This Row],[Quantity]]*(1+WhatIf!$B$4)</f>
        <v>16.5</v>
      </c>
    </row>
    <row r="342" spans="1:36" x14ac:dyDescent="0.3">
      <c r="A342" t="s">
        <v>373</v>
      </c>
      <c r="B342" s="3">
        <v>45309</v>
      </c>
      <c r="C342" s="3">
        <v>45325</v>
      </c>
      <c r="D342" s="3">
        <f t="shared" si="66"/>
        <v>45325</v>
      </c>
      <c r="E342" s="4">
        <f t="shared" si="65"/>
        <v>16</v>
      </c>
      <c r="F342" s="4">
        <f t="shared" si="67"/>
        <v>16</v>
      </c>
      <c r="G342" s="4">
        <f>IF(Table1[[#This Row],[CorrectedLeadTimeDays]]&lt;=7, 1, 0)</f>
        <v>0</v>
      </c>
      <c r="H342" s="4" t="str">
        <f t="shared" si="68"/>
        <v>January</v>
      </c>
      <c r="I342" s="4" t="str">
        <f t="shared" si="69"/>
        <v>Q1-2024</v>
      </c>
      <c r="J342" s="4" t="str">
        <f t="shared" si="70"/>
        <v>2023-01</v>
      </c>
      <c r="K342" s="3">
        <f t="shared" si="71"/>
        <v>44933</v>
      </c>
      <c r="L342" t="s">
        <v>646</v>
      </c>
      <c r="M342" t="s">
        <v>661</v>
      </c>
      <c r="N342" t="s">
        <v>695</v>
      </c>
      <c r="O342" t="s">
        <v>703</v>
      </c>
      <c r="P342" t="s">
        <v>710</v>
      </c>
      <c r="Q342" t="s">
        <v>716</v>
      </c>
      <c r="R342">
        <f t="shared" si="72"/>
        <v>12</v>
      </c>
      <c r="S342" t="s">
        <v>728</v>
      </c>
      <c r="T342" t="s">
        <v>1093</v>
      </c>
      <c r="U342" s="4">
        <v>666.23</v>
      </c>
      <c r="V342" s="4">
        <f>Table1[[#This Row],[UnitCost]]*(1+WhatIf!$B$3)</f>
        <v>699.54150000000004</v>
      </c>
      <c r="W342" s="4">
        <f t="shared" si="73"/>
        <v>8660.99</v>
      </c>
      <c r="X342" s="4">
        <f>Table1[[#This Row],[ScenarioRev]]-Table1[[#This Row],[ScenarioUnitCost]]</f>
        <v>15595.563612000004</v>
      </c>
      <c r="Y342" s="4">
        <v>1382.91</v>
      </c>
      <c r="Z342" s="4">
        <f t="shared" si="74"/>
        <v>14813.731920000002</v>
      </c>
      <c r="AA342" s="4">
        <f>Table1[[#This Row],[ScenarioQuanity]]*Table1[[#This Row],[UnitPrice]]*(1-Table1[[#This Row],[ScenarioDiscPct]])</f>
        <v>16295.105112000003</v>
      </c>
      <c r="AB342" s="4">
        <f t="shared" si="75"/>
        <v>6152.7419200000022</v>
      </c>
      <c r="AC342" s="4">
        <f>Table1[[#This Row],[ScenarioRev]] - Table1[[#This Row],[ScenarioCostOfGoods]]</f>
        <v>699.54149999999936</v>
      </c>
      <c r="AD342" s="6">
        <v>0.17599999999999999</v>
      </c>
      <c r="AE342" s="6">
        <f>MIN(Table1[[#This Row],[DiscountPct]], WhatIf!$B$2)</f>
        <v>0.17599999999999999</v>
      </c>
      <c r="AF342" s="6">
        <f>IF(Table1[[#This Row],[DiscountPct]]&gt;0.2, 1, 0)</f>
        <v>0</v>
      </c>
      <c r="AG342" s="6" t="str">
        <f t="shared" si="76"/>
        <v>High</v>
      </c>
      <c r="AH342" s="6">
        <f t="shared" si="77"/>
        <v>0.41534043907553048</v>
      </c>
      <c r="AI342" s="5">
        <v>13</v>
      </c>
      <c r="AJ342" s="6">
        <f>Table1[[#This Row],[Quantity]]*(1+WhatIf!$B$4)</f>
        <v>14.3</v>
      </c>
    </row>
    <row r="343" spans="1:36" x14ac:dyDescent="0.3">
      <c r="A343" t="s">
        <v>248</v>
      </c>
      <c r="B343" s="3">
        <v>44999</v>
      </c>
      <c r="C343" s="3">
        <v>45015</v>
      </c>
      <c r="D343" s="3">
        <f t="shared" si="66"/>
        <v>45015</v>
      </c>
      <c r="E343" s="4">
        <f t="shared" si="65"/>
        <v>16</v>
      </c>
      <c r="F343" s="4">
        <f t="shared" si="67"/>
        <v>16</v>
      </c>
      <c r="G343" s="4">
        <f>IF(Table1[[#This Row],[CorrectedLeadTimeDays]]&lt;=7, 1, 0)</f>
        <v>0</v>
      </c>
      <c r="H343" s="4" t="str">
        <f t="shared" si="68"/>
        <v>March</v>
      </c>
      <c r="I343" s="4" t="str">
        <f t="shared" si="69"/>
        <v>Q1-2023</v>
      </c>
      <c r="J343" s="4" t="str">
        <f t="shared" si="70"/>
        <v>2023-01</v>
      </c>
      <c r="K343" s="3">
        <f t="shared" si="71"/>
        <v>44933</v>
      </c>
      <c r="L343" t="s">
        <v>646</v>
      </c>
      <c r="M343" t="s">
        <v>661</v>
      </c>
      <c r="N343" t="s">
        <v>695</v>
      </c>
      <c r="O343" t="s">
        <v>704</v>
      </c>
      <c r="P343" t="s">
        <v>710</v>
      </c>
      <c r="Q343" t="s">
        <v>723</v>
      </c>
      <c r="R343">
        <f t="shared" si="72"/>
        <v>2</v>
      </c>
      <c r="S343" t="s">
        <v>727</v>
      </c>
      <c r="T343" t="s">
        <v>968</v>
      </c>
      <c r="U343" s="4">
        <v>1309.77</v>
      </c>
      <c r="V343" s="4">
        <f>Table1[[#This Row],[UnitCost]]*(1+WhatIf!$B$3)</f>
        <v>1375.2585000000001</v>
      </c>
      <c r="W343" s="4">
        <f t="shared" si="73"/>
        <v>13097.7</v>
      </c>
      <c r="X343" s="4">
        <f>Table1[[#This Row],[ScenarioRev]]-Table1[[#This Row],[ScenarioUnitCost]]</f>
        <v>14321.574960000002</v>
      </c>
      <c r="Y343" s="4">
        <v>1589.07</v>
      </c>
      <c r="Z343" s="4">
        <f t="shared" si="74"/>
        <v>14269.848599999999</v>
      </c>
      <c r="AA343" s="4">
        <f>Table1[[#This Row],[ScenarioQuanity]]*Table1[[#This Row],[UnitPrice]]*(1-Table1[[#This Row],[ScenarioDiscPct]])</f>
        <v>15696.833460000002</v>
      </c>
      <c r="AB343" s="4">
        <f t="shared" si="75"/>
        <v>1172.1485999999986</v>
      </c>
      <c r="AC343" s="4">
        <f>Table1[[#This Row],[ScenarioRev]] - Table1[[#This Row],[ScenarioCostOfGoods]]</f>
        <v>1375.2584999999999</v>
      </c>
      <c r="AD343" s="6">
        <v>0.10199999999999999</v>
      </c>
      <c r="AE343" s="6">
        <f>MIN(Table1[[#This Row],[DiscountPct]], WhatIf!$B$2)</f>
        <v>0.10199999999999999</v>
      </c>
      <c r="AF343" s="6">
        <f>IF(Table1[[#This Row],[DiscountPct]]&gt;0.2, 1, 0)</f>
        <v>0</v>
      </c>
      <c r="AG343" s="6" t="str">
        <f t="shared" si="76"/>
        <v>High</v>
      </c>
      <c r="AH343" s="6">
        <f t="shared" si="77"/>
        <v>8.2141628328137886E-2</v>
      </c>
      <c r="AI343" s="5">
        <v>10</v>
      </c>
      <c r="AJ343" s="6">
        <f>Table1[[#This Row],[Quantity]]*(1+WhatIf!$B$4)</f>
        <v>11</v>
      </c>
    </row>
    <row r="344" spans="1:36" x14ac:dyDescent="0.3">
      <c r="A344" t="s">
        <v>317</v>
      </c>
      <c r="B344" s="3">
        <v>45830</v>
      </c>
      <c r="C344" s="3">
        <v>45846</v>
      </c>
      <c r="D344" s="3">
        <f t="shared" si="66"/>
        <v>45846</v>
      </c>
      <c r="E344" s="4">
        <f t="shared" si="65"/>
        <v>16</v>
      </c>
      <c r="F344" s="4">
        <f t="shared" si="67"/>
        <v>16</v>
      </c>
      <c r="G344" s="4">
        <f>IF(Table1[[#This Row],[CorrectedLeadTimeDays]]&lt;=7, 1, 0)</f>
        <v>0</v>
      </c>
      <c r="H344" s="4" t="str">
        <f t="shared" si="68"/>
        <v>June</v>
      </c>
      <c r="I344" s="4" t="str">
        <f t="shared" si="69"/>
        <v>Q2-2025</v>
      </c>
      <c r="J344" s="4" t="str">
        <f t="shared" si="70"/>
        <v>2023-01</v>
      </c>
      <c r="K344" s="3">
        <f t="shared" si="71"/>
        <v>44945</v>
      </c>
      <c r="L344" t="s">
        <v>649</v>
      </c>
      <c r="M344" t="s">
        <v>658</v>
      </c>
      <c r="N344" t="s">
        <v>683</v>
      </c>
      <c r="O344" t="s">
        <v>702</v>
      </c>
      <c r="P344" t="s">
        <v>711</v>
      </c>
      <c r="Q344" t="s">
        <v>720</v>
      </c>
      <c r="R344">
        <f t="shared" si="72"/>
        <v>29</v>
      </c>
      <c r="S344" t="s">
        <v>730</v>
      </c>
      <c r="T344" t="s">
        <v>1037</v>
      </c>
      <c r="U344" s="4">
        <v>892.73</v>
      </c>
      <c r="V344" s="4">
        <f>Table1[[#This Row],[UnitCost]]*(1+WhatIf!$B$3)</f>
        <v>937.36650000000009</v>
      </c>
      <c r="W344" s="4">
        <f t="shared" si="73"/>
        <v>8927.2999999999993</v>
      </c>
      <c r="X344" s="4">
        <f>Table1[[#This Row],[ScenarioRev]]-Table1[[#This Row],[ScenarioUnitCost]]</f>
        <v>7965.4597400000002</v>
      </c>
      <c r="Y344" s="4">
        <v>979.84</v>
      </c>
      <c r="Z344" s="4">
        <f t="shared" si="74"/>
        <v>8093.4784</v>
      </c>
      <c r="AA344" s="4">
        <f>Table1[[#This Row],[ScenarioQuanity]]*Table1[[#This Row],[UnitPrice]]*(1-Table1[[#This Row],[ScenarioDiscPct]])</f>
        <v>8902.8262400000003</v>
      </c>
      <c r="AB344" s="4">
        <f t="shared" si="75"/>
        <v>-833.82159999999931</v>
      </c>
      <c r="AC344" s="4">
        <f>Table1[[#This Row],[ScenarioRev]] - Table1[[#This Row],[ScenarioCostOfGoods]]</f>
        <v>937.36650000000009</v>
      </c>
      <c r="AD344" s="6">
        <v>0.17399999999999999</v>
      </c>
      <c r="AE344" s="6">
        <f>MIN(Table1[[#This Row],[DiscountPct]], WhatIf!$B$2)</f>
        <v>0.17399999999999999</v>
      </c>
      <c r="AF344" s="6">
        <f>IF(Table1[[#This Row],[DiscountPct]]&gt;0.2, 1, 0)</f>
        <v>0</v>
      </c>
      <c r="AG344" s="6" t="str">
        <f t="shared" si="76"/>
        <v>High</v>
      </c>
      <c r="AH344" s="6">
        <f t="shared" si="77"/>
        <v>-0.10302388649112838</v>
      </c>
      <c r="AI344" s="5">
        <v>10</v>
      </c>
      <c r="AJ344" s="6">
        <f>Table1[[#This Row],[Quantity]]*(1+WhatIf!$B$4)</f>
        <v>11</v>
      </c>
    </row>
    <row r="345" spans="1:36" x14ac:dyDescent="0.3">
      <c r="A345" t="s">
        <v>352</v>
      </c>
      <c r="B345" s="3">
        <v>45132</v>
      </c>
      <c r="C345" s="3">
        <v>45148</v>
      </c>
      <c r="D345" s="3">
        <f t="shared" si="66"/>
        <v>45148</v>
      </c>
      <c r="E345" s="4">
        <f t="shared" si="65"/>
        <v>16</v>
      </c>
      <c r="F345" s="4">
        <f t="shared" si="67"/>
        <v>16</v>
      </c>
      <c r="G345" s="4">
        <f>IF(Table1[[#This Row],[CorrectedLeadTimeDays]]&lt;=7, 1, 0)</f>
        <v>0</v>
      </c>
      <c r="H345" s="4" t="str">
        <f t="shared" si="68"/>
        <v>July</v>
      </c>
      <c r="I345" s="4" t="str">
        <f t="shared" si="69"/>
        <v>Q3-2023</v>
      </c>
      <c r="J345" s="4" t="str">
        <f t="shared" si="70"/>
        <v>2023-01</v>
      </c>
      <c r="K345" s="3">
        <f t="shared" si="71"/>
        <v>44941</v>
      </c>
      <c r="L345" t="s">
        <v>646</v>
      </c>
      <c r="M345" t="s">
        <v>651</v>
      </c>
      <c r="N345" t="s">
        <v>663</v>
      </c>
      <c r="O345" t="s">
        <v>701</v>
      </c>
      <c r="P345" t="s">
        <v>710</v>
      </c>
      <c r="Q345" t="s">
        <v>714</v>
      </c>
      <c r="R345">
        <f t="shared" si="72"/>
        <v>6</v>
      </c>
      <c r="S345" t="s">
        <v>733</v>
      </c>
      <c r="T345" t="s">
        <v>1072</v>
      </c>
      <c r="U345" s="4">
        <v>506.83</v>
      </c>
      <c r="V345" s="4">
        <f>Table1[[#This Row],[UnitCost]]*(1+WhatIf!$B$3)</f>
        <v>532.17150000000004</v>
      </c>
      <c r="W345" s="4">
        <f t="shared" si="73"/>
        <v>4561.47</v>
      </c>
      <c r="X345" s="4">
        <f>Table1[[#This Row],[ScenarioRev]]-Table1[[#This Row],[ScenarioUnitCost]]</f>
        <v>2966.4093000000007</v>
      </c>
      <c r="Y345" s="4">
        <v>441.74</v>
      </c>
      <c r="Z345" s="4">
        <f t="shared" si="74"/>
        <v>3021.5016000000001</v>
      </c>
      <c r="AA345" s="4">
        <f>Table1[[#This Row],[ScenarioQuanity]]*Table1[[#This Row],[UnitPrice]]*(1-Table1[[#This Row],[ScenarioDiscPct]])</f>
        <v>3498.5808000000006</v>
      </c>
      <c r="AB345" s="4">
        <f t="shared" si="75"/>
        <v>-1539.9684000000002</v>
      </c>
      <c r="AC345" s="4">
        <f>Table1[[#This Row],[ScenarioRev]] - Table1[[#This Row],[ScenarioCostOfGoods]]</f>
        <v>532.17149999999992</v>
      </c>
      <c r="AD345" s="6">
        <v>0.24</v>
      </c>
      <c r="AE345" s="6">
        <f>MIN(Table1[[#This Row],[DiscountPct]], WhatIf!$B$2)</f>
        <v>0.2</v>
      </c>
      <c r="AF345" s="6">
        <f>IF(Table1[[#This Row],[DiscountPct]]&gt;0.2, 1, 0)</f>
        <v>1</v>
      </c>
      <c r="AG345" s="6" t="str">
        <f t="shared" si="76"/>
        <v>Low</v>
      </c>
      <c r="AH345" s="6">
        <f t="shared" si="77"/>
        <v>-0.50966989393618067</v>
      </c>
      <c r="AI345" s="5">
        <v>9</v>
      </c>
      <c r="AJ345" s="6">
        <f>Table1[[#This Row],[Quantity]]*(1+WhatIf!$B$4)</f>
        <v>9.9</v>
      </c>
    </row>
    <row r="346" spans="1:36" x14ac:dyDescent="0.3">
      <c r="A346" t="s">
        <v>65</v>
      </c>
      <c r="B346" s="3">
        <v>45602</v>
      </c>
      <c r="C346" s="3">
        <v>45618</v>
      </c>
      <c r="D346" s="3">
        <f t="shared" si="66"/>
        <v>45618</v>
      </c>
      <c r="E346" s="4">
        <f t="shared" si="65"/>
        <v>16</v>
      </c>
      <c r="F346" s="4">
        <f t="shared" si="67"/>
        <v>16</v>
      </c>
      <c r="G346" s="4">
        <f>IF(Table1[[#This Row],[CorrectedLeadTimeDays]]&lt;=7, 1, 0)</f>
        <v>0</v>
      </c>
      <c r="H346" s="4" t="str">
        <f t="shared" si="68"/>
        <v>November</v>
      </c>
      <c r="I346" s="4" t="str">
        <f t="shared" si="69"/>
        <v>Q4-2024</v>
      </c>
      <c r="J346" s="4" t="str">
        <f t="shared" si="70"/>
        <v>2023-01</v>
      </c>
      <c r="K346" s="3">
        <f t="shared" si="71"/>
        <v>44928</v>
      </c>
      <c r="L346" t="s">
        <v>648</v>
      </c>
      <c r="M346" t="s">
        <v>653</v>
      </c>
      <c r="N346" t="s">
        <v>667</v>
      </c>
      <c r="O346" t="s">
        <v>703</v>
      </c>
      <c r="P346" t="s">
        <v>710</v>
      </c>
      <c r="Q346" t="s">
        <v>726</v>
      </c>
      <c r="R346">
        <f t="shared" si="72"/>
        <v>22</v>
      </c>
      <c r="S346" t="s">
        <v>733</v>
      </c>
      <c r="T346" t="s">
        <v>784</v>
      </c>
      <c r="U346" s="4">
        <v>1454.11</v>
      </c>
      <c r="V346" s="4">
        <f>Table1[[#This Row],[UnitCost]]*(1+WhatIf!$B$3)</f>
        <v>1526.8154999999999</v>
      </c>
      <c r="W346" s="4">
        <f t="shared" si="73"/>
        <v>11632.88</v>
      </c>
      <c r="X346" s="4">
        <f>Table1[[#This Row],[ScenarioRev]]-Table1[[#This Row],[ScenarioUnitCost]]</f>
        <v>16986.624500000002</v>
      </c>
      <c r="Y346" s="4">
        <v>2629.75</v>
      </c>
      <c r="Z346" s="4">
        <f t="shared" si="74"/>
        <v>14894.903999999999</v>
      </c>
      <c r="AA346" s="4">
        <f>Table1[[#This Row],[ScenarioQuanity]]*Table1[[#This Row],[UnitPrice]]*(1-Table1[[#This Row],[ScenarioDiscPct]])</f>
        <v>18513.440000000002</v>
      </c>
      <c r="AB346" s="4">
        <f t="shared" si="75"/>
        <v>3262.0239999999994</v>
      </c>
      <c r="AC346" s="4">
        <f>Table1[[#This Row],[ScenarioRev]] - Table1[[#This Row],[ScenarioCostOfGoods]]</f>
        <v>1526.8155000000006</v>
      </c>
      <c r="AD346" s="6">
        <v>0.29199999999999998</v>
      </c>
      <c r="AE346" s="6">
        <f>MIN(Table1[[#This Row],[DiscountPct]], WhatIf!$B$2)</f>
        <v>0.2</v>
      </c>
      <c r="AF346" s="6">
        <f>IF(Table1[[#This Row],[DiscountPct]]&gt;0.2, 1, 0)</f>
        <v>1</v>
      </c>
      <c r="AG346" s="6" t="str">
        <f t="shared" si="76"/>
        <v>High</v>
      </c>
      <c r="AH346" s="6">
        <f t="shared" si="77"/>
        <v>0.21900268709351867</v>
      </c>
      <c r="AI346" s="5">
        <v>8</v>
      </c>
      <c r="AJ346" s="6">
        <f>Table1[[#This Row],[Quantity]]*(1+WhatIf!$B$4)</f>
        <v>8.8000000000000007</v>
      </c>
    </row>
    <row r="347" spans="1:36" x14ac:dyDescent="0.3">
      <c r="A347" t="s">
        <v>52</v>
      </c>
      <c r="B347" s="3">
        <v>45832</v>
      </c>
      <c r="C347" s="3">
        <v>45848</v>
      </c>
      <c r="D347" s="3">
        <f t="shared" si="66"/>
        <v>45848</v>
      </c>
      <c r="E347" s="4">
        <f t="shared" si="65"/>
        <v>16</v>
      </c>
      <c r="F347" s="4">
        <f t="shared" si="67"/>
        <v>16</v>
      </c>
      <c r="G347" s="4">
        <f>IF(Table1[[#This Row],[CorrectedLeadTimeDays]]&lt;=7, 1, 0)</f>
        <v>0</v>
      </c>
      <c r="H347" s="4" t="str">
        <f t="shared" si="68"/>
        <v>June</v>
      </c>
      <c r="I347" s="4" t="str">
        <f t="shared" si="69"/>
        <v>Q2-2025</v>
      </c>
      <c r="J347" s="4" t="str">
        <f t="shared" si="70"/>
        <v>2023-01</v>
      </c>
      <c r="K347" s="3">
        <f t="shared" si="71"/>
        <v>44938</v>
      </c>
      <c r="L347" t="s">
        <v>647</v>
      </c>
      <c r="M347" t="s">
        <v>659</v>
      </c>
      <c r="N347" t="s">
        <v>685</v>
      </c>
      <c r="O347" t="s">
        <v>706</v>
      </c>
      <c r="P347" t="s">
        <v>711</v>
      </c>
      <c r="Q347" t="s">
        <v>725</v>
      </c>
      <c r="R347">
        <f t="shared" si="72"/>
        <v>29</v>
      </c>
      <c r="S347" t="s">
        <v>727</v>
      </c>
      <c r="T347" t="s">
        <v>771</v>
      </c>
      <c r="U347" s="4">
        <v>757.19</v>
      </c>
      <c r="V347" s="4">
        <f>Table1[[#This Row],[UnitCost]]*(1+WhatIf!$B$3)</f>
        <v>795.04950000000008</v>
      </c>
      <c r="W347" s="4">
        <f t="shared" si="73"/>
        <v>6057.52</v>
      </c>
      <c r="X347" s="4">
        <f>Table1[[#This Row],[ScenarioRev]]-Table1[[#This Row],[ScenarioUnitCost]]</f>
        <v>12399.619812000001</v>
      </c>
      <c r="Y347" s="4">
        <v>1735.41</v>
      </c>
      <c r="Z347" s="4">
        <f t="shared" si="74"/>
        <v>11995.153920000001</v>
      </c>
      <c r="AA347" s="4">
        <f>Table1[[#This Row],[ScenarioQuanity]]*Table1[[#This Row],[UnitPrice]]*(1-Table1[[#This Row],[ScenarioDiscPct]])</f>
        <v>13194.669312000002</v>
      </c>
      <c r="AB347" s="4">
        <f t="shared" si="75"/>
        <v>5937.6339200000002</v>
      </c>
      <c r="AC347" s="4">
        <f>Table1[[#This Row],[ScenarioRev]] - Table1[[#This Row],[ScenarioCostOfGoods]]</f>
        <v>795.04950000000099</v>
      </c>
      <c r="AD347" s="6">
        <v>0.13600000000000001</v>
      </c>
      <c r="AE347" s="6">
        <f>MIN(Table1[[#This Row],[DiscountPct]], WhatIf!$B$2)</f>
        <v>0.13600000000000001</v>
      </c>
      <c r="AF347" s="6">
        <f>IF(Table1[[#This Row],[DiscountPct]]&gt;0.2, 1, 0)</f>
        <v>0</v>
      </c>
      <c r="AG347" s="6" t="str">
        <f t="shared" si="76"/>
        <v>High</v>
      </c>
      <c r="AH347" s="6">
        <f t="shared" si="77"/>
        <v>0.4950027285685718</v>
      </c>
      <c r="AI347" s="5">
        <v>8</v>
      </c>
      <c r="AJ347" s="6">
        <f>Table1[[#This Row],[Quantity]]*(1+WhatIf!$B$4)</f>
        <v>8.8000000000000007</v>
      </c>
    </row>
    <row r="348" spans="1:36" x14ac:dyDescent="0.3">
      <c r="A348" t="s">
        <v>145</v>
      </c>
      <c r="B348" s="3">
        <v>45700</v>
      </c>
      <c r="C348" s="3">
        <v>45716</v>
      </c>
      <c r="D348" s="3">
        <f t="shared" si="66"/>
        <v>45716</v>
      </c>
      <c r="E348" s="4">
        <f t="shared" si="65"/>
        <v>16</v>
      </c>
      <c r="F348" s="4">
        <f t="shared" si="67"/>
        <v>16</v>
      </c>
      <c r="G348" s="4">
        <f>IF(Table1[[#This Row],[CorrectedLeadTimeDays]]&lt;=7, 1, 0)</f>
        <v>0</v>
      </c>
      <c r="H348" s="4" t="str">
        <f t="shared" si="68"/>
        <v>February</v>
      </c>
      <c r="I348" s="4" t="str">
        <f t="shared" si="69"/>
        <v>Q1-2025</v>
      </c>
      <c r="J348" s="4" t="str">
        <f t="shared" si="70"/>
        <v>2023-01</v>
      </c>
      <c r="K348" s="3">
        <f t="shared" si="71"/>
        <v>44955</v>
      </c>
      <c r="L348" t="s">
        <v>648</v>
      </c>
      <c r="M348" t="s">
        <v>655</v>
      </c>
      <c r="N348" t="s">
        <v>670</v>
      </c>
      <c r="O348" t="s">
        <v>703</v>
      </c>
      <c r="P348" t="s">
        <v>711</v>
      </c>
      <c r="Q348" t="s">
        <v>717</v>
      </c>
      <c r="R348">
        <f t="shared" si="72"/>
        <v>24</v>
      </c>
      <c r="S348" t="s">
        <v>732</v>
      </c>
      <c r="T348" t="s">
        <v>864</v>
      </c>
      <c r="U348" s="4">
        <v>414.95</v>
      </c>
      <c r="V348" s="4">
        <f>Table1[[#This Row],[UnitCost]]*(1+WhatIf!$B$3)</f>
        <v>435.69749999999999</v>
      </c>
      <c r="W348" s="4">
        <f t="shared" si="73"/>
        <v>3319.6</v>
      </c>
      <c r="X348" s="4">
        <f>Table1[[#This Row],[ScenarioRev]]-Table1[[#This Row],[ScenarioUnitCost]]</f>
        <v>8038.5529880000013</v>
      </c>
      <c r="Y348" s="4">
        <v>1027.73</v>
      </c>
      <c r="Z348" s="4">
        <f t="shared" si="74"/>
        <v>7703.8640800000003</v>
      </c>
      <c r="AA348" s="4">
        <f>Table1[[#This Row],[ScenarioQuanity]]*Table1[[#This Row],[UnitPrice]]*(1-Table1[[#This Row],[ScenarioDiscPct]])</f>
        <v>8474.2504880000015</v>
      </c>
      <c r="AB348" s="4">
        <f t="shared" si="75"/>
        <v>4384.2640800000008</v>
      </c>
      <c r="AC348" s="4">
        <f>Table1[[#This Row],[ScenarioRev]] - Table1[[#This Row],[ScenarioCostOfGoods]]</f>
        <v>435.69750000000022</v>
      </c>
      <c r="AD348" s="6">
        <v>6.3E-2</v>
      </c>
      <c r="AE348" s="6">
        <f>MIN(Table1[[#This Row],[DiscountPct]], WhatIf!$B$2)</f>
        <v>6.3E-2</v>
      </c>
      <c r="AF348" s="6">
        <f>IF(Table1[[#This Row],[DiscountPct]]&gt;0.2, 1, 0)</f>
        <v>0</v>
      </c>
      <c r="AG348" s="6" t="str">
        <f t="shared" si="76"/>
        <v>High</v>
      </c>
      <c r="AH348" s="6">
        <f t="shared" si="77"/>
        <v>0.56909935513815568</v>
      </c>
      <c r="AI348" s="5">
        <v>8</v>
      </c>
      <c r="AJ348" s="6">
        <f>Table1[[#This Row],[Quantity]]*(1+WhatIf!$B$4)</f>
        <v>8.8000000000000007</v>
      </c>
    </row>
    <row r="349" spans="1:36" x14ac:dyDescent="0.3">
      <c r="A349" t="s">
        <v>328</v>
      </c>
      <c r="B349" s="3">
        <v>45451</v>
      </c>
      <c r="C349" s="3">
        <v>45467</v>
      </c>
      <c r="D349" s="3">
        <f t="shared" si="66"/>
        <v>45467</v>
      </c>
      <c r="E349" s="4">
        <f t="shared" si="65"/>
        <v>16</v>
      </c>
      <c r="F349" s="4">
        <f t="shared" si="67"/>
        <v>16</v>
      </c>
      <c r="G349" s="4">
        <f>IF(Table1[[#This Row],[CorrectedLeadTimeDays]]&lt;=7, 1, 0)</f>
        <v>0</v>
      </c>
      <c r="H349" s="4" t="str">
        <f t="shared" si="68"/>
        <v>June</v>
      </c>
      <c r="I349" s="4" t="str">
        <f t="shared" si="69"/>
        <v>Q2-2024</v>
      </c>
      <c r="J349" s="4" t="str">
        <f t="shared" si="70"/>
        <v>2023-01</v>
      </c>
      <c r="K349" s="3">
        <f t="shared" si="71"/>
        <v>44933</v>
      </c>
      <c r="L349" t="s">
        <v>646</v>
      </c>
      <c r="M349" t="s">
        <v>661</v>
      </c>
      <c r="N349" t="s">
        <v>687</v>
      </c>
      <c r="O349" t="s">
        <v>702</v>
      </c>
      <c r="P349" t="s">
        <v>710</v>
      </c>
      <c r="Q349" t="s">
        <v>722</v>
      </c>
      <c r="R349">
        <f t="shared" si="72"/>
        <v>17</v>
      </c>
      <c r="S349" t="s">
        <v>732</v>
      </c>
      <c r="T349" t="s">
        <v>1048</v>
      </c>
      <c r="U349" s="4">
        <v>597.85</v>
      </c>
      <c r="V349" s="4">
        <f>Table1[[#This Row],[UnitCost]]*(1+WhatIf!$B$3)</f>
        <v>627.74250000000006</v>
      </c>
      <c r="W349" s="4">
        <f t="shared" si="73"/>
        <v>4184.95</v>
      </c>
      <c r="X349" s="4">
        <f>Table1[[#This Row],[ScenarioRev]]-Table1[[#This Row],[ScenarioUnitCost]]</f>
        <v>4907.9451959999997</v>
      </c>
      <c r="Y349" s="4">
        <v>741.92</v>
      </c>
      <c r="Z349" s="4">
        <f t="shared" si="74"/>
        <v>5032.4433599999993</v>
      </c>
      <c r="AA349" s="4">
        <f>Table1[[#This Row],[ScenarioQuanity]]*Table1[[#This Row],[UnitPrice]]*(1-Table1[[#This Row],[ScenarioDiscPct]])</f>
        <v>5535.687696</v>
      </c>
      <c r="AB349" s="4">
        <f t="shared" si="75"/>
        <v>847.49335999999948</v>
      </c>
      <c r="AC349" s="4">
        <f>Table1[[#This Row],[ScenarioRev]] - Table1[[#This Row],[ScenarioCostOfGoods]]</f>
        <v>627.74250000000029</v>
      </c>
      <c r="AD349" s="6">
        <v>3.1E-2</v>
      </c>
      <c r="AE349" s="6">
        <f>MIN(Table1[[#This Row],[DiscountPct]], WhatIf!$B$2)</f>
        <v>3.1E-2</v>
      </c>
      <c r="AF349" s="6">
        <f>IF(Table1[[#This Row],[DiscountPct]]&gt;0.2, 1, 0)</f>
        <v>0</v>
      </c>
      <c r="AG349" s="6" t="str">
        <f t="shared" si="76"/>
        <v>Low</v>
      </c>
      <c r="AH349" s="6">
        <f t="shared" si="77"/>
        <v>0.16840594108544515</v>
      </c>
      <c r="AI349" s="5">
        <v>7</v>
      </c>
      <c r="AJ349" s="6">
        <f>Table1[[#This Row],[Quantity]]*(1+WhatIf!$B$4)</f>
        <v>7.7000000000000011</v>
      </c>
    </row>
    <row r="350" spans="1:36" x14ac:dyDescent="0.3">
      <c r="A350" t="s">
        <v>635</v>
      </c>
      <c r="B350" s="3">
        <v>45764</v>
      </c>
      <c r="C350" s="3">
        <v>45780</v>
      </c>
      <c r="D350" s="3">
        <f t="shared" si="66"/>
        <v>45780</v>
      </c>
      <c r="E350" s="4">
        <f t="shared" si="65"/>
        <v>16</v>
      </c>
      <c r="F350" s="4">
        <f t="shared" si="67"/>
        <v>16</v>
      </c>
      <c r="G350" s="4">
        <f>IF(Table1[[#This Row],[CorrectedLeadTimeDays]]&lt;=7, 1, 0)</f>
        <v>0</v>
      </c>
      <c r="H350" s="4" t="str">
        <f t="shared" si="68"/>
        <v>April</v>
      </c>
      <c r="I350" s="4" t="str">
        <f t="shared" si="69"/>
        <v>Q2-2025</v>
      </c>
      <c r="J350" s="4" t="str">
        <f t="shared" si="70"/>
        <v>2023-01</v>
      </c>
      <c r="K350" s="3">
        <f t="shared" si="71"/>
        <v>44955</v>
      </c>
      <c r="L350" t="s">
        <v>648</v>
      </c>
      <c r="M350" t="s">
        <v>655</v>
      </c>
      <c r="N350" t="s">
        <v>692</v>
      </c>
      <c r="O350" t="s">
        <v>704</v>
      </c>
      <c r="P350" t="s">
        <v>709</v>
      </c>
      <c r="Q350" t="s">
        <v>713</v>
      </c>
      <c r="R350">
        <f t="shared" si="72"/>
        <v>26</v>
      </c>
      <c r="S350" t="s">
        <v>729</v>
      </c>
      <c r="T350" t="s">
        <v>1353</v>
      </c>
      <c r="U350" s="4">
        <v>168.68</v>
      </c>
      <c r="V350" s="4">
        <f>Table1[[#This Row],[UnitCost]]*(1+WhatIf!$B$3)</f>
        <v>177.114</v>
      </c>
      <c r="W350" s="4">
        <f t="shared" si="73"/>
        <v>1180.76</v>
      </c>
      <c r="X350" s="4">
        <f>Table1[[#This Row],[ScenarioRev]]-Table1[[#This Row],[ScenarioUnitCost]]</f>
        <v>2413.6184520000006</v>
      </c>
      <c r="Y350" s="4">
        <v>413.34</v>
      </c>
      <c r="Z350" s="4">
        <f t="shared" si="74"/>
        <v>2355.2113199999999</v>
      </c>
      <c r="AA350" s="4">
        <f>Table1[[#This Row],[ScenarioQuanity]]*Table1[[#This Row],[UnitPrice]]*(1-Table1[[#This Row],[ScenarioDiscPct]])</f>
        <v>2590.7324520000006</v>
      </c>
      <c r="AB350" s="4">
        <f t="shared" si="75"/>
        <v>1174.4513199999999</v>
      </c>
      <c r="AC350" s="4">
        <f>Table1[[#This Row],[ScenarioRev]] - Table1[[#This Row],[ScenarioCostOfGoods]]</f>
        <v>177.11400000000003</v>
      </c>
      <c r="AD350" s="6">
        <v>0.186</v>
      </c>
      <c r="AE350" s="6">
        <f>MIN(Table1[[#This Row],[DiscountPct]], WhatIf!$B$2)</f>
        <v>0.186</v>
      </c>
      <c r="AF350" s="6">
        <f>IF(Table1[[#This Row],[DiscountPct]]&gt;0.2, 1, 0)</f>
        <v>0</v>
      </c>
      <c r="AG350" s="6" t="str">
        <f t="shared" si="76"/>
        <v>Low</v>
      </c>
      <c r="AH350" s="6">
        <f t="shared" si="77"/>
        <v>0.49866069767361682</v>
      </c>
      <c r="AI350" s="5">
        <v>7</v>
      </c>
      <c r="AJ350" s="6">
        <f>Table1[[#This Row],[Quantity]]*(1+WhatIf!$B$4)</f>
        <v>7.7000000000000011</v>
      </c>
    </row>
    <row r="351" spans="1:36" x14ac:dyDescent="0.3">
      <c r="A351" t="s">
        <v>629</v>
      </c>
      <c r="B351" s="3">
        <v>45727</v>
      </c>
      <c r="C351" s="3">
        <v>45743</v>
      </c>
      <c r="D351" s="3">
        <f t="shared" si="66"/>
        <v>45743</v>
      </c>
      <c r="E351" s="4">
        <f t="shared" si="65"/>
        <v>16</v>
      </c>
      <c r="F351" s="4">
        <f t="shared" si="67"/>
        <v>16</v>
      </c>
      <c r="G351" s="4">
        <f>IF(Table1[[#This Row],[CorrectedLeadTimeDays]]&lt;=7, 1, 0)</f>
        <v>0</v>
      </c>
      <c r="H351" s="4" t="str">
        <f t="shared" si="68"/>
        <v>March</v>
      </c>
      <c r="I351" s="4" t="str">
        <f t="shared" si="69"/>
        <v>Q1-2025</v>
      </c>
      <c r="J351" s="4" t="str">
        <f t="shared" si="70"/>
        <v>2023-03</v>
      </c>
      <c r="K351" s="3">
        <f t="shared" si="71"/>
        <v>44988</v>
      </c>
      <c r="L351" t="s">
        <v>647</v>
      </c>
      <c r="M351" t="s">
        <v>652</v>
      </c>
      <c r="N351" t="s">
        <v>689</v>
      </c>
      <c r="O351" t="s">
        <v>706</v>
      </c>
      <c r="P351" t="s">
        <v>710</v>
      </c>
      <c r="Q351" t="s">
        <v>717</v>
      </c>
      <c r="R351">
        <f t="shared" si="72"/>
        <v>24</v>
      </c>
      <c r="S351" t="s">
        <v>728</v>
      </c>
      <c r="T351" t="s">
        <v>1347</v>
      </c>
      <c r="U351" s="4">
        <v>1317.58</v>
      </c>
      <c r="V351" s="4">
        <f>Table1[[#This Row],[UnitCost]]*(1+WhatIf!$B$3)</f>
        <v>1383.4590000000001</v>
      </c>
      <c r="W351" s="4">
        <f t="shared" si="73"/>
        <v>7905.48</v>
      </c>
      <c r="X351" s="4">
        <f>Table1[[#This Row],[ScenarioRev]]-Table1[[#This Row],[ScenarioUnitCost]]</f>
        <v>10127.093196</v>
      </c>
      <c r="Y351" s="4">
        <v>1897.74</v>
      </c>
      <c r="Z351" s="4">
        <f t="shared" si="74"/>
        <v>10464.138360000001</v>
      </c>
      <c r="AA351" s="4">
        <f>Table1[[#This Row],[ScenarioQuanity]]*Table1[[#This Row],[UnitPrice]]*(1-Table1[[#This Row],[ScenarioDiscPct]])</f>
        <v>11510.552196000001</v>
      </c>
      <c r="AB351" s="4">
        <f t="shared" si="75"/>
        <v>2558.6583600000013</v>
      </c>
      <c r="AC351" s="4">
        <f>Table1[[#This Row],[ScenarioRev]] - Table1[[#This Row],[ScenarioCostOfGoods]]</f>
        <v>1383.4590000000007</v>
      </c>
      <c r="AD351" s="6">
        <v>8.1000000000000003E-2</v>
      </c>
      <c r="AE351" s="6">
        <f>MIN(Table1[[#This Row],[DiscountPct]], WhatIf!$B$2)</f>
        <v>8.1000000000000003E-2</v>
      </c>
      <c r="AF351" s="6">
        <f>IF(Table1[[#This Row],[DiscountPct]]&gt;0.2, 1, 0)</f>
        <v>0</v>
      </c>
      <c r="AG351" s="6" t="str">
        <f t="shared" si="76"/>
        <v>High</v>
      </c>
      <c r="AH351" s="6">
        <f t="shared" si="77"/>
        <v>0.24451687009230266</v>
      </c>
      <c r="AI351" s="5">
        <v>6</v>
      </c>
      <c r="AJ351" s="6">
        <f>Table1[[#This Row],[Quantity]]*(1+WhatIf!$B$4)</f>
        <v>6.6000000000000005</v>
      </c>
    </row>
    <row r="352" spans="1:36" x14ac:dyDescent="0.3">
      <c r="A352" t="s">
        <v>357</v>
      </c>
      <c r="B352" s="3">
        <v>45339</v>
      </c>
      <c r="C352" s="3">
        <v>45355</v>
      </c>
      <c r="D352" s="3">
        <f t="shared" si="66"/>
        <v>45355</v>
      </c>
      <c r="E352" s="4">
        <f t="shared" si="65"/>
        <v>16</v>
      </c>
      <c r="F352" s="4">
        <f t="shared" si="67"/>
        <v>16</v>
      </c>
      <c r="G352" s="4">
        <f>IF(Table1[[#This Row],[CorrectedLeadTimeDays]]&lt;=7, 1, 0)</f>
        <v>0</v>
      </c>
      <c r="H352" s="4" t="str">
        <f t="shared" si="68"/>
        <v>February</v>
      </c>
      <c r="I352" s="4" t="str">
        <f t="shared" si="69"/>
        <v>Q1-2024</v>
      </c>
      <c r="J352" s="4" t="str">
        <f t="shared" si="70"/>
        <v>2023-01</v>
      </c>
      <c r="K352" s="3">
        <f t="shared" si="71"/>
        <v>44955</v>
      </c>
      <c r="L352" t="s">
        <v>647</v>
      </c>
      <c r="M352" t="s">
        <v>654</v>
      </c>
      <c r="N352" t="s">
        <v>680</v>
      </c>
      <c r="O352" t="s">
        <v>705</v>
      </c>
      <c r="P352" t="s">
        <v>709</v>
      </c>
      <c r="Q352" t="s">
        <v>721</v>
      </c>
      <c r="R352">
        <f t="shared" si="72"/>
        <v>12</v>
      </c>
      <c r="S352" t="s">
        <v>730</v>
      </c>
      <c r="T352" t="s">
        <v>1077</v>
      </c>
      <c r="U352" s="4">
        <v>1231.8</v>
      </c>
      <c r="V352" s="4">
        <f>Table1[[#This Row],[UnitCost]]*(1+WhatIf!$B$3)</f>
        <v>1293.3900000000001</v>
      </c>
      <c r="W352" s="4">
        <f t="shared" si="73"/>
        <v>7390.7999999999993</v>
      </c>
      <c r="X352" s="4">
        <f>Table1[[#This Row],[ScenarioRev]]-Table1[[#This Row],[ScenarioUnitCost]]</f>
        <v>9351.0372000000025</v>
      </c>
      <c r="Y352" s="4">
        <v>2015.99</v>
      </c>
      <c r="Z352" s="4">
        <f t="shared" si="74"/>
        <v>8938.8996600000009</v>
      </c>
      <c r="AA352" s="4">
        <f>Table1[[#This Row],[ScenarioQuanity]]*Table1[[#This Row],[UnitPrice]]*(1-Table1[[#This Row],[ScenarioDiscPct]])</f>
        <v>10644.427200000002</v>
      </c>
      <c r="AB352" s="4">
        <f t="shared" si="75"/>
        <v>1548.0996600000017</v>
      </c>
      <c r="AC352" s="4">
        <f>Table1[[#This Row],[ScenarioRev]] - Table1[[#This Row],[ScenarioCostOfGoods]]</f>
        <v>1293.3899999999994</v>
      </c>
      <c r="AD352" s="6">
        <v>0.26100000000000001</v>
      </c>
      <c r="AE352" s="6">
        <f>MIN(Table1[[#This Row],[DiscountPct]], WhatIf!$B$2)</f>
        <v>0.2</v>
      </c>
      <c r="AF352" s="6">
        <f>IF(Table1[[#This Row],[DiscountPct]]&gt;0.2, 1, 0)</f>
        <v>1</v>
      </c>
      <c r="AG352" s="6" t="str">
        <f t="shared" si="76"/>
        <v>High</v>
      </c>
      <c r="AH352" s="6">
        <f t="shared" si="77"/>
        <v>0.17318682599464391</v>
      </c>
      <c r="AI352" s="5">
        <v>6</v>
      </c>
      <c r="AJ352" s="6">
        <f>Table1[[#This Row],[Quantity]]*(1+WhatIf!$B$4)</f>
        <v>6.6000000000000005</v>
      </c>
    </row>
    <row r="353" spans="1:36" x14ac:dyDescent="0.3">
      <c r="A353" t="s">
        <v>183</v>
      </c>
      <c r="B353" s="3">
        <v>45206</v>
      </c>
      <c r="C353" s="3">
        <v>45222</v>
      </c>
      <c r="D353" s="3">
        <f t="shared" si="66"/>
        <v>45222</v>
      </c>
      <c r="E353" s="4">
        <f t="shared" si="65"/>
        <v>16</v>
      </c>
      <c r="F353" s="4">
        <f t="shared" si="67"/>
        <v>16</v>
      </c>
      <c r="G353" s="4">
        <f>IF(Table1[[#This Row],[CorrectedLeadTimeDays]]&lt;=7, 1, 0)</f>
        <v>0</v>
      </c>
      <c r="H353" s="4" t="str">
        <f t="shared" si="68"/>
        <v>October</v>
      </c>
      <c r="I353" s="4" t="str">
        <f t="shared" si="69"/>
        <v>Q4-2023</v>
      </c>
      <c r="J353" s="4" t="str">
        <f t="shared" si="70"/>
        <v>2023-01</v>
      </c>
      <c r="K353" s="3">
        <f t="shared" si="71"/>
        <v>44955</v>
      </c>
      <c r="L353" t="s">
        <v>647</v>
      </c>
      <c r="M353" t="s">
        <v>654</v>
      </c>
      <c r="N353" t="s">
        <v>696</v>
      </c>
      <c r="O353" t="s">
        <v>704</v>
      </c>
      <c r="P353" t="s">
        <v>707</v>
      </c>
      <c r="Q353" t="s">
        <v>715</v>
      </c>
      <c r="R353">
        <f t="shared" si="72"/>
        <v>8</v>
      </c>
      <c r="S353" t="s">
        <v>732</v>
      </c>
      <c r="T353" t="s">
        <v>902</v>
      </c>
      <c r="U353" s="4">
        <v>906.81</v>
      </c>
      <c r="V353" s="4">
        <f>Table1[[#This Row],[UnitCost]]*(1+WhatIf!$B$3)</f>
        <v>952.15049999999997</v>
      </c>
      <c r="W353" s="4">
        <f t="shared" si="73"/>
        <v>5440.86</v>
      </c>
      <c r="X353" s="4">
        <f>Table1[[#This Row],[ScenarioRev]]-Table1[[#This Row],[ScenarioUnitCost]]</f>
        <v>6554.5667399999993</v>
      </c>
      <c r="Y353" s="4">
        <v>1395.56</v>
      </c>
      <c r="Z353" s="4">
        <f t="shared" si="74"/>
        <v>6824.2884000000004</v>
      </c>
      <c r="AA353" s="4">
        <f>Table1[[#This Row],[ScenarioQuanity]]*Table1[[#This Row],[UnitPrice]]*(1-Table1[[#This Row],[ScenarioDiscPct]])</f>
        <v>7506.717239999999</v>
      </c>
      <c r="AB353" s="4">
        <f t="shared" si="75"/>
        <v>1383.4284000000007</v>
      </c>
      <c r="AC353" s="4">
        <f>Table1[[#This Row],[ScenarioRev]] - Table1[[#This Row],[ScenarioCostOfGoods]]</f>
        <v>952.15049999999974</v>
      </c>
      <c r="AD353" s="6">
        <v>0.185</v>
      </c>
      <c r="AE353" s="6">
        <f>MIN(Table1[[#This Row],[DiscountPct]], WhatIf!$B$2)</f>
        <v>0.185</v>
      </c>
      <c r="AF353" s="6">
        <f>IF(Table1[[#This Row],[DiscountPct]]&gt;0.2, 1, 0)</f>
        <v>0</v>
      </c>
      <c r="AG353" s="6" t="str">
        <f t="shared" si="76"/>
        <v>High</v>
      </c>
      <c r="AH353" s="6">
        <f t="shared" si="77"/>
        <v>0.20272126834498974</v>
      </c>
      <c r="AI353" s="5">
        <v>6</v>
      </c>
      <c r="AJ353" s="6">
        <f>Table1[[#This Row],[Quantity]]*(1+WhatIf!$B$4)</f>
        <v>6.6000000000000005</v>
      </c>
    </row>
    <row r="354" spans="1:36" x14ac:dyDescent="0.3">
      <c r="A354" t="s">
        <v>591</v>
      </c>
      <c r="B354" s="3">
        <v>45140</v>
      </c>
      <c r="C354" s="3">
        <v>45157</v>
      </c>
      <c r="D354" s="3">
        <f t="shared" si="66"/>
        <v>45157</v>
      </c>
      <c r="E354" s="4">
        <f t="shared" si="65"/>
        <v>17</v>
      </c>
      <c r="F354" s="4">
        <f t="shared" si="67"/>
        <v>17</v>
      </c>
      <c r="G354" s="4">
        <f>IF(Table1[[#This Row],[CorrectedLeadTimeDays]]&lt;=7, 1, 0)</f>
        <v>0</v>
      </c>
      <c r="H354" s="4" t="str">
        <f t="shared" si="68"/>
        <v>August</v>
      </c>
      <c r="I354" s="4" t="str">
        <f t="shared" si="69"/>
        <v>Q3-2023</v>
      </c>
      <c r="J354" s="4" t="str">
        <f t="shared" si="70"/>
        <v>2023-01</v>
      </c>
      <c r="K354" s="3">
        <f t="shared" si="71"/>
        <v>44928</v>
      </c>
      <c r="L354" t="s">
        <v>648</v>
      </c>
      <c r="M354" t="s">
        <v>653</v>
      </c>
      <c r="N354" t="s">
        <v>688</v>
      </c>
      <c r="O354" t="s">
        <v>701</v>
      </c>
      <c r="P354" t="s">
        <v>708</v>
      </c>
      <c r="Q354" t="s">
        <v>721</v>
      </c>
      <c r="R354">
        <f t="shared" si="72"/>
        <v>7</v>
      </c>
      <c r="S354" t="s">
        <v>729</v>
      </c>
      <c r="T354" t="s">
        <v>1309</v>
      </c>
      <c r="U354" s="4">
        <v>175.38</v>
      </c>
      <c r="V354" s="4">
        <f>Table1[[#This Row],[UnitCost]]*(1+WhatIf!$B$3)</f>
        <v>184.149</v>
      </c>
      <c r="W354" s="4">
        <f t="shared" si="73"/>
        <v>7541.34</v>
      </c>
      <c r="X354" s="4">
        <f>Table1[[#This Row],[ScenarioRev]]-Table1[[#This Row],[ScenarioUnitCost]]</f>
        <v>15086.712760000004</v>
      </c>
      <c r="Y354" s="4">
        <v>347.9</v>
      </c>
      <c r="Z354" s="4">
        <f t="shared" si="74"/>
        <v>13882.6016</v>
      </c>
      <c r="AA354" s="4">
        <f>Table1[[#This Row],[ScenarioQuanity]]*Table1[[#This Row],[UnitPrice]]*(1-Table1[[#This Row],[ScenarioDiscPct]])</f>
        <v>15270.861760000003</v>
      </c>
      <c r="AB354" s="4">
        <f t="shared" si="75"/>
        <v>6341.2615999999998</v>
      </c>
      <c r="AC354" s="4">
        <f>Table1[[#This Row],[ScenarioRev]] - Table1[[#This Row],[ScenarioCostOfGoods]]</f>
        <v>184.14899999999943</v>
      </c>
      <c r="AD354" s="6">
        <v>7.1999999999999995E-2</v>
      </c>
      <c r="AE354" s="6">
        <f>MIN(Table1[[#This Row],[DiscountPct]], WhatIf!$B$2)</f>
        <v>7.1999999999999995E-2</v>
      </c>
      <c r="AF354" s="6">
        <f>IF(Table1[[#This Row],[DiscountPct]]&gt;0.2, 1, 0)</f>
        <v>0</v>
      </c>
      <c r="AG354" s="6" t="str">
        <f t="shared" si="76"/>
        <v>Low</v>
      </c>
      <c r="AH354" s="6">
        <f t="shared" si="77"/>
        <v>0.45677761148169804</v>
      </c>
      <c r="AI354" s="5">
        <v>43</v>
      </c>
      <c r="AJ354" s="6">
        <f>Table1[[#This Row],[Quantity]]*(1+WhatIf!$B$4)</f>
        <v>47.300000000000004</v>
      </c>
    </row>
    <row r="355" spans="1:36" x14ac:dyDescent="0.3">
      <c r="A355" t="s">
        <v>406</v>
      </c>
      <c r="B355" s="3">
        <v>45208</v>
      </c>
      <c r="C355" s="3">
        <v>45225</v>
      </c>
      <c r="D355" s="3">
        <f t="shared" si="66"/>
        <v>45225</v>
      </c>
      <c r="E355" s="4">
        <f t="shared" si="65"/>
        <v>17</v>
      </c>
      <c r="F355" s="4">
        <f t="shared" si="67"/>
        <v>17</v>
      </c>
      <c r="G355" s="4">
        <f>IF(Table1[[#This Row],[CorrectedLeadTimeDays]]&lt;=7, 1, 0)</f>
        <v>0</v>
      </c>
      <c r="H355" s="4" t="str">
        <f t="shared" si="68"/>
        <v>October</v>
      </c>
      <c r="I355" s="4" t="str">
        <f t="shared" si="69"/>
        <v>Q4-2023</v>
      </c>
      <c r="J355" s="4" t="str">
        <f t="shared" si="70"/>
        <v>2023-01</v>
      </c>
      <c r="K355" s="3">
        <f t="shared" si="71"/>
        <v>44938</v>
      </c>
      <c r="L355" t="s">
        <v>647</v>
      </c>
      <c r="M355" t="s">
        <v>659</v>
      </c>
      <c r="N355" t="s">
        <v>685</v>
      </c>
      <c r="O355" t="s">
        <v>704</v>
      </c>
      <c r="P355" t="s">
        <v>709</v>
      </c>
      <c r="Q355" t="s">
        <v>712</v>
      </c>
      <c r="R355">
        <f t="shared" si="72"/>
        <v>8</v>
      </c>
      <c r="S355" t="s">
        <v>727</v>
      </c>
      <c r="T355" t="s">
        <v>1125</v>
      </c>
      <c r="U355" s="4">
        <v>1132.03</v>
      </c>
      <c r="V355" s="4">
        <f>Table1[[#This Row],[UnitCost]]*(1+WhatIf!$B$3)</f>
        <v>1188.6315</v>
      </c>
      <c r="W355" s="4">
        <f t="shared" si="73"/>
        <v>39621.049999999996</v>
      </c>
      <c r="X355" s="4">
        <f>Table1[[#This Row],[ScenarioRev]]-Table1[[#This Row],[ScenarioUnitCost]]</f>
        <v>64637.436500000011</v>
      </c>
      <c r="Y355" s="4">
        <v>2137.21</v>
      </c>
      <c r="Z355" s="4">
        <f t="shared" si="74"/>
        <v>48097.911050000002</v>
      </c>
      <c r="AA355" s="4">
        <f>Table1[[#This Row],[ScenarioQuanity]]*Table1[[#This Row],[UnitPrice]]*(1-Table1[[#This Row],[ScenarioDiscPct]])</f>
        <v>65826.068000000014</v>
      </c>
      <c r="AB355" s="4">
        <f t="shared" si="75"/>
        <v>8476.8610500000068</v>
      </c>
      <c r="AC355" s="4">
        <f>Table1[[#This Row],[ScenarioRev]] - Table1[[#This Row],[ScenarioCostOfGoods]]</f>
        <v>1188.6315000000031</v>
      </c>
      <c r="AD355" s="6">
        <v>0.35699999999999998</v>
      </c>
      <c r="AE355" s="6">
        <f>MIN(Table1[[#This Row],[DiscountPct]], WhatIf!$B$2)</f>
        <v>0.2</v>
      </c>
      <c r="AF355" s="6">
        <f>IF(Table1[[#This Row],[DiscountPct]]&gt;0.2, 1, 0)</f>
        <v>1</v>
      </c>
      <c r="AG355" s="6" t="str">
        <f t="shared" si="76"/>
        <v>High</v>
      </c>
      <c r="AH355" s="6">
        <f t="shared" si="77"/>
        <v>0.17624177152284051</v>
      </c>
      <c r="AI355" s="5">
        <v>35</v>
      </c>
      <c r="AJ355" s="6">
        <f>Table1[[#This Row],[Quantity]]*(1+WhatIf!$B$4)</f>
        <v>38.5</v>
      </c>
    </row>
    <row r="356" spans="1:36" x14ac:dyDescent="0.3">
      <c r="A356" t="s">
        <v>286</v>
      </c>
      <c r="B356" s="3">
        <v>45382</v>
      </c>
      <c r="C356" s="3">
        <v>45399</v>
      </c>
      <c r="D356" s="3">
        <f t="shared" si="66"/>
        <v>45399</v>
      </c>
      <c r="E356" s="4">
        <f t="shared" si="65"/>
        <v>17</v>
      </c>
      <c r="F356" s="4">
        <f t="shared" si="67"/>
        <v>17</v>
      </c>
      <c r="G356" s="4">
        <f>IF(Table1[[#This Row],[CorrectedLeadTimeDays]]&lt;=7, 1, 0)</f>
        <v>0</v>
      </c>
      <c r="H356" s="4" t="str">
        <f t="shared" si="68"/>
        <v>March</v>
      </c>
      <c r="I356" s="4" t="str">
        <f t="shared" si="69"/>
        <v>Q1-2024</v>
      </c>
      <c r="J356" s="4" t="str">
        <f t="shared" si="70"/>
        <v>2023-01</v>
      </c>
      <c r="K356" s="3">
        <f t="shared" si="71"/>
        <v>44948</v>
      </c>
      <c r="L356" t="s">
        <v>649</v>
      </c>
      <c r="M356" t="s">
        <v>656</v>
      </c>
      <c r="N356" t="s">
        <v>698</v>
      </c>
      <c r="O356" t="s">
        <v>702</v>
      </c>
      <c r="P356" t="s">
        <v>711</v>
      </c>
      <c r="Q356" t="s">
        <v>722</v>
      </c>
      <c r="R356">
        <f t="shared" si="72"/>
        <v>14</v>
      </c>
      <c r="S356" t="s">
        <v>732</v>
      </c>
      <c r="T356" t="s">
        <v>1006</v>
      </c>
      <c r="U356" s="4">
        <v>1025.51</v>
      </c>
      <c r="V356" s="4">
        <f>Table1[[#This Row],[UnitCost]]*(1+WhatIf!$B$3)</f>
        <v>1076.7855</v>
      </c>
      <c r="W356" s="4">
        <f t="shared" si="73"/>
        <v>28714.28</v>
      </c>
      <c r="X356" s="4">
        <f>Table1[[#This Row],[ScenarioRev]]-Table1[[#This Row],[ScenarioUnitCost]]</f>
        <v>37018.53145200001</v>
      </c>
      <c r="Y356" s="4">
        <v>1436.54</v>
      </c>
      <c r="Z356" s="4">
        <f t="shared" si="74"/>
        <v>34632.106319999999</v>
      </c>
      <c r="AA356" s="4">
        <f>Table1[[#This Row],[ScenarioQuanity]]*Table1[[#This Row],[UnitPrice]]*(1-Table1[[#This Row],[ScenarioDiscPct]])</f>
        <v>38095.316952000008</v>
      </c>
      <c r="AB356" s="4">
        <f t="shared" si="75"/>
        <v>5917.8263200000001</v>
      </c>
      <c r="AC356" s="4">
        <f>Table1[[#This Row],[ScenarioRev]] - Table1[[#This Row],[ScenarioCostOfGoods]]</f>
        <v>1076.7854999999981</v>
      </c>
      <c r="AD356" s="6">
        <v>0.13900000000000001</v>
      </c>
      <c r="AE356" s="6">
        <f>MIN(Table1[[#This Row],[DiscountPct]], WhatIf!$B$2)</f>
        <v>0.13900000000000001</v>
      </c>
      <c r="AF356" s="6">
        <f>IF(Table1[[#This Row],[DiscountPct]]&gt;0.2, 1, 0)</f>
        <v>0</v>
      </c>
      <c r="AG356" s="6" t="str">
        <f t="shared" si="76"/>
        <v>High</v>
      </c>
      <c r="AH356" s="6">
        <f t="shared" si="77"/>
        <v>0.17087688127656453</v>
      </c>
      <c r="AI356" s="5">
        <v>28</v>
      </c>
      <c r="AJ356" s="6">
        <f>Table1[[#This Row],[Quantity]]*(1+WhatIf!$B$4)</f>
        <v>30.800000000000004</v>
      </c>
    </row>
    <row r="357" spans="1:36" x14ac:dyDescent="0.3">
      <c r="A357" t="s">
        <v>394</v>
      </c>
      <c r="B357" s="3">
        <v>45688</v>
      </c>
      <c r="C357" s="3">
        <v>45705</v>
      </c>
      <c r="D357" s="3">
        <f t="shared" si="66"/>
        <v>45705</v>
      </c>
      <c r="E357" s="4">
        <f t="shared" si="65"/>
        <v>17</v>
      </c>
      <c r="F357" s="4">
        <f t="shared" si="67"/>
        <v>17</v>
      </c>
      <c r="G357" s="4">
        <f>IF(Table1[[#This Row],[CorrectedLeadTimeDays]]&lt;=7, 1, 0)</f>
        <v>0</v>
      </c>
      <c r="H357" s="4" t="str">
        <f t="shared" si="68"/>
        <v>January</v>
      </c>
      <c r="I357" s="4" t="str">
        <f t="shared" si="69"/>
        <v>Q1-2025</v>
      </c>
      <c r="J357" s="4" t="str">
        <f t="shared" si="70"/>
        <v>2023-01</v>
      </c>
      <c r="K357" s="3">
        <f t="shared" si="71"/>
        <v>44945</v>
      </c>
      <c r="L357" t="s">
        <v>649</v>
      </c>
      <c r="M357" t="s">
        <v>658</v>
      </c>
      <c r="N357" t="s">
        <v>683</v>
      </c>
      <c r="O357" t="s">
        <v>706</v>
      </c>
      <c r="P357" t="s">
        <v>707</v>
      </c>
      <c r="Q357" t="s">
        <v>722</v>
      </c>
      <c r="R357">
        <f t="shared" si="72"/>
        <v>24</v>
      </c>
      <c r="S357" t="s">
        <v>727</v>
      </c>
      <c r="T357" t="s">
        <v>812</v>
      </c>
      <c r="U357" s="4">
        <v>378.26</v>
      </c>
      <c r="V357" s="4">
        <f>Table1[[#This Row],[UnitCost]]*(1+WhatIf!$B$3)</f>
        <v>397.173</v>
      </c>
      <c r="W357" s="4">
        <f t="shared" si="73"/>
        <v>9456.5</v>
      </c>
      <c r="X357" s="4">
        <f>Table1[[#This Row],[ScenarioRev]]-Table1[[#This Row],[ScenarioUnitCost]]</f>
        <v>12068.184299999999</v>
      </c>
      <c r="Y357" s="4">
        <v>541.55999999999995</v>
      </c>
      <c r="Z357" s="4">
        <f t="shared" si="74"/>
        <v>11332.142999999998</v>
      </c>
      <c r="AA357" s="4">
        <f>Table1[[#This Row],[ScenarioQuanity]]*Table1[[#This Row],[UnitPrice]]*(1-Table1[[#This Row],[ScenarioDiscPct]])</f>
        <v>12465.3573</v>
      </c>
      <c r="AB357" s="4">
        <f t="shared" si="75"/>
        <v>1875.6429999999982</v>
      </c>
      <c r="AC357" s="4">
        <f>Table1[[#This Row],[ScenarioRev]] - Table1[[#This Row],[ScenarioCostOfGoods]]</f>
        <v>397.17300000000068</v>
      </c>
      <c r="AD357" s="6">
        <v>0.16300000000000001</v>
      </c>
      <c r="AE357" s="6">
        <f>MIN(Table1[[#This Row],[DiscountPct]], WhatIf!$B$2)</f>
        <v>0.16300000000000001</v>
      </c>
      <c r="AF357" s="6">
        <f>IF(Table1[[#This Row],[DiscountPct]]&gt;0.2, 1, 0)</f>
        <v>0</v>
      </c>
      <c r="AG357" s="6" t="str">
        <f t="shared" si="76"/>
        <v>Low</v>
      </c>
      <c r="AH357" s="6">
        <f t="shared" si="77"/>
        <v>0.16551529573885526</v>
      </c>
      <c r="AI357" s="5">
        <v>25</v>
      </c>
      <c r="AJ357" s="6">
        <f>Table1[[#This Row],[Quantity]]*(1+WhatIf!$B$4)</f>
        <v>27.500000000000004</v>
      </c>
    </row>
    <row r="358" spans="1:36" x14ac:dyDescent="0.3">
      <c r="A358" t="s">
        <v>535</v>
      </c>
      <c r="B358" s="3">
        <v>45056</v>
      </c>
      <c r="C358" s="3">
        <v>45073</v>
      </c>
      <c r="D358" s="3">
        <f t="shared" si="66"/>
        <v>45073</v>
      </c>
      <c r="E358" s="4">
        <f t="shared" si="65"/>
        <v>17</v>
      </c>
      <c r="F358" s="4">
        <f t="shared" si="67"/>
        <v>17</v>
      </c>
      <c r="G358" s="4">
        <f>IF(Table1[[#This Row],[CorrectedLeadTimeDays]]&lt;=7, 1, 0)</f>
        <v>0</v>
      </c>
      <c r="H358" s="4" t="str">
        <f t="shared" si="68"/>
        <v>May</v>
      </c>
      <c r="I358" s="4" t="str">
        <f t="shared" si="69"/>
        <v>Q2-2023</v>
      </c>
      <c r="J358" s="4" t="str">
        <f t="shared" si="70"/>
        <v>2023-01</v>
      </c>
      <c r="K358" s="3">
        <f t="shared" si="71"/>
        <v>44955</v>
      </c>
      <c r="L358" t="s">
        <v>647</v>
      </c>
      <c r="M358" t="s">
        <v>654</v>
      </c>
      <c r="N358" t="s">
        <v>691</v>
      </c>
      <c r="O358" t="s">
        <v>704</v>
      </c>
      <c r="P358" t="s">
        <v>707</v>
      </c>
      <c r="Q358" t="s">
        <v>724</v>
      </c>
      <c r="R358">
        <f t="shared" si="72"/>
        <v>3</v>
      </c>
      <c r="S358" t="s">
        <v>731</v>
      </c>
      <c r="T358" t="s">
        <v>1254</v>
      </c>
      <c r="U358" s="4">
        <v>1286.1600000000001</v>
      </c>
      <c r="V358" s="4">
        <f>Table1[[#This Row],[UnitCost]]*(1+WhatIf!$B$3)</f>
        <v>1350.4680000000001</v>
      </c>
      <c r="W358" s="4">
        <f t="shared" si="73"/>
        <v>29581.68</v>
      </c>
      <c r="X358" s="4">
        <f>Table1[[#This Row],[ScenarioRev]]-Table1[[#This Row],[ScenarioUnitCost]]</f>
        <v>69261.806700000001</v>
      </c>
      <c r="Y358" s="4">
        <v>3101.11</v>
      </c>
      <c r="Z358" s="4">
        <f t="shared" si="74"/>
        <v>64192.976999999999</v>
      </c>
      <c r="AA358" s="4">
        <f>Table1[[#This Row],[ScenarioQuanity]]*Table1[[#This Row],[UnitPrice]]*(1-Table1[[#This Row],[ScenarioDiscPct]])</f>
        <v>70612.274699999994</v>
      </c>
      <c r="AB358" s="4">
        <f t="shared" si="75"/>
        <v>34611.296999999999</v>
      </c>
      <c r="AC358" s="4">
        <f>Table1[[#This Row],[ScenarioRev]] - Table1[[#This Row],[ScenarioCostOfGoods]]</f>
        <v>1350.4679999999935</v>
      </c>
      <c r="AD358" s="6">
        <v>0.1</v>
      </c>
      <c r="AE358" s="6">
        <f>MIN(Table1[[#This Row],[DiscountPct]], WhatIf!$B$2)</f>
        <v>0.1</v>
      </c>
      <c r="AF358" s="6">
        <f>IF(Table1[[#This Row],[DiscountPct]]&gt;0.2, 1, 0)</f>
        <v>0</v>
      </c>
      <c r="AG358" s="6" t="str">
        <f t="shared" si="76"/>
        <v>High</v>
      </c>
      <c r="AH358" s="6">
        <f t="shared" si="77"/>
        <v>0.53917575749758417</v>
      </c>
      <c r="AI358" s="5">
        <v>23</v>
      </c>
      <c r="AJ358" s="6">
        <f>Table1[[#This Row],[Quantity]]*(1+WhatIf!$B$4)</f>
        <v>25.3</v>
      </c>
    </row>
    <row r="359" spans="1:36" x14ac:dyDescent="0.3">
      <c r="A359" t="s">
        <v>314</v>
      </c>
      <c r="B359" s="3">
        <v>45787</v>
      </c>
      <c r="C359" s="3">
        <v>45804</v>
      </c>
      <c r="D359" s="3">
        <f t="shared" si="66"/>
        <v>45804</v>
      </c>
      <c r="E359" s="4">
        <f t="shared" si="65"/>
        <v>17</v>
      </c>
      <c r="F359" s="4">
        <f t="shared" si="67"/>
        <v>17</v>
      </c>
      <c r="G359" s="4">
        <f>IF(Table1[[#This Row],[CorrectedLeadTimeDays]]&lt;=7, 1, 0)</f>
        <v>0</v>
      </c>
      <c r="H359" s="4" t="str">
        <f t="shared" si="68"/>
        <v>May</v>
      </c>
      <c r="I359" s="4" t="str">
        <f t="shared" si="69"/>
        <v>Q2-2025</v>
      </c>
      <c r="J359" s="4" t="str">
        <f t="shared" si="70"/>
        <v>2023-01</v>
      </c>
      <c r="K359" s="3">
        <f t="shared" si="71"/>
        <v>44928</v>
      </c>
      <c r="L359" t="s">
        <v>648</v>
      </c>
      <c r="M359" t="s">
        <v>653</v>
      </c>
      <c r="N359" t="s">
        <v>688</v>
      </c>
      <c r="O359" t="s">
        <v>702</v>
      </c>
      <c r="P359" t="s">
        <v>711</v>
      </c>
      <c r="Q359" t="s">
        <v>712</v>
      </c>
      <c r="R359">
        <f t="shared" si="72"/>
        <v>28</v>
      </c>
      <c r="S359" t="s">
        <v>727</v>
      </c>
      <c r="T359" t="s">
        <v>1034</v>
      </c>
      <c r="U359" s="4">
        <v>862.89</v>
      </c>
      <c r="V359" s="4">
        <f>Table1[[#This Row],[UnitCost]]*(1+WhatIf!$B$3)</f>
        <v>906.03449999999998</v>
      </c>
      <c r="W359" s="4">
        <f t="shared" si="73"/>
        <v>16394.91</v>
      </c>
      <c r="X359" s="4">
        <f>Table1[[#This Row],[ScenarioRev]]-Table1[[#This Row],[ScenarioUnitCost]]</f>
        <v>27228.966988</v>
      </c>
      <c r="Y359" s="4">
        <v>1426.03</v>
      </c>
      <c r="Z359" s="4">
        <f t="shared" si="74"/>
        <v>25577.274079999999</v>
      </c>
      <c r="AA359" s="4">
        <f>Table1[[#This Row],[ScenarioQuanity]]*Table1[[#This Row],[UnitPrice]]*(1-Table1[[#This Row],[ScenarioDiscPct]])</f>
        <v>28135.001488000002</v>
      </c>
      <c r="AB359" s="4">
        <f t="shared" si="75"/>
        <v>9182.3640799999994</v>
      </c>
      <c r="AC359" s="4">
        <f>Table1[[#This Row],[ScenarioRev]] - Table1[[#This Row],[ScenarioCostOfGoods]]</f>
        <v>906.03450000000157</v>
      </c>
      <c r="AD359" s="6">
        <v>5.6000000000000001E-2</v>
      </c>
      <c r="AE359" s="6">
        <f>MIN(Table1[[#This Row],[DiscountPct]], WhatIf!$B$2)</f>
        <v>5.6000000000000001E-2</v>
      </c>
      <c r="AF359" s="6">
        <f>IF(Table1[[#This Row],[DiscountPct]]&gt;0.2, 1, 0)</f>
        <v>0</v>
      </c>
      <c r="AG359" s="6" t="str">
        <f t="shared" si="76"/>
        <v>High</v>
      </c>
      <c r="AH359" s="6">
        <f t="shared" si="77"/>
        <v>0.35900479665188778</v>
      </c>
      <c r="AI359" s="5">
        <v>19</v>
      </c>
      <c r="AJ359" s="6">
        <f>Table1[[#This Row],[Quantity]]*(1+WhatIf!$B$4)</f>
        <v>20.900000000000002</v>
      </c>
    </row>
    <row r="360" spans="1:36" x14ac:dyDescent="0.3">
      <c r="A360" t="s">
        <v>292</v>
      </c>
      <c r="B360" s="3">
        <v>45459</v>
      </c>
      <c r="C360" s="3">
        <v>45476</v>
      </c>
      <c r="D360" s="3">
        <f t="shared" si="66"/>
        <v>45476</v>
      </c>
      <c r="E360" s="4">
        <f t="shared" si="65"/>
        <v>17</v>
      </c>
      <c r="F360" s="4">
        <f t="shared" si="67"/>
        <v>17</v>
      </c>
      <c r="G360" s="4">
        <f>IF(Table1[[#This Row],[CorrectedLeadTimeDays]]&lt;=7, 1, 0)</f>
        <v>0</v>
      </c>
      <c r="H360" s="4" t="str">
        <f t="shared" si="68"/>
        <v>June</v>
      </c>
      <c r="I360" s="4" t="str">
        <f t="shared" si="69"/>
        <v>Q2-2024</v>
      </c>
      <c r="J360" s="4" t="str">
        <f t="shared" si="70"/>
        <v>2023-01</v>
      </c>
      <c r="K360" s="3">
        <f t="shared" si="71"/>
        <v>44933</v>
      </c>
      <c r="L360" t="s">
        <v>646</v>
      </c>
      <c r="M360" t="s">
        <v>661</v>
      </c>
      <c r="N360" t="s">
        <v>682</v>
      </c>
      <c r="O360" t="s">
        <v>706</v>
      </c>
      <c r="P360" t="s">
        <v>709</v>
      </c>
      <c r="Q360" t="s">
        <v>721</v>
      </c>
      <c r="R360">
        <f t="shared" si="72"/>
        <v>17</v>
      </c>
      <c r="S360" t="s">
        <v>730</v>
      </c>
      <c r="T360" t="s">
        <v>1012</v>
      </c>
      <c r="U360" s="4">
        <v>1173.83</v>
      </c>
      <c r="V360" s="4">
        <f>Table1[[#This Row],[UnitCost]]*(1+WhatIf!$B$3)</f>
        <v>1232.5215000000001</v>
      </c>
      <c r="W360" s="4">
        <f t="shared" si="73"/>
        <v>19955.11</v>
      </c>
      <c r="X360" s="4">
        <f>Table1[[#This Row],[ScenarioRev]]-Table1[[#This Row],[ScenarioUnitCost]]</f>
        <v>37091.856900000006</v>
      </c>
      <c r="Y360" s="4">
        <v>2328.9</v>
      </c>
      <c r="Z360" s="4">
        <f t="shared" si="74"/>
        <v>34840.344000000005</v>
      </c>
      <c r="AA360" s="4">
        <f>Table1[[#This Row],[ScenarioQuanity]]*Table1[[#This Row],[UnitPrice]]*(1-Table1[[#This Row],[ScenarioDiscPct]])</f>
        <v>38324.378400000009</v>
      </c>
      <c r="AB360" s="4">
        <f t="shared" si="75"/>
        <v>14885.234000000004</v>
      </c>
      <c r="AC360" s="4">
        <f>Table1[[#This Row],[ScenarioRev]] - Table1[[#This Row],[ScenarioCostOfGoods]]</f>
        <v>1232.5215000000026</v>
      </c>
      <c r="AD360" s="6">
        <v>0.12</v>
      </c>
      <c r="AE360" s="6">
        <f>MIN(Table1[[#This Row],[DiscountPct]], WhatIf!$B$2)</f>
        <v>0.12</v>
      </c>
      <c r="AF360" s="6">
        <f>IF(Table1[[#This Row],[DiscountPct]]&gt;0.2, 1, 0)</f>
        <v>0</v>
      </c>
      <c r="AG360" s="6" t="str">
        <f t="shared" si="76"/>
        <v>High</v>
      </c>
      <c r="AH360" s="6">
        <f t="shared" si="77"/>
        <v>0.42724130393201637</v>
      </c>
      <c r="AI360" s="5">
        <v>17</v>
      </c>
      <c r="AJ360" s="6">
        <f>Table1[[#This Row],[Quantity]]*(1+WhatIf!$B$4)</f>
        <v>18.700000000000003</v>
      </c>
    </row>
    <row r="361" spans="1:36" x14ac:dyDescent="0.3">
      <c r="A361" t="s">
        <v>53</v>
      </c>
      <c r="B361" s="3">
        <v>45401</v>
      </c>
      <c r="C361" s="3">
        <v>45418</v>
      </c>
      <c r="D361" s="3">
        <f t="shared" si="66"/>
        <v>45418</v>
      </c>
      <c r="E361" s="4">
        <f t="shared" si="65"/>
        <v>17</v>
      </c>
      <c r="F361" s="4">
        <f t="shared" si="67"/>
        <v>17</v>
      </c>
      <c r="G361" s="4">
        <f>IF(Table1[[#This Row],[CorrectedLeadTimeDays]]&lt;=7, 1, 0)</f>
        <v>0</v>
      </c>
      <c r="H361" s="4" t="str">
        <f t="shared" si="68"/>
        <v>April</v>
      </c>
      <c r="I361" s="4" t="str">
        <f t="shared" si="69"/>
        <v>Q2-2024</v>
      </c>
      <c r="J361" s="4" t="str">
        <f t="shared" si="70"/>
        <v>2023-01</v>
      </c>
      <c r="K361" s="3">
        <f t="shared" si="71"/>
        <v>44941</v>
      </c>
      <c r="L361" t="s">
        <v>646</v>
      </c>
      <c r="M361" t="s">
        <v>651</v>
      </c>
      <c r="N361" t="s">
        <v>663</v>
      </c>
      <c r="O361" t="s">
        <v>703</v>
      </c>
      <c r="P361" t="s">
        <v>708</v>
      </c>
      <c r="Q361" t="s">
        <v>720</v>
      </c>
      <c r="R361">
        <f t="shared" si="72"/>
        <v>15</v>
      </c>
      <c r="S361" t="s">
        <v>728</v>
      </c>
      <c r="T361" t="s">
        <v>772</v>
      </c>
      <c r="U361" s="4">
        <v>865.33</v>
      </c>
      <c r="V361" s="4">
        <f>Table1[[#This Row],[UnitCost]]*(1+WhatIf!$B$3)</f>
        <v>908.59650000000011</v>
      </c>
      <c r="W361" s="4">
        <f t="shared" si="73"/>
        <v>11249.29</v>
      </c>
      <c r="X361" s="4">
        <f>Table1[[#This Row],[ScenarioRev]]-Table1[[#This Row],[ScenarioUnitCost]]</f>
        <v>15556.466400000001</v>
      </c>
      <c r="Y361" s="4">
        <v>1395.64</v>
      </c>
      <c r="Z361" s="4">
        <f t="shared" si="74"/>
        <v>14968.239</v>
      </c>
      <c r="AA361" s="4">
        <f>Table1[[#This Row],[ScenarioQuanity]]*Table1[[#This Row],[UnitPrice]]*(1-Table1[[#This Row],[ScenarioDiscPct]])</f>
        <v>16465.062900000001</v>
      </c>
      <c r="AB361" s="4">
        <f t="shared" si="75"/>
        <v>3718.9489999999987</v>
      </c>
      <c r="AC361" s="4">
        <f>Table1[[#This Row],[ScenarioRev]] - Table1[[#This Row],[ScenarioCostOfGoods]]</f>
        <v>908.59649999999965</v>
      </c>
      <c r="AD361" s="6">
        <v>0.17499999999999999</v>
      </c>
      <c r="AE361" s="6">
        <f>MIN(Table1[[#This Row],[DiscountPct]], WhatIf!$B$2)</f>
        <v>0.17499999999999999</v>
      </c>
      <c r="AF361" s="6">
        <f>IF(Table1[[#This Row],[DiscountPct]]&gt;0.2, 1, 0)</f>
        <v>0</v>
      </c>
      <c r="AG361" s="6" t="str">
        <f t="shared" si="76"/>
        <v>High</v>
      </c>
      <c r="AH361" s="6">
        <f t="shared" si="77"/>
        <v>0.24845601409758347</v>
      </c>
      <c r="AI361" s="5">
        <v>13</v>
      </c>
      <c r="AJ361" s="6">
        <f>Table1[[#This Row],[Quantity]]*(1+WhatIf!$B$4)</f>
        <v>14.3</v>
      </c>
    </row>
    <row r="362" spans="1:36" x14ac:dyDescent="0.3">
      <c r="A362" t="s">
        <v>471</v>
      </c>
      <c r="B362" s="3">
        <v>45048</v>
      </c>
      <c r="C362" s="3">
        <v>45065</v>
      </c>
      <c r="D362" s="3">
        <f t="shared" si="66"/>
        <v>45065</v>
      </c>
      <c r="E362" s="4">
        <f t="shared" si="65"/>
        <v>17</v>
      </c>
      <c r="F362" s="4">
        <f t="shared" si="67"/>
        <v>17</v>
      </c>
      <c r="G362" s="4">
        <f>IF(Table1[[#This Row],[CorrectedLeadTimeDays]]&lt;=7, 1, 0)</f>
        <v>0</v>
      </c>
      <c r="H362" s="4" t="str">
        <f t="shared" si="68"/>
        <v>May</v>
      </c>
      <c r="I362" s="4" t="str">
        <f t="shared" si="69"/>
        <v>Q2-2023</v>
      </c>
      <c r="J362" s="4" t="str">
        <f t="shared" si="70"/>
        <v>2023-01</v>
      </c>
      <c r="K362" s="3">
        <f t="shared" si="71"/>
        <v>44938</v>
      </c>
      <c r="L362" t="s">
        <v>647</v>
      </c>
      <c r="M362" t="s">
        <v>659</v>
      </c>
      <c r="N362" t="s">
        <v>685</v>
      </c>
      <c r="O362" t="s">
        <v>703</v>
      </c>
      <c r="P362" t="s">
        <v>711</v>
      </c>
      <c r="Q362" t="s">
        <v>713</v>
      </c>
      <c r="R362">
        <f t="shared" si="72"/>
        <v>3</v>
      </c>
      <c r="S362" t="s">
        <v>732</v>
      </c>
      <c r="T362" t="s">
        <v>1190</v>
      </c>
      <c r="U362" s="4">
        <v>714.28</v>
      </c>
      <c r="V362" s="4">
        <f>Table1[[#This Row],[UnitCost]]*(1+WhatIf!$B$3)</f>
        <v>749.99400000000003</v>
      </c>
      <c r="W362" s="4">
        <f t="shared" si="73"/>
        <v>8571.36</v>
      </c>
      <c r="X362" s="4">
        <f>Table1[[#This Row],[ScenarioRev]]-Table1[[#This Row],[ScenarioUnitCost]]</f>
        <v>7890.1684320000013</v>
      </c>
      <c r="Y362" s="4">
        <v>757.59</v>
      </c>
      <c r="Z362" s="4">
        <f t="shared" si="74"/>
        <v>7854.6931199999999</v>
      </c>
      <c r="AA362" s="4">
        <f>Table1[[#This Row],[ScenarioQuanity]]*Table1[[#This Row],[UnitPrice]]*(1-Table1[[#This Row],[ScenarioDiscPct]])</f>
        <v>8640.162432000001</v>
      </c>
      <c r="AB362" s="4">
        <f t="shared" si="75"/>
        <v>-716.66688000000067</v>
      </c>
      <c r="AC362" s="4">
        <f>Table1[[#This Row],[ScenarioRev]] - Table1[[#This Row],[ScenarioCostOfGoods]]</f>
        <v>749.99399999999969</v>
      </c>
      <c r="AD362" s="6">
        <v>0.13600000000000001</v>
      </c>
      <c r="AE362" s="6">
        <f>MIN(Table1[[#This Row],[DiscountPct]], WhatIf!$B$2)</f>
        <v>0.13600000000000001</v>
      </c>
      <c r="AF362" s="6">
        <f>IF(Table1[[#This Row],[DiscountPct]]&gt;0.2, 1, 0)</f>
        <v>0</v>
      </c>
      <c r="AG362" s="6" t="str">
        <f t="shared" si="76"/>
        <v>Low</v>
      </c>
      <c r="AH362" s="6">
        <f t="shared" si="77"/>
        <v>-9.1240595787910383E-2</v>
      </c>
      <c r="AI362" s="5">
        <v>12</v>
      </c>
      <c r="AJ362" s="6">
        <f>Table1[[#This Row],[Quantity]]*(1+WhatIf!$B$4)</f>
        <v>13.200000000000001</v>
      </c>
    </row>
    <row r="363" spans="1:36" x14ac:dyDescent="0.3">
      <c r="A363" t="s">
        <v>566</v>
      </c>
      <c r="B363" s="3">
        <v>44988</v>
      </c>
      <c r="C363" s="3">
        <v>45005</v>
      </c>
      <c r="D363" s="3">
        <f t="shared" si="66"/>
        <v>45005</v>
      </c>
      <c r="E363" s="4">
        <f t="shared" si="65"/>
        <v>17</v>
      </c>
      <c r="F363" s="4">
        <f t="shared" si="67"/>
        <v>17</v>
      </c>
      <c r="G363" s="4">
        <f>IF(Table1[[#This Row],[CorrectedLeadTimeDays]]&lt;=7, 1, 0)</f>
        <v>0</v>
      </c>
      <c r="H363" s="4" t="str">
        <f t="shared" si="68"/>
        <v>March</v>
      </c>
      <c r="I363" s="4" t="str">
        <f t="shared" si="69"/>
        <v>Q1-2023</v>
      </c>
      <c r="J363" s="4" t="str">
        <f t="shared" si="70"/>
        <v>2023-03</v>
      </c>
      <c r="K363" s="3">
        <f t="shared" si="71"/>
        <v>44988</v>
      </c>
      <c r="L363" t="s">
        <v>647</v>
      </c>
      <c r="M363" t="s">
        <v>652</v>
      </c>
      <c r="N363" t="s">
        <v>694</v>
      </c>
      <c r="O363" t="s">
        <v>705</v>
      </c>
      <c r="P363" t="s">
        <v>708</v>
      </c>
      <c r="Q363" t="s">
        <v>726</v>
      </c>
      <c r="R363">
        <f t="shared" si="72"/>
        <v>0</v>
      </c>
      <c r="S363" t="s">
        <v>729</v>
      </c>
      <c r="T363" t="s">
        <v>1284</v>
      </c>
      <c r="U363" s="4">
        <v>1171.17</v>
      </c>
      <c r="V363" s="4">
        <f>Table1[[#This Row],[UnitCost]]*(1+WhatIf!$B$3)</f>
        <v>1229.7285000000002</v>
      </c>
      <c r="W363" s="4">
        <f t="shared" si="73"/>
        <v>12882.87</v>
      </c>
      <c r="X363" s="4">
        <f>Table1[[#This Row],[ScenarioRev]]-Table1[[#This Row],[ScenarioUnitCost]]</f>
        <v>19483.408692000001</v>
      </c>
      <c r="Y363" s="4">
        <v>2030.64</v>
      </c>
      <c r="Z363" s="4">
        <f t="shared" si="74"/>
        <v>18830.12472</v>
      </c>
      <c r="AA363" s="4">
        <f>Table1[[#This Row],[ScenarioQuanity]]*Table1[[#This Row],[UnitPrice]]*(1-Table1[[#This Row],[ScenarioDiscPct]])</f>
        <v>20713.137192000002</v>
      </c>
      <c r="AB363" s="4">
        <f t="shared" si="75"/>
        <v>5947.254719999999</v>
      </c>
      <c r="AC363" s="4">
        <f>Table1[[#This Row],[ScenarioRev]] - Table1[[#This Row],[ScenarioCostOfGoods]]</f>
        <v>1229.7285000000011</v>
      </c>
      <c r="AD363" s="6">
        <v>0.157</v>
      </c>
      <c r="AE363" s="6">
        <f>MIN(Table1[[#This Row],[DiscountPct]], WhatIf!$B$2)</f>
        <v>0.157</v>
      </c>
      <c r="AF363" s="6">
        <f>IF(Table1[[#This Row],[DiscountPct]]&gt;0.2, 1, 0)</f>
        <v>0</v>
      </c>
      <c r="AG363" s="6" t="str">
        <f t="shared" si="76"/>
        <v>High</v>
      </c>
      <c r="AH363" s="6">
        <f t="shared" si="77"/>
        <v>0.31583724528830415</v>
      </c>
      <c r="AI363" s="5">
        <v>11</v>
      </c>
      <c r="AJ363" s="6">
        <f>Table1[[#This Row],[Quantity]]*(1+WhatIf!$B$4)</f>
        <v>12.100000000000001</v>
      </c>
    </row>
    <row r="364" spans="1:36" x14ac:dyDescent="0.3">
      <c r="A364" t="s">
        <v>454</v>
      </c>
      <c r="B364" s="3">
        <v>45063</v>
      </c>
      <c r="C364" s="3">
        <v>45080</v>
      </c>
      <c r="D364" s="3">
        <f t="shared" si="66"/>
        <v>45080</v>
      </c>
      <c r="E364" s="4">
        <f t="shared" si="65"/>
        <v>17</v>
      </c>
      <c r="F364" s="4">
        <f t="shared" si="67"/>
        <v>17</v>
      </c>
      <c r="G364" s="4">
        <f>IF(Table1[[#This Row],[CorrectedLeadTimeDays]]&lt;=7, 1, 0)</f>
        <v>0</v>
      </c>
      <c r="H364" s="4" t="str">
        <f t="shared" si="68"/>
        <v>May</v>
      </c>
      <c r="I364" s="4" t="str">
        <f t="shared" si="69"/>
        <v>Q2-2023</v>
      </c>
      <c r="J364" s="4" t="str">
        <f t="shared" si="70"/>
        <v>2023-01</v>
      </c>
      <c r="K364" s="3">
        <f t="shared" si="71"/>
        <v>44938</v>
      </c>
      <c r="L364" t="s">
        <v>647</v>
      </c>
      <c r="M364" t="s">
        <v>659</v>
      </c>
      <c r="N364" t="s">
        <v>699</v>
      </c>
      <c r="O364" t="s">
        <v>703</v>
      </c>
      <c r="P364" t="s">
        <v>710</v>
      </c>
      <c r="Q364" t="s">
        <v>724</v>
      </c>
      <c r="R364">
        <f t="shared" si="72"/>
        <v>4</v>
      </c>
      <c r="S364" t="s">
        <v>728</v>
      </c>
      <c r="T364" t="s">
        <v>1173</v>
      </c>
      <c r="U364" s="4">
        <v>979.59</v>
      </c>
      <c r="V364" s="4">
        <f>Table1[[#This Row],[UnitCost]]*(1+WhatIf!$B$3)</f>
        <v>1028.5695000000001</v>
      </c>
      <c r="W364" s="4">
        <f t="shared" si="73"/>
        <v>10775.49</v>
      </c>
      <c r="X364" s="4">
        <f>Table1[[#This Row],[ScenarioRev]]-Table1[[#This Row],[ScenarioUnitCost]]</f>
        <v>21710.948400000001</v>
      </c>
      <c r="Y364" s="4">
        <v>2210.94</v>
      </c>
      <c r="Z364" s="4">
        <f t="shared" si="74"/>
        <v>20672.289000000001</v>
      </c>
      <c r="AA364" s="4">
        <f>Table1[[#This Row],[ScenarioQuanity]]*Table1[[#This Row],[UnitPrice]]*(1-Table1[[#This Row],[ScenarioDiscPct]])</f>
        <v>22739.517900000003</v>
      </c>
      <c r="AB364" s="4">
        <f t="shared" si="75"/>
        <v>9896.7990000000009</v>
      </c>
      <c r="AC364" s="4">
        <f>Table1[[#This Row],[ScenarioRev]] - Table1[[#This Row],[ScenarioCostOfGoods]]</f>
        <v>1028.5695000000014</v>
      </c>
      <c r="AD364" s="6">
        <v>0.15</v>
      </c>
      <c r="AE364" s="6">
        <f>MIN(Table1[[#This Row],[DiscountPct]], WhatIf!$B$2)</f>
        <v>0.15</v>
      </c>
      <c r="AF364" s="6">
        <f>IF(Table1[[#This Row],[DiscountPct]]&gt;0.2, 1, 0)</f>
        <v>0</v>
      </c>
      <c r="AG364" s="6" t="str">
        <f t="shared" si="76"/>
        <v>High</v>
      </c>
      <c r="AH364" s="6">
        <f t="shared" si="77"/>
        <v>0.47874712858358359</v>
      </c>
      <c r="AI364" s="5">
        <v>11</v>
      </c>
      <c r="AJ364" s="6">
        <f>Table1[[#This Row],[Quantity]]*(1+WhatIf!$B$4)</f>
        <v>12.100000000000001</v>
      </c>
    </row>
    <row r="365" spans="1:36" x14ac:dyDescent="0.3">
      <c r="A365" t="s">
        <v>565</v>
      </c>
      <c r="B365" s="3">
        <v>45875</v>
      </c>
      <c r="C365" s="3">
        <v>45892</v>
      </c>
      <c r="D365" s="3">
        <f t="shared" si="66"/>
        <v>45892</v>
      </c>
      <c r="E365" s="4">
        <f t="shared" si="65"/>
        <v>17</v>
      </c>
      <c r="F365" s="4">
        <f t="shared" si="67"/>
        <v>17</v>
      </c>
      <c r="G365" s="4">
        <f>IF(Table1[[#This Row],[CorrectedLeadTimeDays]]&lt;=7, 1, 0)</f>
        <v>0</v>
      </c>
      <c r="H365" s="4" t="str">
        <f t="shared" si="68"/>
        <v>August</v>
      </c>
      <c r="I365" s="4" t="str">
        <f t="shared" si="69"/>
        <v>Q3-2025</v>
      </c>
      <c r="J365" s="4" t="str">
        <f t="shared" si="70"/>
        <v>2023-01</v>
      </c>
      <c r="K365" s="3">
        <f t="shared" si="71"/>
        <v>44955</v>
      </c>
      <c r="L365" t="s">
        <v>648</v>
      </c>
      <c r="M365" t="s">
        <v>655</v>
      </c>
      <c r="N365" t="s">
        <v>672</v>
      </c>
      <c r="O365" t="s">
        <v>704</v>
      </c>
      <c r="P365" t="s">
        <v>710</v>
      </c>
      <c r="Q365" t="s">
        <v>720</v>
      </c>
      <c r="R365">
        <f t="shared" si="72"/>
        <v>30</v>
      </c>
      <c r="S365" t="s">
        <v>732</v>
      </c>
      <c r="T365" t="s">
        <v>1283</v>
      </c>
      <c r="U365" s="4">
        <v>86.64</v>
      </c>
      <c r="V365" s="4">
        <f>Table1[[#This Row],[UnitCost]]*(1+WhatIf!$B$3)</f>
        <v>90.972000000000008</v>
      </c>
      <c r="W365" s="4">
        <f t="shared" si="73"/>
        <v>953.04</v>
      </c>
      <c r="X365" s="4">
        <f>Table1[[#This Row],[ScenarioRev]]-Table1[[#This Row],[ScenarioUnitCost]]</f>
        <v>1971.4488000000003</v>
      </c>
      <c r="Y365" s="4">
        <v>213.06</v>
      </c>
      <c r="Z365" s="4">
        <f t="shared" si="74"/>
        <v>1846.8040799999999</v>
      </c>
      <c r="AA365" s="4">
        <f>Table1[[#This Row],[ScenarioQuanity]]*Table1[[#This Row],[UnitPrice]]*(1-Table1[[#This Row],[ScenarioDiscPct]])</f>
        <v>2062.4208000000003</v>
      </c>
      <c r="AB365" s="4">
        <f t="shared" si="75"/>
        <v>893.76407999999992</v>
      </c>
      <c r="AC365" s="4">
        <f>Table1[[#This Row],[ScenarioRev]] - Table1[[#This Row],[ScenarioCostOfGoods]]</f>
        <v>90.97199999999998</v>
      </c>
      <c r="AD365" s="6">
        <v>0.21199999999999999</v>
      </c>
      <c r="AE365" s="6">
        <f>MIN(Table1[[#This Row],[DiscountPct]], WhatIf!$B$2)</f>
        <v>0.2</v>
      </c>
      <c r="AF365" s="6">
        <f>IF(Table1[[#This Row],[DiscountPct]]&gt;0.2, 1, 0)</f>
        <v>1</v>
      </c>
      <c r="AG365" s="6" t="str">
        <f t="shared" si="76"/>
        <v>Low</v>
      </c>
      <c r="AH365" s="6">
        <f t="shared" si="77"/>
        <v>0.48395175735154322</v>
      </c>
      <c r="AI365" s="5">
        <v>11</v>
      </c>
      <c r="AJ365" s="6">
        <f>Table1[[#This Row],[Quantity]]*(1+WhatIf!$B$4)</f>
        <v>12.100000000000001</v>
      </c>
    </row>
    <row r="366" spans="1:36" x14ac:dyDescent="0.3">
      <c r="A366" t="s">
        <v>223</v>
      </c>
      <c r="B366" s="3">
        <v>45859</v>
      </c>
      <c r="C366" s="3">
        <v>45876</v>
      </c>
      <c r="D366" s="3">
        <f t="shared" si="66"/>
        <v>45876</v>
      </c>
      <c r="E366" s="4">
        <f t="shared" si="65"/>
        <v>17</v>
      </c>
      <c r="F366" s="4">
        <f t="shared" si="67"/>
        <v>17</v>
      </c>
      <c r="G366" s="4">
        <f>IF(Table1[[#This Row],[CorrectedLeadTimeDays]]&lt;=7, 1, 0)</f>
        <v>0</v>
      </c>
      <c r="H366" s="4" t="str">
        <f t="shared" si="68"/>
        <v>July</v>
      </c>
      <c r="I366" s="4" t="str">
        <f t="shared" si="69"/>
        <v>Q3-2025</v>
      </c>
      <c r="J366" s="4" t="str">
        <f t="shared" si="70"/>
        <v>2023-01</v>
      </c>
      <c r="K366" s="3">
        <f t="shared" si="71"/>
        <v>44941</v>
      </c>
      <c r="L366" t="s">
        <v>646</v>
      </c>
      <c r="M366" t="s">
        <v>651</v>
      </c>
      <c r="N366" t="s">
        <v>665</v>
      </c>
      <c r="O366" t="s">
        <v>706</v>
      </c>
      <c r="P366" t="s">
        <v>711</v>
      </c>
      <c r="Q366" t="s">
        <v>724</v>
      </c>
      <c r="R366">
        <f t="shared" si="72"/>
        <v>30</v>
      </c>
      <c r="S366" t="s">
        <v>733</v>
      </c>
      <c r="T366" t="s">
        <v>943</v>
      </c>
      <c r="U366" s="4">
        <v>1204.95</v>
      </c>
      <c r="V366" s="4">
        <f>Table1[[#This Row],[UnitCost]]*(1+WhatIf!$B$3)</f>
        <v>1265.1975</v>
      </c>
      <c r="W366" s="4">
        <f t="shared" si="73"/>
        <v>12049.5</v>
      </c>
      <c r="X366" s="4">
        <f>Table1[[#This Row],[ScenarioRev]]-Table1[[#This Row],[ScenarioUnitCost]]</f>
        <v>18367.50042</v>
      </c>
      <c r="Y366" s="4">
        <v>2065.73</v>
      </c>
      <c r="Z366" s="4">
        <f t="shared" si="74"/>
        <v>17847.907199999998</v>
      </c>
      <c r="AA366" s="4">
        <f>Table1[[#This Row],[ScenarioQuanity]]*Table1[[#This Row],[UnitPrice]]*(1-Table1[[#This Row],[ScenarioDiscPct]])</f>
        <v>19632.697919999999</v>
      </c>
      <c r="AB366" s="4">
        <f t="shared" si="75"/>
        <v>5798.4071999999978</v>
      </c>
      <c r="AC366" s="4">
        <f>Table1[[#This Row],[ScenarioRev]] - Table1[[#This Row],[ScenarioCostOfGoods]]</f>
        <v>1265.1974999999984</v>
      </c>
      <c r="AD366" s="6">
        <v>0.13600000000000001</v>
      </c>
      <c r="AE366" s="6">
        <f>MIN(Table1[[#This Row],[DiscountPct]], WhatIf!$B$2)</f>
        <v>0.13600000000000001</v>
      </c>
      <c r="AF366" s="6">
        <f>IF(Table1[[#This Row],[DiscountPct]]&gt;0.2, 1, 0)</f>
        <v>0</v>
      </c>
      <c r="AG366" s="6" t="str">
        <f t="shared" si="76"/>
        <v>High</v>
      </c>
      <c r="AH366" s="6">
        <f t="shared" si="77"/>
        <v>0.32487882949100039</v>
      </c>
      <c r="AI366" s="5">
        <v>10</v>
      </c>
      <c r="AJ366" s="6">
        <f>Table1[[#This Row],[Quantity]]*(1+WhatIf!$B$4)</f>
        <v>11</v>
      </c>
    </row>
    <row r="367" spans="1:36" x14ac:dyDescent="0.3">
      <c r="A367" t="s">
        <v>434</v>
      </c>
      <c r="B367" s="3">
        <v>45211</v>
      </c>
      <c r="C367" s="3">
        <v>45228</v>
      </c>
      <c r="D367" s="3">
        <f t="shared" si="66"/>
        <v>45228</v>
      </c>
      <c r="E367" s="4">
        <f t="shared" si="65"/>
        <v>17</v>
      </c>
      <c r="F367" s="4">
        <f t="shared" si="67"/>
        <v>17</v>
      </c>
      <c r="G367" s="4">
        <f>IF(Table1[[#This Row],[CorrectedLeadTimeDays]]&lt;=7, 1, 0)</f>
        <v>0</v>
      </c>
      <c r="H367" s="4" t="str">
        <f t="shared" si="68"/>
        <v>October</v>
      </c>
      <c r="I367" s="4" t="str">
        <f t="shared" si="69"/>
        <v>Q4-2023</v>
      </c>
      <c r="J367" s="4" t="str">
        <f t="shared" si="70"/>
        <v>2023-03</v>
      </c>
      <c r="K367" s="3">
        <f t="shared" si="71"/>
        <v>44988</v>
      </c>
      <c r="L367" t="s">
        <v>647</v>
      </c>
      <c r="M367" t="s">
        <v>652</v>
      </c>
      <c r="N367" t="s">
        <v>694</v>
      </c>
      <c r="O367" t="s">
        <v>703</v>
      </c>
      <c r="P367" t="s">
        <v>711</v>
      </c>
      <c r="Q367" t="s">
        <v>722</v>
      </c>
      <c r="R367">
        <f t="shared" si="72"/>
        <v>7</v>
      </c>
      <c r="S367" t="s">
        <v>730</v>
      </c>
      <c r="T367" t="s">
        <v>1153</v>
      </c>
      <c r="U367" s="4">
        <v>1102.19</v>
      </c>
      <c r="V367" s="4">
        <f>Table1[[#This Row],[UnitCost]]*(1+WhatIf!$B$3)</f>
        <v>1157.2995000000001</v>
      </c>
      <c r="W367" s="4">
        <f t="shared" si="73"/>
        <v>11021.900000000001</v>
      </c>
      <c r="X367" s="4">
        <f>Table1[[#This Row],[ScenarioRev]]-Table1[[#This Row],[ScenarioUnitCost]]</f>
        <v>14823.223740000001</v>
      </c>
      <c r="Y367" s="4">
        <v>1711.16</v>
      </c>
      <c r="Z367" s="4">
        <f t="shared" si="74"/>
        <v>14527.748400000002</v>
      </c>
      <c r="AA367" s="4">
        <f>Table1[[#This Row],[ScenarioQuanity]]*Table1[[#This Row],[UnitPrice]]*(1-Table1[[#This Row],[ScenarioDiscPct]])</f>
        <v>15980.52324</v>
      </c>
      <c r="AB367" s="4">
        <f t="shared" si="75"/>
        <v>3505.8484000000008</v>
      </c>
      <c r="AC367" s="4">
        <f>Table1[[#This Row],[ScenarioRev]] - Table1[[#This Row],[ScenarioCostOfGoods]]</f>
        <v>1157.2994999999992</v>
      </c>
      <c r="AD367" s="6">
        <v>0.151</v>
      </c>
      <c r="AE367" s="6">
        <f>MIN(Table1[[#This Row],[DiscountPct]], WhatIf!$B$2)</f>
        <v>0.151</v>
      </c>
      <c r="AF367" s="6">
        <f>IF(Table1[[#This Row],[DiscountPct]]&gt;0.2, 1, 0)</f>
        <v>0</v>
      </c>
      <c r="AG367" s="6" t="str">
        <f t="shared" si="76"/>
        <v>High</v>
      </c>
      <c r="AH367" s="6">
        <f t="shared" si="77"/>
        <v>0.24132083675127525</v>
      </c>
      <c r="AI367" s="5">
        <v>10</v>
      </c>
      <c r="AJ367" s="6">
        <f>Table1[[#This Row],[Quantity]]*(1+WhatIf!$B$4)</f>
        <v>11</v>
      </c>
    </row>
    <row r="368" spans="1:36" x14ac:dyDescent="0.3">
      <c r="A368" t="s">
        <v>547</v>
      </c>
      <c r="B368" s="3">
        <v>45155</v>
      </c>
      <c r="C368" s="3">
        <v>45172</v>
      </c>
      <c r="D368" s="3">
        <f t="shared" si="66"/>
        <v>45172</v>
      </c>
      <c r="E368" s="4">
        <f t="shared" si="65"/>
        <v>17</v>
      </c>
      <c r="F368" s="4">
        <f t="shared" si="67"/>
        <v>17</v>
      </c>
      <c r="G368" s="4">
        <f>IF(Table1[[#This Row],[CorrectedLeadTimeDays]]&lt;=7, 1, 0)</f>
        <v>0</v>
      </c>
      <c r="H368" s="4" t="str">
        <f t="shared" si="68"/>
        <v>August</v>
      </c>
      <c r="I368" s="4" t="str">
        <f t="shared" si="69"/>
        <v>Q3-2023</v>
      </c>
      <c r="J368" s="4" t="str">
        <f t="shared" si="70"/>
        <v>2023-01</v>
      </c>
      <c r="K368" s="3">
        <f t="shared" si="71"/>
        <v>44933</v>
      </c>
      <c r="L368" t="s">
        <v>646</v>
      </c>
      <c r="M368" t="s">
        <v>661</v>
      </c>
      <c r="N368" t="s">
        <v>687</v>
      </c>
      <c r="O368" t="s">
        <v>706</v>
      </c>
      <c r="P368" t="s">
        <v>707</v>
      </c>
      <c r="Q368" t="s">
        <v>720</v>
      </c>
      <c r="R368">
        <f t="shared" si="72"/>
        <v>7</v>
      </c>
      <c r="S368" t="s">
        <v>730</v>
      </c>
      <c r="T368" t="s">
        <v>1266</v>
      </c>
      <c r="U368" s="4">
        <v>676.37</v>
      </c>
      <c r="V368" s="4">
        <f>Table1[[#This Row],[UnitCost]]*(1+WhatIf!$B$3)</f>
        <v>710.18850000000009</v>
      </c>
      <c r="W368" s="4">
        <f t="shared" si="73"/>
        <v>6763.7</v>
      </c>
      <c r="X368" s="4">
        <f>Table1[[#This Row],[ScenarioRev]]-Table1[[#This Row],[ScenarioUnitCost]]</f>
        <v>12406.319079999999</v>
      </c>
      <c r="Y368" s="4">
        <v>1276.67</v>
      </c>
      <c r="Z368" s="4">
        <f t="shared" si="74"/>
        <v>11924.0978</v>
      </c>
      <c r="AA368" s="4">
        <f>Table1[[#This Row],[ScenarioQuanity]]*Table1[[#This Row],[UnitPrice]]*(1-Table1[[#This Row],[ScenarioDiscPct]])</f>
        <v>13116.50758</v>
      </c>
      <c r="AB368" s="4">
        <f t="shared" si="75"/>
        <v>5160.3977999999997</v>
      </c>
      <c r="AC368" s="4">
        <f>Table1[[#This Row],[ScenarioRev]] - Table1[[#This Row],[ScenarioCostOfGoods]]</f>
        <v>710.1885000000002</v>
      </c>
      <c r="AD368" s="6">
        <v>6.6000000000000003E-2</v>
      </c>
      <c r="AE368" s="6">
        <f>MIN(Table1[[#This Row],[DiscountPct]], WhatIf!$B$2)</f>
        <v>6.6000000000000003E-2</v>
      </c>
      <c r="AF368" s="6">
        <f>IF(Table1[[#This Row],[DiscountPct]]&gt;0.2, 1, 0)</f>
        <v>0</v>
      </c>
      <c r="AG368" s="6" t="str">
        <f t="shared" si="76"/>
        <v>High</v>
      </c>
      <c r="AH368" s="6">
        <f t="shared" si="77"/>
        <v>0.4327705027712872</v>
      </c>
      <c r="AI368" s="5">
        <v>10</v>
      </c>
      <c r="AJ368" s="6">
        <f>Table1[[#This Row],[Quantity]]*(1+WhatIf!$B$4)</f>
        <v>11</v>
      </c>
    </row>
    <row r="369" spans="1:36" x14ac:dyDescent="0.3">
      <c r="A369" t="s">
        <v>215</v>
      </c>
      <c r="B369" s="3">
        <v>45303</v>
      </c>
      <c r="C369" s="3">
        <v>45320</v>
      </c>
      <c r="D369" s="3">
        <f t="shared" si="66"/>
        <v>45320</v>
      </c>
      <c r="E369" s="4">
        <f t="shared" si="65"/>
        <v>17</v>
      </c>
      <c r="F369" s="4">
        <f t="shared" si="67"/>
        <v>17</v>
      </c>
      <c r="G369" s="4">
        <f>IF(Table1[[#This Row],[CorrectedLeadTimeDays]]&lt;=7, 1, 0)</f>
        <v>0</v>
      </c>
      <c r="H369" s="4" t="str">
        <f t="shared" si="68"/>
        <v>January</v>
      </c>
      <c r="I369" s="4" t="str">
        <f t="shared" si="69"/>
        <v>Q1-2024</v>
      </c>
      <c r="J369" s="4" t="str">
        <f t="shared" si="70"/>
        <v>2023-01</v>
      </c>
      <c r="K369" s="3">
        <f t="shared" si="71"/>
        <v>44939</v>
      </c>
      <c r="L369" t="s">
        <v>648</v>
      </c>
      <c r="M369" t="s">
        <v>660</v>
      </c>
      <c r="N369" t="s">
        <v>677</v>
      </c>
      <c r="O369" t="s">
        <v>702</v>
      </c>
      <c r="P369" t="s">
        <v>710</v>
      </c>
      <c r="Q369" t="s">
        <v>720</v>
      </c>
      <c r="R369">
        <f t="shared" si="72"/>
        <v>11</v>
      </c>
      <c r="S369" t="s">
        <v>728</v>
      </c>
      <c r="T369" t="s">
        <v>935</v>
      </c>
      <c r="U369" s="4">
        <v>493.76</v>
      </c>
      <c r="V369" s="4">
        <f>Table1[[#This Row],[UnitCost]]*(1+WhatIf!$B$3)</f>
        <v>518.44799999999998</v>
      </c>
      <c r="W369" s="4">
        <f t="shared" si="73"/>
        <v>4937.6000000000004</v>
      </c>
      <c r="X369" s="4">
        <f>Table1[[#This Row],[ScenarioRev]]-Table1[[#This Row],[ScenarioUnitCost]]</f>
        <v>4981.9039999999995</v>
      </c>
      <c r="Y369" s="4">
        <v>625.04</v>
      </c>
      <c r="Z369" s="4">
        <f t="shared" si="74"/>
        <v>4637.7968000000001</v>
      </c>
      <c r="AA369" s="4">
        <f>Table1[[#This Row],[ScenarioQuanity]]*Table1[[#This Row],[UnitPrice]]*(1-Table1[[#This Row],[ScenarioDiscPct]])</f>
        <v>5500.3519999999999</v>
      </c>
      <c r="AB369" s="4">
        <f t="shared" si="75"/>
        <v>-299.80320000000029</v>
      </c>
      <c r="AC369" s="4">
        <f>Table1[[#This Row],[ScenarioRev]] - Table1[[#This Row],[ScenarioCostOfGoods]]</f>
        <v>518.44800000000032</v>
      </c>
      <c r="AD369" s="6">
        <v>0.25800000000000001</v>
      </c>
      <c r="AE369" s="6">
        <f>MIN(Table1[[#This Row],[DiscountPct]], WhatIf!$B$2)</f>
        <v>0.2</v>
      </c>
      <c r="AF369" s="6">
        <f>IF(Table1[[#This Row],[DiscountPct]]&gt;0.2, 1, 0)</f>
        <v>1</v>
      </c>
      <c r="AG369" s="6" t="str">
        <f t="shared" si="76"/>
        <v>Low</v>
      </c>
      <c r="AH369" s="6">
        <f t="shared" si="77"/>
        <v>-6.464345311549663E-2</v>
      </c>
      <c r="AI369" s="5">
        <v>10</v>
      </c>
      <c r="AJ369" s="6">
        <f>Table1[[#This Row],[Quantity]]*(1+WhatIf!$B$4)</f>
        <v>11</v>
      </c>
    </row>
    <row r="370" spans="1:36" x14ac:dyDescent="0.3">
      <c r="A370" t="s">
        <v>407</v>
      </c>
      <c r="B370" s="3">
        <v>45360</v>
      </c>
      <c r="C370" s="3">
        <v>45377</v>
      </c>
      <c r="D370" s="3">
        <f t="shared" si="66"/>
        <v>45377</v>
      </c>
      <c r="E370" s="4">
        <f t="shared" si="65"/>
        <v>17</v>
      </c>
      <c r="F370" s="4">
        <f t="shared" si="67"/>
        <v>17</v>
      </c>
      <c r="G370" s="4">
        <f>IF(Table1[[#This Row],[CorrectedLeadTimeDays]]&lt;=7, 1, 0)</f>
        <v>0</v>
      </c>
      <c r="H370" s="4" t="str">
        <f t="shared" si="68"/>
        <v>March</v>
      </c>
      <c r="I370" s="4" t="str">
        <f t="shared" si="69"/>
        <v>Q1-2024</v>
      </c>
      <c r="J370" s="4" t="str">
        <f t="shared" si="70"/>
        <v>2023-01</v>
      </c>
      <c r="K370" s="3">
        <f t="shared" si="71"/>
        <v>44939</v>
      </c>
      <c r="L370" t="s">
        <v>648</v>
      </c>
      <c r="M370" t="s">
        <v>660</v>
      </c>
      <c r="N370" t="s">
        <v>686</v>
      </c>
      <c r="O370" t="s">
        <v>702</v>
      </c>
      <c r="P370" t="s">
        <v>711</v>
      </c>
      <c r="Q370" t="s">
        <v>714</v>
      </c>
      <c r="R370">
        <f t="shared" si="72"/>
        <v>13</v>
      </c>
      <c r="S370" t="s">
        <v>730</v>
      </c>
      <c r="T370" t="s">
        <v>1126</v>
      </c>
      <c r="U370" s="4">
        <v>1137.4100000000001</v>
      </c>
      <c r="V370" s="4">
        <f>Table1[[#This Row],[UnitCost]]*(1+WhatIf!$B$3)</f>
        <v>1194.2805000000001</v>
      </c>
      <c r="W370" s="4">
        <f t="shared" si="73"/>
        <v>10236.69</v>
      </c>
      <c r="X370" s="4">
        <f>Table1[[#This Row],[ScenarioRev]]-Table1[[#This Row],[ScenarioUnitCost]]</f>
        <v>12118.685100000002</v>
      </c>
      <c r="Y370" s="4">
        <v>1680.93</v>
      </c>
      <c r="Z370" s="4">
        <f t="shared" si="74"/>
        <v>11285.764020000001</v>
      </c>
      <c r="AA370" s="4">
        <f>Table1[[#This Row],[ScenarioQuanity]]*Table1[[#This Row],[UnitPrice]]*(1-Table1[[#This Row],[ScenarioDiscPct]])</f>
        <v>13312.965600000003</v>
      </c>
      <c r="AB370" s="4">
        <f t="shared" si="75"/>
        <v>1049.07402</v>
      </c>
      <c r="AC370" s="4">
        <f>Table1[[#This Row],[ScenarioRev]] - Table1[[#This Row],[ScenarioCostOfGoods]]</f>
        <v>1194.2805000000008</v>
      </c>
      <c r="AD370" s="6">
        <v>0.254</v>
      </c>
      <c r="AE370" s="6">
        <f>MIN(Table1[[#This Row],[DiscountPct]], WhatIf!$B$2)</f>
        <v>0.2</v>
      </c>
      <c r="AF370" s="6">
        <f>IF(Table1[[#This Row],[DiscountPct]]&gt;0.2, 1, 0)</f>
        <v>1</v>
      </c>
      <c r="AG370" s="6" t="str">
        <f t="shared" si="76"/>
        <v>High</v>
      </c>
      <c r="AH370" s="6">
        <f t="shared" si="77"/>
        <v>9.2955516183121464E-2</v>
      </c>
      <c r="AI370" s="5">
        <v>9</v>
      </c>
      <c r="AJ370" s="6">
        <f>Table1[[#This Row],[Quantity]]*(1+WhatIf!$B$4)</f>
        <v>9.9</v>
      </c>
    </row>
    <row r="371" spans="1:36" x14ac:dyDescent="0.3">
      <c r="A371" t="s">
        <v>377</v>
      </c>
      <c r="B371" s="3">
        <v>45360</v>
      </c>
      <c r="C371" s="3">
        <v>45377</v>
      </c>
      <c r="D371" s="3">
        <f t="shared" si="66"/>
        <v>45377</v>
      </c>
      <c r="E371" s="4">
        <f t="shared" si="65"/>
        <v>17</v>
      </c>
      <c r="F371" s="4">
        <f t="shared" si="67"/>
        <v>17</v>
      </c>
      <c r="G371" s="4">
        <f>IF(Table1[[#This Row],[CorrectedLeadTimeDays]]&lt;=7, 1, 0)</f>
        <v>0</v>
      </c>
      <c r="H371" s="4" t="str">
        <f t="shared" si="68"/>
        <v>March</v>
      </c>
      <c r="I371" s="4" t="str">
        <f t="shared" si="69"/>
        <v>Q1-2024</v>
      </c>
      <c r="J371" s="4" t="str">
        <f t="shared" si="70"/>
        <v>2023-01</v>
      </c>
      <c r="K371" s="3">
        <f t="shared" si="71"/>
        <v>44938</v>
      </c>
      <c r="L371" t="s">
        <v>647</v>
      </c>
      <c r="M371" t="s">
        <v>659</v>
      </c>
      <c r="N371" t="s">
        <v>676</v>
      </c>
      <c r="O371" t="s">
        <v>706</v>
      </c>
      <c r="P371" t="s">
        <v>708</v>
      </c>
      <c r="Q371" t="s">
        <v>723</v>
      </c>
      <c r="R371">
        <f t="shared" si="72"/>
        <v>13</v>
      </c>
      <c r="S371" t="s">
        <v>732</v>
      </c>
      <c r="T371" t="s">
        <v>1097</v>
      </c>
      <c r="U371" s="4">
        <v>1029.67</v>
      </c>
      <c r="V371" s="4">
        <f>Table1[[#This Row],[UnitCost]]*(1+WhatIf!$B$3)</f>
        <v>1081.1535000000001</v>
      </c>
      <c r="W371" s="4">
        <f t="shared" si="73"/>
        <v>9267.0300000000007</v>
      </c>
      <c r="X371" s="4">
        <f>Table1[[#This Row],[ScenarioRev]]-Table1[[#This Row],[ScenarioUnitCost]]</f>
        <v>7776.812100000001</v>
      </c>
      <c r="Y371" s="4">
        <v>1118.43</v>
      </c>
      <c r="Z371" s="4">
        <f t="shared" si="74"/>
        <v>7327.9533600000004</v>
      </c>
      <c r="AA371" s="4">
        <f>Table1[[#This Row],[ScenarioQuanity]]*Table1[[#This Row],[UnitPrice]]*(1-Table1[[#This Row],[ScenarioDiscPct]])</f>
        <v>8857.9656000000014</v>
      </c>
      <c r="AB371" s="4">
        <f t="shared" si="75"/>
        <v>-1939.0766400000002</v>
      </c>
      <c r="AC371" s="4">
        <f>Table1[[#This Row],[ScenarioRev]] - Table1[[#This Row],[ScenarioCostOfGoods]]</f>
        <v>1081.1535000000003</v>
      </c>
      <c r="AD371" s="6">
        <v>0.27200000000000002</v>
      </c>
      <c r="AE371" s="6">
        <f>MIN(Table1[[#This Row],[DiscountPct]], WhatIf!$B$2)</f>
        <v>0.2</v>
      </c>
      <c r="AF371" s="6">
        <f>IF(Table1[[#This Row],[DiscountPct]]&gt;0.2, 1, 0)</f>
        <v>1</v>
      </c>
      <c r="AG371" s="6" t="str">
        <f t="shared" si="76"/>
        <v>High</v>
      </c>
      <c r="AH371" s="6">
        <f t="shared" si="77"/>
        <v>-0.26461367106736061</v>
      </c>
      <c r="AI371" s="5">
        <v>9</v>
      </c>
      <c r="AJ371" s="6">
        <f>Table1[[#This Row],[Quantity]]*(1+WhatIf!$B$4)</f>
        <v>9.9</v>
      </c>
    </row>
    <row r="372" spans="1:36" x14ac:dyDescent="0.3">
      <c r="A372" t="s">
        <v>518</v>
      </c>
      <c r="B372" s="3">
        <v>45726</v>
      </c>
      <c r="C372" s="3">
        <v>45743</v>
      </c>
      <c r="D372" s="3">
        <f t="shared" si="66"/>
        <v>45743</v>
      </c>
      <c r="E372" s="4">
        <f t="shared" si="65"/>
        <v>17</v>
      </c>
      <c r="F372" s="4">
        <f t="shared" si="67"/>
        <v>17</v>
      </c>
      <c r="G372" s="4">
        <f>IF(Table1[[#This Row],[CorrectedLeadTimeDays]]&lt;=7, 1, 0)</f>
        <v>0</v>
      </c>
      <c r="H372" s="4" t="str">
        <f t="shared" si="68"/>
        <v>March</v>
      </c>
      <c r="I372" s="4" t="str">
        <f t="shared" si="69"/>
        <v>Q1-2025</v>
      </c>
      <c r="J372" s="4" t="str">
        <f t="shared" si="70"/>
        <v>2023-01</v>
      </c>
      <c r="K372" s="3">
        <f t="shared" si="71"/>
        <v>44955</v>
      </c>
      <c r="L372" t="s">
        <v>648</v>
      </c>
      <c r="M372" t="s">
        <v>655</v>
      </c>
      <c r="N372" t="s">
        <v>692</v>
      </c>
      <c r="O372" t="s">
        <v>706</v>
      </c>
      <c r="P372" t="s">
        <v>711</v>
      </c>
      <c r="Q372" t="s">
        <v>721</v>
      </c>
      <c r="R372">
        <f t="shared" si="72"/>
        <v>25</v>
      </c>
      <c r="S372" t="s">
        <v>729</v>
      </c>
      <c r="T372" t="s">
        <v>1237</v>
      </c>
      <c r="U372" s="4">
        <v>996.73</v>
      </c>
      <c r="V372" s="4">
        <f>Table1[[#This Row],[UnitCost]]*(1+WhatIf!$B$3)</f>
        <v>1046.5665000000001</v>
      </c>
      <c r="W372" s="4">
        <f t="shared" si="73"/>
        <v>8970.57</v>
      </c>
      <c r="X372" s="4">
        <f>Table1[[#This Row],[ScenarioRev]]-Table1[[#This Row],[ScenarioUnitCost]]</f>
        <v>10162.31151</v>
      </c>
      <c r="Y372" s="4">
        <v>1217.43</v>
      </c>
      <c r="Z372" s="4">
        <f t="shared" si="74"/>
        <v>10189.8891</v>
      </c>
      <c r="AA372" s="4">
        <f>Table1[[#This Row],[ScenarioQuanity]]*Table1[[#This Row],[UnitPrice]]*(1-Table1[[#This Row],[ScenarioDiscPct]])</f>
        <v>11208.87801</v>
      </c>
      <c r="AB372" s="4">
        <f t="shared" si="75"/>
        <v>1219.3191000000006</v>
      </c>
      <c r="AC372" s="4">
        <f>Table1[[#This Row],[ScenarioRev]] - Table1[[#This Row],[ScenarioCostOfGoods]]</f>
        <v>1046.5665000000008</v>
      </c>
      <c r="AD372" s="6">
        <v>7.0000000000000007E-2</v>
      </c>
      <c r="AE372" s="6">
        <f>MIN(Table1[[#This Row],[DiscountPct]], WhatIf!$B$2)</f>
        <v>7.0000000000000007E-2</v>
      </c>
      <c r="AF372" s="6">
        <f>IF(Table1[[#This Row],[DiscountPct]]&gt;0.2, 1, 0)</f>
        <v>0</v>
      </c>
      <c r="AG372" s="6" t="str">
        <f t="shared" si="76"/>
        <v>High</v>
      </c>
      <c r="AH372" s="6">
        <f t="shared" si="77"/>
        <v>0.11965970267527255</v>
      </c>
      <c r="AI372" s="5">
        <v>9</v>
      </c>
      <c r="AJ372" s="6">
        <f>Table1[[#This Row],[Quantity]]*(1+WhatIf!$B$4)</f>
        <v>9.9</v>
      </c>
    </row>
    <row r="373" spans="1:36" x14ac:dyDescent="0.3">
      <c r="A373" t="s">
        <v>36</v>
      </c>
      <c r="B373" s="3">
        <v>45057</v>
      </c>
      <c r="C373" s="3">
        <v>45074</v>
      </c>
      <c r="D373" s="3">
        <f t="shared" si="66"/>
        <v>45074</v>
      </c>
      <c r="E373" s="4">
        <f t="shared" si="65"/>
        <v>17</v>
      </c>
      <c r="F373" s="4">
        <f t="shared" si="67"/>
        <v>17</v>
      </c>
      <c r="G373" s="4">
        <f>IF(Table1[[#This Row],[CorrectedLeadTimeDays]]&lt;=7, 1, 0)</f>
        <v>0</v>
      </c>
      <c r="H373" s="4" t="str">
        <f t="shared" si="68"/>
        <v>May</v>
      </c>
      <c r="I373" s="4" t="str">
        <f t="shared" si="69"/>
        <v>Q2-2023</v>
      </c>
      <c r="J373" s="4" t="str">
        <f t="shared" si="70"/>
        <v>2023-01</v>
      </c>
      <c r="K373" s="3">
        <f t="shared" si="71"/>
        <v>44938</v>
      </c>
      <c r="L373" t="s">
        <v>647</v>
      </c>
      <c r="M373" t="s">
        <v>659</v>
      </c>
      <c r="N373" t="s">
        <v>676</v>
      </c>
      <c r="O373" t="s">
        <v>706</v>
      </c>
      <c r="P373" t="s">
        <v>709</v>
      </c>
      <c r="Q373" t="s">
        <v>718</v>
      </c>
      <c r="R373">
        <f t="shared" si="72"/>
        <v>3</v>
      </c>
      <c r="S373" t="s">
        <v>729</v>
      </c>
      <c r="T373" t="s">
        <v>755</v>
      </c>
      <c r="U373" s="4">
        <v>1331.19</v>
      </c>
      <c r="V373" s="4">
        <f>Table1[[#This Row],[UnitCost]]*(1+WhatIf!$B$3)</f>
        <v>1397.7495000000001</v>
      </c>
      <c r="W373" s="4">
        <f t="shared" si="73"/>
        <v>10649.52</v>
      </c>
      <c r="X373" s="4">
        <f>Table1[[#This Row],[ScenarioRev]]-Table1[[#This Row],[ScenarioUnitCost]]</f>
        <v>20496.194044</v>
      </c>
      <c r="Y373" s="4">
        <v>2903.09</v>
      </c>
      <c r="Z373" s="4">
        <f t="shared" si="74"/>
        <v>19903.585040000002</v>
      </c>
      <c r="AA373" s="4">
        <f>Table1[[#This Row],[ScenarioQuanity]]*Table1[[#This Row],[UnitPrice]]*(1-Table1[[#This Row],[ScenarioDiscPct]])</f>
        <v>21893.943544000002</v>
      </c>
      <c r="AB373" s="4">
        <f t="shared" si="75"/>
        <v>9254.0650400000013</v>
      </c>
      <c r="AC373" s="4">
        <f>Table1[[#This Row],[ScenarioRev]] - Table1[[#This Row],[ScenarioCostOfGoods]]</f>
        <v>1397.7495000000017</v>
      </c>
      <c r="AD373" s="6">
        <v>0.14299999999999999</v>
      </c>
      <c r="AE373" s="6">
        <f>MIN(Table1[[#This Row],[DiscountPct]], WhatIf!$B$2)</f>
        <v>0.14299999999999999</v>
      </c>
      <c r="AF373" s="6">
        <f>IF(Table1[[#This Row],[DiscountPct]]&gt;0.2, 1, 0)</f>
        <v>0</v>
      </c>
      <c r="AG373" s="6" t="str">
        <f t="shared" si="76"/>
        <v>High</v>
      </c>
      <c r="AH373" s="6">
        <f t="shared" si="77"/>
        <v>0.46494463290920784</v>
      </c>
      <c r="AI373" s="5">
        <v>8</v>
      </c>
      <c r="AJ373" s="6">
        <f>Table1[[#This Row],[Quantity]]*(1+WhatIf!$B$4)</f>
        <v>8.8000000000000007</v>
      </c>
    </row>
    <row r="374" spans="1:36" x14ac:dyDescent="0.3">
      <c r="A374" t="s">
        <v>105</v>
      </c>
      <c r="B374" s="3">
        <v>45775</v>
      </c>
      <c r="C374" s="3">
        <v>45792</v>
      </c>
      <c r="D374" s="3">
        <f t="shared" si="66"/>
        <v>45792</v>
      </c>
      <c r="E374" s="4">
        <f t="shared" si="65"/>
        <v>17</v>
      </c>
      <c r="F374" s="4">
        <f t="shared" si="67"/>
        <v>17</v>
      </c>
      <c r="G374" s="4">
        <f>IF(Table1[[#This Row],[CorrectedLeadTimeDays]]&lt;=7, 1, 0)</f>
        <v>0</v>
      </c>
      <c r="H374" s="4" t="str">
        <f t="shared" si="68"/>
        <v>April</v>
      </c>
      <c r="I374" s="4" t="str">
        <f t="shared" si="69"/>
        <v>Q2-2025</v>
      </c>
      <c r="J374" s="4" t="str">
        <f t="shared" si="70"/>
        <v>2023-03</v>
      </c>
      <c r="K374" s="3">
        <f t="shared" si="71"/>
        <v>44988</v>
      </c>
      <c r="L374" t="s">
        <v>647</v>
      </c>
      <c r="M374" t="s">
        <v>652</v>
      </c>
      <c r="N374" t="s">
        <v>694</v>
      </c>
      <c r="O374" t="s">
        <v>702</v>
      </c>
      <c r="P374" t="s">
        <v>711</v>
      </c>
      <c r="Q374" t="s">
        <v>725</v>
      </c>
      <c r="R374">
        <f t="shared" si="72"/>
        <v>25</v>
      </c>
      <c r="S374" t="s">
        <v>729</v>
      </c>
      <c r="T374" t="s">
        <v>824</v>
      </c>
      <c r="U374" s="4">
        <v>691.19</v>
      </c>
      <c r="V374" s="4">
        <f>Table1[[#This Row],[UnitCost]]*(1+WhatIf!$B$3)</f>
        <v>725.74950000000013</v>
      </c>
      <c r="W374" s="4">
        <f t="shared" si="73"/>
        <v>4838.33</v>
      </c>
      <c r="X374" s="4">
        <f>Table1[[#This Row],[ScenarioRev]]-Table1[[#This Row],[ScenarioUnitCost]]</f>
        <v>8431.5663600000007</v>
      </c>
      <c r="Y374" s="4">
        <v>1284.3</v>
      </c>
      <c r="Z374" s="4">
        <f t="shared" si="74"/>
        <v>8324.8326000000015</v>
      </c>
      <c r="AA374" s="4">
        <f>Table1[[#This Row],[ScenarioQuanity]]*Table1[[#This Row],[UnitPrice]]*(1-Table1[[#This Row],[ScenarioDiscPct]])</f>
        <v>9157.3158600000006</v>
      </c>
      <c r="AB374" s="4">
        <f t="shared" si="75"/>
        <v>3486.5026000000016</v>
      </c>
      <c r="AC374" s="4">
        <f>Table1[[#This Row],[ScenarioRev]] - Table1[[#This Row],[ScenarioCostOfGoods]]</f>
        <v>725.7494999999999</v>
      </c>
      <c r="AD374" s="6">
        <v>7.3999999999999996E-2</v>
      </c>
      <c r="AE374" s="6">
        <f>MIN(Table1[[#This Row],[DiscountPct]], WhatIf!$B$2)</f>
        <v>7.3999999999999996E-2</v>
      </c>
      <c r="AF374" s="6">
        <f>IF(Table1[[#This Row],[DiscountPct]]&gt;0.2, 1, 0)</f>
        <v>0</v>
      </c>
      <c r="AG374" s="6" t="str">
        <f t="shared" si="76"/>
        <v>High</v>
      </c>
      <c r="AH374" s="6">
        <f t="shared" si="77"/>
        <v>0.41880753253825198</v>
      </c>
      <c r="AI374" s="5">
        <v>7</v>
      </c>
      <c r="AJ374" s="6">
        <f>Table1[[#This Row],[Quantity]]*(1+WhatIf!$B$4)</f>
        <v>7.7000000000000011</v>
      </c>
    </row>
    <row r="375" spans="1:36" x14ac:dyDescent="0.3">
      <c r="A375" t="s">
        <v>260</v>
      </c>
      <c r="B375" s="3">
        <v>45338</v>
      </c>
      <c r="C375" s="3">
        <v>45355</v>
      </c>
      <c r="D375" s="3">
        <f t="shared" si="66"/>
        <v>45355</v>
      </c>
      <c r="E375" s="4">
        <f t="shared" si="65"/>
        <v>17</v>
      </c>
      <c r="F375" s="4">
        <f t="shared" si="67"/>
        <v>17</v>
      </c>
      <c r="G375" s="4">
        <f>IF(Table1[[#This Row],[CorrectedLeadTimeDays]]&lt;=7, 1, 0)</f>
        <v>0</v>
      </c>
      <c r="H375" s="4" t="str">
        <f t="shared" si="68"/>
        <v>February</v>
      </c>
      <c r="I375" s="4" t="str">
        <f t="shared" si="69"/>
        <v>Q1-2024</v>
      </c>
      <c r="J375" s="4" t="str">
        <f t="shared" si="70"/>
        <v>2023-01</v>
      </c>
      <c r="K375" s="3">
        <f t="shared" si="71"/>
        <v>44928</v>
      </c>
      <c r="L375" t="s">
        <v>648</v>
      </c>
      <c r="M375" t="s">
        <v>653</v>
      </c>
      <c r="N375" t="s">
        <v>681</v>
      </c>
      <c r="O375" t="s">
        <v>703</v>
      </c>
      <c r="P375" t="s">
        <v>707</v>
      </c>
      <c r="Q375" t="s">
        <v>726</v>
      </c>
      <c r="R375">
        <f t="shared" si="72"/>
        <v>13</v>
      </c>
      <c r="S375" t="s">
        <v>731</v>
      </c>
      <c r="T375" t="s">
        <v>980</v>
      </c>
      <c r="U375" s="4">
        <v>1350.98</v>
      </c>
      <c r="V375" s="4">
        <f>Table1[[#This Row],[UnitCost]]*(1+WhatIf!$B$3)</f>
        <v>1418.529</v>
      </c>
      <c r="W375" s="4">
        <f t="shared" si="73"/>
        <v>8105.88</v>
      </c>
      <c r="X375" s="4">
        <f>Table1[[#This Row],[ScenarioRev]]-Table1[[#This Row],[ScenarioUnitCost]]</f>
        <v>10252.383000000002</v>
      </c>
      <c r="Y375" s="4">
        <v>2210.4</v>
      </c>
      <c r="Z375" s="4">
        <f t="shared" si="74"/>
        <v>9774.3888000000006</v>
      </c>
      <c r="AA375" s="4">
        <f>Table1[[#This Row],[ScenarioQuanity]]*Table1[[#This Row],[UnitPrice]]*(1-Table1[[#This Row],[ScenarioDiscPct]])</f>
        <v>11670.912000000002</v>
      </c>
      <c r="AB375" s="4">
        <f t="shared" si="75"/>
        <v>1668.5088000000005</v>
      </c>
      <c r="AC375" s="4">
        <f>Table1[[#This Row],[ScenarioRev]] - Table1[[#This Row],[ScenarioCostOfGoods]]</f>
        <v>1418.5290000000005</v>
      </c>
      <c r="AD375" s="6">
        <v>0.26300000000000001</v>
      </c>
      <c r="AE375" s="6">
        <f>MIN(Table1[[#This Row],[DiscountPct]], WhatIf!$B$2)</f>
        <v>0.2</v>
      </c>
      <c r="AF375" s="6">
        <f>IF(Table1[[#This Row],[DiscountPct]]&gt;0.2, 1, 0)</f>
        <v>1</v>
      </c>
      <c r="AG375" s="6" t="str">
        <f t="shared" si="76"/>
        <v>High</v>
      </c>
      <c r="AH375" s="6">
        <f t="shared" si="77"/>
        <v>0.17070211080615091</v>
      </c>
      <c r="AI375" s="5">
        <v>6</v>
      </c>
      <c r="AJ375" s="6">
        <f>Table1[[#This Row],[Quantity]]*(1+WhatIf!$B$4)</f>
        <v>6.6000000000000005</v>
      </c>
    </row>
    <row r="376" spans="1:36" x14ac:dyDescent="0.3">
      <c r="A376" t="s">
        <v>161</v>
      </c>
      <c r="B376" s="3">
        <v>45911</v>
      </c>
      <c r="C376" s="3">
        <v>45928</v>
      </c>
      <c r="D376" s="3">
        <f t="shared" si="66"/>
        <v>45928</v>
      </c>
      <c r="E376" s="4">
        <f t="shared" si="65"/>
        <v>17</v>
      </c>
      <c r="F376" s="4">
        <f t="shared" si="67"/>
        <v>17</v>
      </c>
      <c r="G376" s="4">
        <f>IF(Table1[[#This Row],[CorrectedLeadTimeDays]]&lt;=7, 1, 0)</f>
        <v>0</v>
      </c>
      <c r="H376" s="4" t="str">
        <f t="shared" si="68"/>
        <v>September</v>
      </c>
      <c r="I376" s="4" t="str">
        <f t="shared" si="69"/>
        <v>Q3-2025</v>
      </c>
      <c r="J376" s="4" t="str">
        <f t="shared" si="70"/>
        <v>2023-01</v>
      </c>
      <c r="K376" s="3">
        <f t="shared" si="71"/>
        <v>44946</v>
      </c>
      <c r="L376" t="s">
        <v>646</v>
      </c>
      <c r="M376" t="s">
        <v>650</v>
      </c>
      <c r="N376" t="s">
        <v>664</v>
      </c>
      <c r="O376" t="s">
        <v>703</v>
      </c>
      <c r="P376" t="s">
        <v>710</v>
      </c>
      <c r="Q376" t="s">
        <v>713</v>
      </c>
      <c r="R376">
        <f t="shared" si="72"/>
        <v>31</v>
      </c>
      <c r="S376" t="s">
        <v>731</v>
      </c>
      <c r="T376" t="s">
        <v>880</v>
      </c>
      <c r="U376" s="4">
        <v>891.46</v>
      </c>
      <c r="V376" s="4">
        <f>Table1[[#This Row],[UnitCost]]*(1+WhatIf!$B$3)</f>
        <v>936.03300000000013</v>
      </c>
      <c r="W376" s="4">
        <f t="shared" si="73"/>
        <v>5348.76</v>
      </c>
      <c r="X376" s="4">
        <f>Table1[[#This Row],[ScenarioRev]]-Table1[[#This Row],[ScenarioUnitCost]]</f>
        <v>2983.1601900000005</v>
      </c>
      <c r="Y376" s="4">
        <v>728.61</v>
      </c>
      <c r="Z376" s="4">
        <f t="shared" si="74"/>
        <v>3562.9028999999996</v>
      </c>
      <c r="AA376" s="4">
        <f>Table1[[#This Row],[ScenarioQuanity]]*Table1[[#This Row],[UnitPrice]]*(1-Table1[[#This Row],[ScenarioDiscPct]])</f>
        <v>3919.1931900000004</v>
      </c>
      <c r="AB376" s="4">
        <f t="shared" si="75"/>
        <v>-1785.8571000000006</v>
      </c>
      <c r="AC376" s="4">
        <f>Table1[[#This Row],[ScenarioRev]] - Table1[[#This Row],[ScenarioCostOfGoods]]</f>
        <v>936.0329999999999</v>
      </c>
      <c r="AD376" s="6">
        <v>0.185</v>
      </c>
      <c r="AE376" s="6">
        <f>MIN(Table1[[#This Row],[DiscountPct]], WhatIf!$B$2)</f>
        <v>0.185</v>
      </c>
      <c r="AF376" s="6">
        <f>IF(Table1[[#This Row],[DiscountPct]]&gt;0.2, 1, 0)</f>
        <v>0</v>
      </c>
      <c r="AG376" s="6" t="str">
        <f t="shared" si="76"/>
        <v>Low</v>
      </c>
      <c r="AH376" s="6">
        <f t="shared" si="77"/>
        <v>-0.50123653383874167</v>
      </c>
      <c r="AI376" s="5">
        <v>6</v>
      </c>
      <c r="AJ376" s="6">
        <f>Table1[[#This Row],[Quantity]]*(1+WhatIf!$B$4)</f>
        <v>6.6000000000000005</v>
      </c>
    </row>
    <row r="377" spans="1:36" x14ac:dyDescent="0.3">
      <c r="A377" t="s">
        <v>359</v>
      </c>
      <c r="B377" s="3">
        <v>45261</v>
      </c>
      <c r="C377" s="3">
        <v>45278</v>
      </c>
      <c r="D377" s="3">
        <f t="shared" si="66"/>
        <v>45278</v>
      </c>
      <c r="E377" s="4">
        <f t="shared" si="65"/>
        <v>17</v>
      </c>
      <c r="F377" s="4">
        <f t="shared" si="67"/>
        <v>17</v>
      </c>
      <c r="G377" s="4">
        <f>IF(Table1[[#This Row],[CorrectedLeadTimeDays]]&lt;=7, 1, 0)</f>
        <v>0</v>
      </c>
      <c r="H377" s="4" t="str">
        <f t="shared" si="68"/>
        <v>December</v>
      </c>
      <c r="I377" s="4" t="str">
        <f t="shared" si="69"/>
        <v>Q4-2023</v>
      </c>
      <c r="J377" s="4" t="str">
        <f t="shared" si="70"/>
        <v>2023-03</v>
      </c>
      <c r="K377" s="3">
        <f t="shared" si="71"/>
        <v>44988</v>
      </c>
      <c r="L377" t="s">
        <v>647</v>
      </c>
      <c r="M377" t="s">
        <v>652</v>
      </c>
      <c r="N377" t="s">
        <v>694</v>
      </c>
      <c r="O377" t="s">
        <v>705</v>
      </c>
      <c r="P377" t="s">
        <v>711</v>
      </c>
      <c r="Q377" t="s">
        <v>725</v>
      </c>
      <c r="R377">
        <f t="shared" si="72"/>
        <v>8</v>
      </c>
      <c r="S377" t="s">
        <v>731</v>
      </c>
      <c r="T377" t="s">
        <v>1079</v>
      </c>
      <c r="U377" s="4">
        <v>1495.79</v>
      </c>
      <c r="V377" s="4">
        <f>Table1[[#This Row],[UnitCost]]*(1+WhatIf!$B$3)</f>
        <v>1570.5795000000001</v>
      </c>
      <c r="W377" s="4">
        <f t="shared" si="73"/>
        <v>7478.95</v>
      </c>
      <c r="X377" s="4">
        <f>Table1[[#This Row],[ScenarioRev]]-Table1[[#This Row],[ScenarioUnitCost]]</f>
        <v>13430.4373</v>
      </c>
      <c r="Y377" s="4">
        <v>2783.12</v>
      </c>
      <c r="Z377" s="4">
        <f t="shared" si="74"/>
        <v>13637.287999999999</v>
      </c>
      <c r="AA377" s="4">
        <f>Table1[[#This Row],[ScenarioQuanity]]*Table1[[#This Row],[UnitPrice]]*(1-Table1[[#This Row],[ScenarioDiscPct]])</f>
        <v>15001.016799999999</v>
      </c>
      <c r="AB377" s="4">
        <f t="shared" si="75"/>
        <v>6158.3379999999988</v>
      </c>
      <c r="AC377" s="4">
        <f>Table1[[#This Row],[ScenarioRev]] - Table1[[#This Row],[ScenarioCostOfGoods]]</f>
        <v>1570.5794999999998</v>
      </c>
      <c r="AD377" s="6">
        <v>0.02</v>
      </c>
      <c r="AE377" s="6">
        <f>MIN(Table1[[#This Row],[DiscountPct]], WhatIf!$B$2)</f>
        <v>0.02</v>
      </c>
      <c r="AF377" s="6">
        <f>IF(Table1[[#This Row],[DiscountPct]]&gt;0.2, 1, 0)</f>
        <v>0</v>
      </c>
      <c r="AG377" s="6" t="str">
        <f t="shared" si="76"/>
        <v>High</v>
      </c>
      <c r="AH377" s="6">
        <f t="shared" si="77"/>
        <v>0.45158084217331185</v>
      </c>
      <c r="AI377" s="5">
        <v>5</v>
      </c>
      <c r="AJ377" s="6">
        <f>Table1[[#This Row],[Quantity]]*(1+WhatIf!$B$4)</f>
        <v>5.5</v>
      </c>
    </row>
    <row r="378" spans="1:36" x14ac:dyDescent="0.3">
      <c r="A378" t="s">
        <v>340</v>
      </c>
      <c r="B378" s="3">
        <v>45303</v>
      </c>
      <c r="C378" s="3">
        <v>45320</v>
      </c>
      <c r="D378" s="3">
        <f t="shared" si="66"/>
        <v>45320</v>
      </c>
      <c r="E378" s="4">
        <f t="shared" si="65"/>
        <v>17</v>
      </c>
      <c r="F378" s="4">
        <f t="shared" si="67"/>
        <v>17</v>
      </c>
      <c r="G378" s="4">
        <f>IF(Table1[[#This Row],[CorrectedLeadTimeDays]]&lt;=7, 1, 0)</f>
        <v>0</v>
      </c>
      <c r="H378" s="4" t="str">
        <f t="shared" si="68"/>
        <v>January</v>
      </c>
      <c r="I378" s="4" t="str">
        <f t="shared" si="69"/>
        <v>Q1-2024</v>
      </c>
      <c r="J378" s="4" t="str">
        <f t="shared" si="70"/>
        <v>2023-01</v>
      </c>
      <c r="K378" s="3">
        <f t="shared" si="71"/>
        <v>44955</v>
      </c>
      <c r="L378" t="s">
        <v>647</v>
      </c>
      <c r="M378" t="s">
        <v>654</v>
      </c>
      <c r="N378" t="s">
        <v>696</v>
      </c>
      <c r="O378" t="s">
        <v>705</v>
      </c>
      <c r="P378" t="s">
        <v>711</v>
      </c>
      <c r="Q378" t="s">
        <v>717</v>
      </c>
      <c r="R378">
        <f t="shared" si="72"/>
        <v>11</v>
      </c>
      <c r="S378" t="s">
        <v>727</v>
      </c>
      <c r="T378" t="s">
        <v>1060</v>
      </c>
      <c r="U378" s="4">
        <v>310.02</v>
      </c>
      <c r="V378" s="4">
        <f>Table1[[#This Row],[UnitCost]]*(1+WhatIf!$B$3)</f>
        <v>325.52100000000002</v>
      </c>
      <c r="W378" s="4">
        <f t="shared" si="73"/>
        <v>1240.08</v>
      </c>
      <c r="X378" s="4">
        <f>Table1[[#This Row],[ScenarioRev]]-Table1[[#This Row],[ScenarioUnitCost]]</f>
        <v>2285.837552</v>
      </c>
      <c r="Y378" s="4">
        <v>619.51</v>
      </c>
      <c r="Z378" s="4">
        <f t="shared" si="74"/>
        <v>2373.9623200000001</v>
      </c>
      <c r="AA378" s="4">
        <f>Table1[[#This Row],[ScenarioQuanity]]*Table1[[#This Row],[UnitPrice]]*(1-Table1[[#This Row],[ScenarioDiscPct]])</f>
        <v>2611.3585520000001</v>
      </c>
      <c r="AB378" s="4">
        <f t="shared" si="75"/>
        <v>1133.8823200000002</v>
      </c>
      <c r="AC378" s="4">
        <f>Table1[[#This Row],[ScenarioRev]] - Table1[[#This Row],[ScenarioCostOfGoods]]</f>
        <v>325.52100000000019</v>
      </c>
      <c r="AD378" s="6">
        <v>4.2000000000000003E-2</v>
      </c>
      <c r="AE378" s="6">
        <f>MIN(Table1[[#This Row],[DiscountPct]], WhatIf!$B$2)</f>
        <v>4.2000000000000003E-2</v>
      </c>
      <c r="AF378" s="6">
        <f>IF(Table1[[#This Row],[DiscountPct]]&gt;0.2, 1, 0)</f>
        <v>0</v>
      </c>
      <c r="AG378" s="6" t="str">
        <f t="shared" si="76"/>
        <v>Low</v>
      </c>
      <c r="AH378" s="6">
        <f t="shared" si="77"/>
        <v>0.47763282106347843</v>
      </c>
      <c r="AI378" s="5">
        <v>4</v>
      </c>
      <c r="AJ378" s="6">
        <f>Table1[[#This Row],[Quantity]]*(1+WhatIf!$B$4)</f>
        <v>4.4000000000000004</v>
      </c>
    </row>
    <row r="379" spans="1:36" x14ac:dyDescent="0.3">
      <c r="A379" t="s">
        <v>533</v>
      </c>
      <c r="B379" s="3">
        <v>45047</v>
      </c>
      <c r="C379" s="3">
        <v>45064</v>
      </c>
      <c r="D379" s="3">
        <f t="shared" si="66"/>
        <v>45064</v>
      </c>
      <c r="E379" s="4">
        <f t="shared" si="65"/>
        <v>17</v>
      </c>
      <c r="F379" s="4">
        <f t="shared" si="67"/>
        <v>17</v>
      </c>
      <c r="G379" s="4">
        <f>IF(Table1[[#This Row],[CorrectedLeadTimeDays]]&lt;=7, 1, 0)</f>
        <v>0</v>
      </c>
      <c r="H379" s="4" t="str">
        <f t="shared" si="68"/>
        <v>May</v>
      </c>
      <c r="I379" s="4" t="str">
        <f t="shared" si="69"/>
        <v>Q2-2023</v>
      </c>
      <c r="J379" s="4" t="str">
        <f t="shared" si="70"/>
        <v>2023-01</v>
      </c>
      <c r="K379" s="3">
        <f t="shared" si="71"/>
        <v>44941</v>
      </c>
      <c r="L379" t="s">
        <v>646</v>
      </c>
      <c r="M379" t="s">
        <v>651</v>
      </c>
      <c r="N379" t="s">
        <v>663</v>
      </c>
      <c r="O379" t="s">
        <v>701</v>
      </c>
      <c r="P379" t="s">
        <v>711</v>
      </c>
      <c r="Q379" t="s">
        <v>721</v>
      </c>
      <c r="R379">
        <f t="shared" si="72"/>
        <v>3</v>
      </c>
      <c r="S379" t="s">
        <v>727</v>
      </c>
      <c r="T379" t="s">
        <v>1252</v>
      </c>
      <c r="U379" s="4">
        <v>327.97</v>
      </c>
      <c r="V379" s="4">
        <f>Table1[[#This Row],[UnitCost]]*(1+WhatIf!$B$3)</f>
        <v>344.36850000000004</v>
      </c>
      <c r="W379" s="4">
        <f t="shared" si="73"/>
        <v>983.91000000000008</v>
      </c>
      <c r="X379" s="4">
        <f>Table1[[#This Row],[ScenarioRev]]-Table1[[#This Row],[ScenarioUnitCost]]</f>
        <v>596.93320199999994</v>
      </c>
      <c r="Y379" s="4">
        <v>299.94</v>
      </c>
      <c r="Z379" s="4">
        <f t="shared" si="74"/>
        <v>855.72881999999993</v>
      </c>
      <c r="AA379" s="4">
        <f>Table1[[#This Row],[ScenarioQuanity]]*Table1[[#This Row],[UnitPrice]]*(1-Table1[[#This Row],[ScenarioDiscPct]])</f>
        <v>941.30170199999998</v>
      </c>
      <c r="AB379" s="4">
        <f t="shared" si="75"/>
        <v>-128.18118000000015</v>
      </c>
      <c r="AC379" s="4">
        <f>Table1[[#This Row],[ScenarioRev]] - Table1[[#This Row],[ScenarioCostOfGoods]]</f>
        <v>344.36850000000004</v>
      </c>
      <c r="AD379" s="6">
        <v>4.9000000000000002E-2</v>
      </c>
      <c r="AE379" s="6">
        <f>MIN(Table1[[#This Row],[DiscountPct]], WhatIf!$B$2)</f>
        <v>4.9000000000000002E-2</v>
      </c>
      <c r="AF379" s="6">
        <f>IF(Table1[[#This Row],[DiscountPct]]&gt;0.2, 1, 0)</f>
        <v>0</v>
      </c>
      <c r="AG379" s="6" t="str">
        <f t="shared" si="76"/>
        <v>Low</v>
      </c>
      <c r="AH379" s="6">
        <f t="shared" si="77"/>
        <v>-0.14979182306843442</v>
      </c>
      <c r="AI379" s="5">
        <v>3</v>
      </c>
      <c r="AJ379" s="6">
        <f>Table1[[#This Row],[Quantity]]*(1+WhatIf!$B$4)</f>
        <v>3.3000000000000003</v>
      </c>
    </row>
    <row r="380" spans="1:36" x14ac:dyDescent="0.3">
      <c r="A380" t="s">
        <v>616</v>
      </c>
      <c r="B380" s="3">
        <v>45880</v>
      </c>
      <c r="C380" s="3">
        <v>45897</v>
      </c>
      <c r="D380" s="3">
        <f t="shared" si="66"/>
        <v>45897</v>
      </c>
      <c r="E380" s="4">
        <f t="shared" si="65"/>
        <v>17</v>
      </c>
      <c r="F380" s="4">
        <f t="shared" si="67"/>
        <v>17</v>
      </c>
      <c r="G380" s="4">
        <f>IF(Table1[[#This Row],[CorrectedLeadTimeDays]]&lt;=7, 1, 0)</f>
        <v>0</v>
      </c>
      <c r="H380" s="4" t="str">
        <f t="shared" si="68"/>
        <v>August</v>
      </c>
      <c r="I380" s="4" t="str">
        <f t="shared" si="69"/>
        <v>Q3-2025</v>
      </c>
      <c r="J380" s="4" t="str">
        <f t="shared" si="70"/>
        <v>2023-01</v>
      </c>
      <c r="K380" s="3">
        <f t="shared" si="71"/>
        <v>44936</v>
      </c>
      <c r="L380" t="s">
        <v>649</v>
      </c>
      <c r="M380" t="s">
        <v>657</v>
      </c>
      <c r="N380" t="s">
        <v>690</v>
      </c>
      <c r="O380" t="s">
        <v>702</v>
      </c>
      <c r="P380" t="s">
        <v>708</v>
      </c>
      <c r="Q380" t="s">
        <v>721</v>
      </c>
      <c r="R380">
        <f t="shared" si="72"/>
        <v>31</v>
      </c>
      <c r="S380" t="s">
        <v>729</v>
      </c>
      <c r="T380" t="s">
        <v>1334</v>
      </c>
      <c r="U380" s="4">
        <v>416.16</v>
      </c>
      <c r="V380" s="4">
        <f>Table1[[#This Row],[UnitCost]]*(1+WhatIf!$B$3)</f>
        <v>436.96800000000002</v>
      </c>
      <c r="W380" s="4">
        <f t="shared" si="73"/>
        <v>832.32</v>
      </c>
      <c r="X380" s="4">
        <f>Table1[[#This Row],[ScenarioRev]]-Table1[[#This Row],[ScenarioUnitCost]]</f>
        <v>731.88121999999998</v>
      </c>
      <c r="Y380" s="4">
        <v>571.9</v>
      </c>
      <c r="Z380" s="4">
        <f t="shared" si="74"/>
        <v>1062.5902000000001</v>
      </c>
      <c r="AA380" s="4">
        <f>Table1[[#This Row],[ScenarioQuanity]]*Table1[[#This Row],[UnitPrice]]*(1-Table1[[#This Row],[ScenarioDiscPct]])</f>
        <v>1168.8492200000001</v>
      </c>
      <c r="AB380" s="4">
        <f t="shared" si="75"/>
        <v>230.27020000000005</v>
      </c>
      <c r="AC380" s="4">
        <f>Table1[[#This Row],[ScenarioRev]] - Table1[[#This Row],[ScenarioCostOfGoods]]</f>
        <v>436.96800000000007</v>
      </c>
      <c r="AD380" s="6">
        <v>7.0999999999999994E-2</v>
      </c>
      <c r="AE380" s="6">
        <f>MIN(Table1[[#This Row],[DiscountPct]], WhatIf!$B$2)</f>
        <v>7.0999999999999994E-2</v>
      </c>
      <c r="AF380" s="6">
        <f>IF(Table1[[#This Row],[DiscountPct]]&gt;0.2, 1, 0)</f>
        <v>0</v>
      </c>
      <c r="AG380" s="6" t="str">
        <f t="shared" si="76"/>
        <v>Low</v>
      </c>
      <c r="AH380" s="6">
        <f t="shared" si="77"/>
        <v>0.21670649701079497</v>
      </c>
      <c r="AI380" s="5">
        <v>2</v>
      </c>
      <c r="AJ380" s="6">
        <f>Table1[[#This Row],[Quantity]]*(1+WhatIf!$B$4)</f>
        <v>2.2000000000000002</v>
      </c>
    </row>
    <row r="381" spans="1:36" x14ac:dyDescent="0.3">
      <c r="A381" t="s">
        <v>397</v>
      </c>
      <c r="B381" s="3">
        <v>45097</v>
      </c>
      <c r="C381" s="3">
        <v>45115</v>
      </c>
      <c r="D381" s="3">
        <f t="shared" si="66"/>
        <v>45115</v>
      </c>
      <c r="E381" s="4">
        <f t="shared" si="65"/>
        <v>18</v>
      </c>
      <c r="F381" s="4">
        <f t="shared" si="67"/>
        <v>18</v>
      </c>
      <c r="G381" s="4">
        <f>IF(Table1[[#This Row],[CorrectedLeadTimeDays]]&lt;=7, 1, 0)</f>
        <v>0</v>
      </c>
      <c r="H381" s="4" t="str">
        <f t="shared" si="68"/>
        <v>June</v>
      </c>
      <c r="I381" s="4" t="str">
        <f t="shared" si="69"/>
        <v>Q2-2023</v>
      </c>
      <c r="J381" s="4" t="str">
        <f t="shared" si="70"/>
        <v>2023-01</v>
      </c>
      <c r="K381" s="3">
        <f t="shared" si="71"/>
        <v>44939</v>
      </c>
      <c r="L381" t="s">
        <v>648</v>
      </c>
      <c r="M381" t="s">
        <v>660</v>
      </c>
      <c r="N381" t="s">
        <v>700</v>
      </c>
      <c r="O381" t="s">
        <v>704</v>
      </c>
      <c r="P381" t="s">
        <v>709</v>
      </c>
      <c r="Q381" t="s">
        <v>719</v>
      </c>
      <c r="R381">
        <f t="shared" si="72"/>
        <v>5</v>
      </c>
      <c r="S381" t="s">
        <v>729</v>
      </c>
      <c r="T381" t="s">
        <v>1116</v>
      </c>
      <c r="U381" s="4">
        <v>1145.53</v>
      </c>
      <c r="V381" s="4">
        <f>Table1[[#This Row],[UnitCost]]*(1+WhatIf!$B$3)</f>
        <v>1202.8064999999999</v>
      </c>
      <c r="W381" s="4">
        <f t="shared" si="73"/>
        <v>46966.729999999996</v>
      </c>
      <c r="X381" s="4">
        <f>Table1[[#This Row],[ScenarioRev]]-Table1[[#This Row],[ScenarioUnitCost]]</f>
        <v>51259.903800000007</v>
      </c>
      <c r="Y381" s="4">
        <v>1278.3</v>
      </c>
      <c r="Z381" s="4">
        <f t="shared" si="74"/>
        <v>47693.373</v>
      </c>
      <c r="AA381" s="4">
        <f>Table1[[#This Row],[ScenarioQuanity]]*Table1[[#This Row],[UnitPrice]]*(1-Table1[[#This Row],[ScenarioDiscPct]])</f>
        <v>52462.710300000006</v>
      </c>
      <c r="AB381" s="4">
        <f t="shared" si="75"/>
        <v>726.64300000000367</v>
      </c>
      <c r="AC381" s="4">
        <f>Table1[[#This Row],[ScenarioRev]] - Table1[[#This Row],[ScenarioCostOfGoods]]</f>
        <v>1202.8064999999988</v>
      </c>
      <c r="AD381" s="6">
        <v>0.09</v>
      </c>
      <c r="AE381" s="6">
        <f>MIN(Table1[[#This Row],[DiscountPct]], WhatIf!$B$2)</f>
        <v>0.09</v>
      </c>
      <c r="AF381" s="6">
        <f>IF(Table1[[#This Row],[DiscountPct]]&gt;0.2, 1, 0)</f>
        <v>0</v>
      </c>
      <c r="AG381" s="6" t="str">
        <f t="shared" si="76"/>
        <v>High</v>
      </c>
      <c r="AH381" s="6">
        <f t="shared" si="77"/>
        <v>1.5235722581416158E-2</v>
      </c>
      <c r="AI381" s="5">
        <v>41</v>
      </c>
      <c r="AJ381" s="6">
        <f>Table1[[#This Row],[Quantity]]*(1+WhatIf!$B$4)</f>
        <v>45.1</v>
      </c>
    </row>
    <row r="382" spans="1:36" x14ac:dyDescent="0.3">
      <c r="A382" t="s">
        <v>542</v>
      </c>
      <c r="B382" s="3">
        <v>45448</v>
      </c>
      <c r="C382" s="3">
        <v>45466</v>
      </c>
      <c r="D382" s="3">
        <f t="shared" si="66"/>
        <v>45466</v>
      </c>
      <c r="E382" s="4">
        <f t="shared" si="65"/>
        <v>18</v>
      </c>
      <c r="F382" s="4">
        <f t="shared" si="67"/>
        <v>18</v>
      </c>
      <c r="G382" s="4">
        <f>IF(Table1[[#This Row],[CorrectedLeadTimeDays]]&lt;=7, 1, 0)</f>
        <v>0</v>
      </c>
      <c r="H382" s="4" t="str">
        <f t="shared" si="68"/>
        <v>June</v>
      </c>
      <c r="I382" s="4" t="str">
        <f t="shared" si="69"/>
        <v>Q2-2024</v>
      </c>
      <c r="J382" s="4" t="str">
        <f t="shared" si="70"/>
        <v>2023-01</v>
      </c>
      <c r="K382" s="3">
        <f t="shared" si="71"/>
        <v>44946</v>
      </c>
      <c r="L382" t="s">
        <v>646</v>
      </c>
      <c r="M382" t="s">
        <v>650</v>
      </c>
      <c r="N382" t="s">
        <v>664</v>
      </c>
      <c r="O382" t="s">
        <v>704</v>
      </c>
      <c r="P382" t="s">
        <v>710</v>
      </c>
      <c r="Q382" t="s">
        <v>726</v>
      </c>
      <c r="R382">
        <f t="shared" si="72"/>
        <v>16</v>
      </c>
      <c r="S382" t="s">
        <v>731</v>
      </c>
      <c r="T382" t="s">
        <v>1261</v>
      </c>
      <c r="U382" s="4">
        <v>1208.74</v>
      </c>
      <c r="V382" s="4">
        <f>Table1[[#This Row],[UnitCost]]*(1+WhatIf!$B$3)</f>
        <v>1269.1770000000001</v>
      </c>
      <c r="W382" s="4">
        <f t="shared" si="73"/>
        <v>47140.86</v>
      </c>
      <c r="X382" s="4">
        <f>Table1[[#This Row],[ScenarioRev]]-Table1[[#This Row],[ScenarioUnitCost]]</f>
        <v>63110.337342000006</v>
      </c>
      <c r="Y382" s="4">
        <v>1594.78</v>
      </c>
      <c r="Z382" s="4">
        <f t="shared" si="74"/>
        <v>58526.83122</v>
      </c>
      <c r="AA382" s="4">
        <f>Table1[[#This Row],[ScenarioQuanity]]*Table1[[#This Row],[UnitPrice]]*(1-Table1[[#This Row],[ScenarioDiscPct]])</f>
        <v>64379.514342000009</v>
      </c>
      <c r="AB382" s="4">
        <f t="shared" si="75"/>
        <v>11385.971219999999</v>
      </c>
      <c r="AC382" s="4">
        <f>Table1[[#This Row],[ScenarioRev]] - Table1[[#This Row],[ScenarioCostOfGoods]]</f>
        <v>1269.1770000000033</v>
      </c>
      <c r="AD382" s="6">
        <v>5.8999999999999997E-2</v>
      </c>
      <c r="AE382" s="6">
        <f>MIN(Table1[[#This Row],[DiscountPct]], WhatIf!$B$2)</f>
        <v>5.8999999999999997E-2</v>
      </c>
      <c r="AF382" s="6">
        <f>IF(Table1[[#This Row],[DiscountPct]]&gt;0.2, 1, 0)</f>
        <v>0</v>
      </c>
      <c r="AG382" s="6" t="str">
        <f t="shared" si="76"/>
        <v>High</v>
      </c>
      <c r="AH382" s="6">
        <f t="shared" si="77"/>
        <v>0.1945427589817838</v>
      </c>
      <c r="AI382" s="5">
        <v>39</v>
      </c>
      <c r="AJ382" s="6">
        <f>Table1[[#This Row],[Quantity]]*(1+WhatIf!$B$4)</f>
        <v>42.900000000000006</v>
      </c>
    </row>
    <row r="383" spans="1:36" x14ac:dyDescent="0.3">
      <c r="A383" t="s">
        <v>371</v>
      </c>
      <c r="B383" s="3">
        <v>45385</v>
      </c>
      <c r="C383" s="3">
        <v>45403</v>
      </c>
      <c r="D383" s="3">
        <f t="shared" si="66"/>
        <v>45403</v>
      </c>
      <c r="E383" s="4">
        <f t="shared" si="65"/>
        <v>18</v>
      </c>
      <c r="F383" s="4">
        <f t="shared" si="67"/>
        <v>18</v>
      </c>
      <c r="G383" s="4">
        <f>IF(Table1[[#This Row],[CorrectedLeadTimeDays]]&lt;=7, 1, 0)</f>
        <v>0</v>
      </c>
      <c r="H383" s="4" t="str">
        <f t="shared" si="68"/>
        <v>April</v>
      </c>
      <c r="I383" s="4" t="str">
        <f t="shared" si="69"/>
        <v>Q2-2024</v>
      </c>
      <c r="J383" s="4" t="str">
        <f t="shared" si="70"/>
        <v>2023-01</v>
      </c>
      <c r="K383" s="3">
        <f t="shared" si="71"/>
        <v>44955</v>
      </c>
      <c r="L383" t="s">
        <v>648</v>
      </c>
      <c r="M383" t="s">
        <v>655</v>
      </c>
      <c r="N383" t="s">
        <v>672</v>
      </c>
      <c r="O383" t="s">
        <v>705</v>
      </c>
      <c r="P383" t="s">
        <v>710</v>
      </c>
      <c r="Q383" t="s">
        <v>717</v>
      </c>
      <c r="R383">
        <f t="shared" si="72"/>
        <v>14</v>
      </c>
      <c r="S383" t="s">
        <v>729</v>
      </c>
      <c r="T383" t="s">
        <v>1091</v>
      </c>
      <c r="U383" s="4">
        <v>1176.69</v>
      </c>
      <c r="V383" s="4">
        <f>Table1[[#This Row],[UnitCost]]*(1+WhatIf!$B$3)</f>
        <v>1235.5245000000002</v>
      </c>
      <c r="W383" s="4">
        <f t="shared" si="73"/>
        <v>31770.63</v>
      </c>
      <c r="X383" s="4">
        <f>Table1[[#This Row],[ScenarioRev]]-Table1[[#This Row],[ScenarioUnitCost]]</f>
        <v>53034.638040000005</v>
      </c>
      <c r="Y383" s="4">
        <v>2201.54</v>
      </c>
      <c r="Z383" s="4">
        <f t="shared" si="74"/>
        <v>49336.511399999996</v>
      </c>
      <c r="AA383" s="4">
        <f>Table1[[#This Row],[ScenarioQuanity]]*Table1[[#This Row],[UnitPrice]]*(1-Table1[[#This Row],[ScenarioDiscPct]])</f>
        <v>54270.162540000005</v>
      </c>
      <c r="AB383" s="4">
        <f t="shared" si="75"/>
        <v>17565.881399999995</v>
      </c>
      <c r="AC383" s="4">
        <f>Table1[[#This Row],[ScenarioRev]] - Table1[[#This Row],[ScenarioCostOfGoods]]</f>
        <v>1235.5244999999995</v>
      </c>
      <c r="AD383" s="6">
        <v>0.17</v>
      </c>
      <c r="AE383" s="6">
        <f>MIN(Table1[[#This Row],[DiscountPct]], WhatIf!$B$2)</f>
        <v>0.17</v>
      </c>
      <c r="AF383" s="6">
        <f>IF(Table1[[#This Row],[DiscountPct]]&gt;0.2, 1, 0)</f>
        <v>0</v>
      </c>
      <c r="AG383" s="6" t="str">
        <f t="shared" si="76"/>
        <v>High</v>
      </c>
      <c r="AH383" s="6">
        <f t="shared" si="77"/>
        <v>0.35604222717701106</v>
      </c>
      <c r="AI383" s="5">
        <v>27</v>
      </c>
      <c r="AJ383" s="6">
        <f>Table1[[#This Row],[Quantity]]*(1+WhatIf!$B$4)</f>
        <v>29.700000000000003</v>
      </c>
    </row>
    <row r="384" spans="1:36" x14ac:dyDescent="0.3">
      <c r="A384" t="s">
        <v>51</v>
      </c>
      <c r="B384" s="3">
        <v>45358</v>
      </c>
      <c r="C384" s="3">
        <v>45376</v>
      </c>
      <c r="D384" s="3">
        <f t="shared" si="66"/>
        <v>45376</v>
      </c>
      <c r="E384" s="4">
        <f t="shared" si="65"/>
        <v>18</v>
      </c>
      <c r="F384" s="4">
        <f t="shared" si="67"/>
        <v>18</v>
      </c>
      <c r="G384" s="4">
        <f>IF(Table1[[#This Row],[CorrectedLeadTimeDays]]&lt;=7, 1, 0)</f>
        <v>0</v>
      </c>
      <c r="H384" s="4" t="str">
        <f t="shared" si="68"/>
        <v>March</v>
      </c>
      <c r="I384" s="4" t="str">
        <f t="shared" si="69"/>
        <v>Q1-2024</v>
      </c>
      <c r="J384" s="4" t="str">
        <f t="shared" si="70"/>
        <v>2023-01</v>
      </c>
      <c r="K384" s="3">
        <f t="shared" si="71"/>
        <v>44948</v>
      </c>
      <c r="L384" t="s">
        <v>649</v>
      </c>
      <c r="M384" t="s">
        <v>656</v>
      </c>
      <c r="N384" t="s">
        <v>684</v>
      </c>
      <c r="O384" t="s">
        <v>701</v>
      </c>
      <c r="P384" t="s">
        <v>708</v>
      </c>
      <c r="Q384" t="s">
        <v>717</v>
      </c>
      <c r="R384">
        <f t="shared" si="72"/>
        <v>13</v>
      </c>
      <c r="S384" t="s">
        <v>727</v>
      </c>
      <c r="T384" t="s">
        <v>770</v>
      </c>
      <c r="U384" s="4">
        <v>712.84</v>
      </c>
      <c r="V384" s="4">
        <f>Table1[[#This Row],[UnitCost]]*(1+WhatIf!$B$3)</f>
        <v>748.48200000000008</v>
      </c>
      <c r="W384" s="4">
        <f t="shared" si="73"/>
        <v>19246.68</v>
      </c>
      <c r="X384" s="4">
        <f>Table1[[#This Row],[ScenarioRev]]-Table1[[#This Row],[ScenarioUnitCost]]</f>
        <v>21289.155600000002</v>
      </c>
      <c r="Y384" s="4">
        <v>927.51</v>
      </c>
      <c r="Z384" s="4">
        <f t="shared" si="74"/>
        <v>18957.37689</v>
      </c>
      <c r="AA384" s="4">
        <f>Table1[[#This Row],[ScenarioQuanity]]*Table1[[#This Row],[UnitPrice]]*(1-Table1[[#This Row],[ScenarioDiscPct]])</f>
        <v>22037.637600000002</v>
      </c>
      <c r="AB384" s="4">
        <f t="shared" si="75"/>
        <v>-289.30311000000074</v>
      </c>
      <c r="AC384" s="4">
        <f>Table1[[#This Row],[ScenarioRev]] - Table1[[#This Row],[ScenarioCostOfGoods]]</f>
        <v>748.48199999999997</v>
      </c>
      <c r="AD384" s="6">
        <v>0.24299999999999999</v>
      </c>
      <c r="AE384" s="6">
        <f>MIN(Table1[[#This Row],[DiscountPct]], WhatIf!$B$2)</f>
        <v>0.2</v>
      </c>
      <c r="AF384" s="6">
        <f>IF(Table1[[#This Row],[DiscountPct]]&gt;0.2, 1, 0)</f>
        <v>1</v>
      </c>
      <c r="AG384" s="6" t="str">
        <f t="shared" si="76"/>
        <v>High</v>
      </c>
      <c r="AH384" s="6">
        <f t="shared" si="77"/>
        <v>-1.5260714163076427E-2</v>
      </c>
      <c r="AI384" s="5">
        <v>27</v>
      </c>
      <c r="AJ384" s="6">
        <f>Table1[[#This Row],[Quantity]]*(1+WhatIf!$B$4)</f>
        <v>29.700000000000003</v>
      </c>
    </row>
    <row r="385" spans="1:36" x14ac:dyDescent="0.3">
      <c r="A385" t="s">
        <v>285</v>
      </c>
      <c r="B385" s="3">
        <v>45707</v>
      </c>
      <c r="C385" s="3">
        <v>45725</v>
      </c>
      <c r="D385" s="3">
        <f t="shared" si="66"/>
        <v>45725</v>
      </c>
      <c r="E385" s="4">
        <f t="shared" si="65"/>
        <v>18</v>
      </c>
      <c r="F385" s="4">
        <f t="shared" si="67"/>
        <v>18</v>
      </c>
      <c r="G385" s="4">
        <f>IF(Table1[[#This Row],[CorrectedLeadTimeDays]]&lt;=7, 1, 0)</f>
        <v>0</v>
      </c>
      <c r="H385" s="4" t="str">
        <f t="shared" si="68"/>
        <v>February</v>
      </c>
      <c r="I385" s="4" t="str">
        <f t="shared" si="69"/>
        <v>Q1-2025</v>
      </c>
      <c r="J385" s="4" t="str">
        <f t="shared" si="70"/>
        <v>2023-01</v>
      </c>
      <c r="K385" s="3">
        <f t="shared" si="71"/>
        <v>44955</v>
      </c>
      <c r="L385" t="s">
        <v>647</v>
      </c>
      <c r="M385" t="s">
        <v>654</v>
      </c>
      <c r="N385" t="s">
        <v>680</v>
      </c>
      <c r="O385" t="s">
        <v>705</v>
      </c>
      <c r="P385" t="s">
        <v>711</v>
      </c>
      <c r="Q385" t="s">
        <v>719</v>
      </c>
      <c r="R385">
        <f t="shared" si="72"/>
        <v>24</v>
      </c>
      <c r="S385" t="s">
        <v>732</v>
      </c>
      <c r="T385" t="s">
        <v>1005</v>
      </c>
      <c r="U385" s="4">
        <v>325.87</v>
      </c>
      <c r="V385" s="4">
        <f>Table1[[#This Row],[UnitCost]]*(1+WhatIf!$B$3)</f>
        <v>342.1635</v>
      </c>
      <c r="W385" s="4">
        <f t="shared" si="73"/>
        <v>5213.92</v>
      </c>
      <c r="X385" s="4">
        <f>Table1[[#This Row],[ScenarioRev]]-Table1[[#This Row],[ScenarioUnitCost]]</f>
        <v>7490.5500040000006</v>
      </c>
      <c r="Y385" s="4">
        <v>538.79</v>
      </c>
      <c r="Z385" s="4">
        <f t="shared" si="74"/>
        <v>7120.6486400000003</v>
      </c>
      <c r="AA385" s="4">
        <f>Table1[[#This Row],[ScenarioQuanity]]*Table1[[#This Row],[UnitPrice]]*(1-Table1[[#This Row],[ScenarioDiscPct]])</f>
        <v>7832.7135040000003</v>
      </c>
      <c r="AB385" s="4">
        <f t="shared" si="75"/>
        <v>1906.7286400000003</v>
      </c>
      <c r="AC385" s="4">
        <f>Table1[[#This Row],[ScenarioRev]] - Table1[[#This Row],[ScenarioCostOfGoods]]</f>
        <v>342.16349999999966</v>
      </c>
      <c r="AD385" s="6">
        <v>0.17399999999999999</v>
      </c>
      <c r="AE385" s="6">
        <f>MIN(Table1[[#This Row],[DiscountPct]], WhatIf!$B$2)</f>
        <v>0.17399999999999999</v>
      </c>
      <c r="AF385" s="6">
        <f>IF(Table1[[#This Row],[DiscountPct]]&gt;0.2, 1, 0)</f>
        <v>0</v>
      </c>
      <c r="AG385" s="6" t="str">
        <f t="shared" si="76"/>
        <v>Low</v>
      </c>
      <c r="AH385" s="6">
        <f t="shared" si="77"/>
        <v>0.26777457172778013</v>
      </c>
      <c r="AI385" s="5">
        <v>16</v>
      </c>
      <c r="AJ385" s="6">
        <f>Table1[[#This Row],[Quantity]]*(1+WhatIf!$B$4)</f>
        <v>17.600000000000001</v>
      </c>
    </row>
    <row r="386" spans="1:36" x14ac:dyDescent="0.3">
      <c r="A386" t="s">
        <v>244</v>
      </c>
      <c r="B386" s="3">
        <v>45069</v>
      </c>
      <c r="C386" s="3">
        <v>45087</v>
      </c>
      <c r="D386" s="3">
        <f t="shared" si="66"/>
        <v>45087</v>
      </c>
      <c r="E386" s="4">
        <f t="shared" ref="E386:E449" si="78">C386-B386</f>
        <v>18</v>
      </c>
      <c r="F386" s="4">
        <f t="shared" si="67"/>
        <v>18</v>
      </c>
      <c r="G386" s="4">
        <f>IF(Table1[[#This Row],[CorrectedLeadTimeDays]]&lt;=7, 1, 0)</f>
        <v>0</v>
      </c>
      <c r="H386" s="4" t="str">
        <f t="shared" si="68"/>
        <v>May</v>
      </c>
      <c r="I386" s="4" t="str">
        <f t="shared" si="69"/>
        <v>Q2-2023</v>
      </c>
      <c r="J386" s="4" t="str">
        <f t="shared" si="70"/>
        <v>2023-01</v>
      </c>
      <c r="K386" s="3">
        <f t="shared" si="71"/>
        <v>44938</v>
      </c>
      <c r="L386" t="s">
        <v>647</v>
      </c>
      <c r="M386" t="s">
        <v>659</v>
      </c>
      <c r="N386" t="s">
        <v>685</v>
      </c>
      <c r="O386" t="s">
        <v>701</v>
      </c>
      <c r="P386" t="s">
        <v>710</v>
      </c>
      <c r="Q386" t="s">
        <v>718</v>
      </c>
      <c r="R386">
        <f t="shared" si="72"/>
        <v>4</v>
      </c>
      <c r="S386" t="s">
        <v>727</v>
      </c>
      <c r="T386" t="s">
        <v>964</v>
      </c>
      <c r="U386" s="4">
        <v>54.62</v>
      </c>
      <c r="V386" s="4">
        <f>Table1[[#This Row],[UnitCost]]*(1+WhatIf!$B$3)</f>
        <v>57.350999999999999</v>
      </c>
      <c r="W386" s="4">
        <f t="shared" si="73"/>
        <v>873.92</v>
      </c>
      <c r="X386" s="4">
        <f>Table1[[#This Row],[ScenarioRev]]-Table1[[#This Row],[ScenarioUnitCost]]</f>
        <v>676.51408800000002</v>
      </c>
      <c r="Y386" s="4">
        <v>48.94</v>
      </c>
      <c r="Z386" s="4">
        <f t="shared" si="74"/>
        <v>667.15008</v>
      </c>
      <c r="AA386" s="4">
        <f>Table1[[#This Row],[ScenarioQuanity]]*Table1[[#This Row],[UnitPrice]]*(1-Table1[[#This Row],[ScenarioDiscPct]])</f>
        <v>733.86508800000001</v>
      </c>
      <c r="AB386" s="4">
        <f t="shared" si="75"/>
        <v>-206.76991999999996</v>
      </c>
      <c r="AC386" s="4">
        <f>Table1[[#This Row],[ScenarioRev]] - Table1[[#This Row],[ScenarioCostOfGoods]]</f>
        <v>57.350999999999999</v>
      </c>
      <c r="AD386" s="6">
        <v>0.14799999999999999</v>
      </c>
      <c r="AE386" s="6">
        <f>MIN(Table1[[#This Row],[DiscountPct]], WhatIf!$B$2)</f>
        <v>0.14799999999999999</v>
      </c>
      <c r="AF386" s="6">
        <f>IF(Table1[[#This Row],[DiscountPct]]&gt;0.2, 1, 0)</f>
        <v>0</v>
      </c>
      <c r="AG386" s="6" t="str">
        <f t="shared" si="76"/>
        <v>Low</v>
      </c>
      <c r="AH386" s="6">
        <f t="shared" si="77"/>
        <v>-0.3099301434543783</v>
      </c>
      <c r="AI386" s="5">
        <v>16</v>
      </c>
      <c r="AJ386" s="6">
        <f>Table1[[#This Row],[Quantity]]*(1+WhatIf!$B$4)</f>
        <v>17.600000000000001</v>
      </c>
    </row>
    <row r="387" spans="1:36" x14ac:dyDescent="0.3">
      <c r="A387" t="s">
        <v>238</v>
      </c>
      <c r="B387" s="3">
        <v>45035</v>
      </c>
      <c r="C387" s="3">
        <v>45053</v>
      </c>
      <c r="D387" s="3">
        <f t="shared" ref="D387:D450" si="79">IF(C387&lt;B387, B387+14, C387)</f>
        <v>45053</v>
      </c>
      <c r="E387" s="4">
        <f t="shared" si="78"/>
        <v>18</v>
      </c>
      <c r="F387" s="4">
        <f t="shared" ref="F387:F450" si="80">D387-B387</f>
        <v>18</v>
      </c>
      <c r="G387" s="4">
        <f>IF(Table1[[#This Row],[CorrectedLeadTimeDays]]&lt;=7, 1, 0)</f>
        <v>0</v>
      </c>
      <c r="H387" s="4" t="str">
        <f t="shared" ref="H387:H450" si="81">TEXT(B387, "mmmm")</f>
        <v>April</v>
      </c>
      <c r="I387" s="4" t="str">
        <f t="shared" ref="I387:I450" si="82">"Q"&amp;ROUNDUP(MONTH(B387)/3,0)&amp;"-"&amp;YEAR(B387)</f>
        <v>Q2-2023</v>
      </c>
      <c r="J387" s="4" t="str">
        <f t="shared" ref="J387:J450" si="83">TEXT(K387, "yyyy-mm")</f>
        <v>2023-01</v>
      </c>
      <c r="K387" s="3">
        <f t="shared" ref="K387:K450" si="84">_xlfn.MINIFS($B:$B,$M:$M,M387)</f>
        <v>44945</v>
      </c>
      <c r="L387" t="s">
        <v>649</v>
      </c>
      <c r="M387" t="s">
        <v>658</v>
      </c>
      <c r="N387" t="s">
        <v>674</v>
      </c>
      <c r="O387" t="s">
        <v>706</v>
      </c>
      <c r="P387" t="s">
        <v>707</v>
      </c>
      <c r="Q387" t="s">
        <v>725</v>
      </c>
      <c r="R387">
        <f t="shared" ref="R387:R450" si="85">DATEDIF(K387,B387,"m")</f>
        <v>3</v>
      </c>
      <c r="S387" t="s">
        <v>731</v>
      </c>
      <c r="T387" t="s">
        <v>958</v>
      </c>
      <c r="U387" s="4">
        <v>1089.1500000000001</v>
      </c>
      <c r="V387" s="4">
        <f>Table1[[#This Row],[UnitCost]]*(1+WhatIf!$B$3)</f>
        <v>1143.6075000000001</v>
      </c>
      <c r="W387" s="4">
        <f t="shared" ref="W387:W450" si="86">U387*AI387</f>
        <v>16337.250000000002</v>
      </c>
      <c r="X387" s="4">
        <f>Table1[[#This Row],[ScenarioRev]]-Table1[[#This Row],[ScenarioUnitCost]]</f>
        <v>15895.972199999998</v>
      </c>
      <c r="Y387" s="4">
        <v>1088.2</v>
      </c>
      <c r="Z387" s="4">
        <f t="shared" ref="Z387:Z450" si="87">Y387*AI387*(1-AD387)</f>
        <v>15490.527</v>
      </c>
      <c r="AA387" s="4">
        <f>Table1[[#This Row],[ScenarioQuanity]]*Table1[[#This Row],[UnitPrice]]*(1-Table1[[#This Row],[ScenarioDiscPct]])</f>
        <v>17039.579699999998</v>
      </c>
      <c r="AB387" s="4">
        <f t="shared" ref="AB387:AB450" si="88">Z387-W387</f>
        <v>-846.72300000000178</v>
      </c>
      <c r="AC387" s="4">
        <f>Table1[[#This Row],[ScenarioRev]] - Table1[[#This Row],[ScenarioCostOfGoods]]</f>
        <v>1143.6075000000001</v>
      </c>
      <c r="AD387" s="6">
        <v>5.0999999999999997E-2</v>
      </c>
      <c r="AE387" s="6">
        <f>MIN(Table1[[#This Row],[DiscountPct]], WhatIf!$B$2)</f>
        <v>5.0999999999999997E-2</v>
      </c>
      <c r="AF387" s="6">
        <f>IF(Table1[[#This Row],[DiscountPct]]&gt;0.2, 1, 0)</f>
        <v>0</v>
      </c>
      <c r="AG387" s="6" t="str">
        <f t="shared" ref="AG387:AG450" si="89">IF(Y387&lt;=_xlfn.PERCENTILE.INC($Y:$Y,0.33),"Low",
 IF(D387&lt;=_xlfn.PERCENTILE.INC($Y:$Y,0.66),"Medium",
 "High"))</f>
        <v>High</v>
      </c>
      <c r="AH387" s="6">
        <f t="shared" ref="AH387:AH450" si="90">IF(Z387=0, 0, AB387/Z387)</f>
        <v>-5.4660696824582002E-2</v>
      </c>
      <c r="AI387" s="5">
        <v>15</v>
      </c>
      <c r="AJ387" s="6">
        <f>Table1[[#This Row],[Quantity]]*(1+WhatIf!$B$4)</f>
        <v>16.5</v>
      </c>
    </row>
    <row r="388" spans="1:36" x14ac:dyDescent="0.3">
      <c r="A388" t="s">
        <v>414</v>
      </c>
      <c r="B388" s="3">
        <v>45759</v>
      </c>
      <c r="C388" s="3">
        <v>45777</v>
      </c>
      <c r="D388" s="3">
        <f t="shared" si="79"/>
        <v>45777</v>
      </c>
      <c r="E388" s="4">
        <f t="shared" si="78"/>
        <v>18</v>
      </c>
      <c r="F388" s="4">
        <f t="shared" si="80"/>
        <v>18</v>
      </c>
      <c r="G388" s="4">
        <f>IF(Table1[[#This Row],[CorrectedLeadTimeDays]]&lt;=7, 1, 0)</f>
        <v>0</v>
      </c>
      <c r="H388" s="4" t="str">
        <f t="shared" si="81"/>
        <v>April</v>
      </c>
      <c r="I388" s="4" t="str">
        <f t="shared" si="82"/>
        <v>Q2-2025</v>
      </c>
      <c r="J388" s="4" t="str">
        <f t="shared" si="83"/>
        <v>2023-01</v>
      </c>
      <c r="K388" s="3">
        <f t="shared" si="84"/>
        <v>44946</v>
      </c>
      <c r="L388" t="s">
        <v>646</v>
      </c>
      <c r="M388" t="s">
        <v>650</v>
      </c>
      <c r="N388" t="s">
        <v>662</v>
      </c>
      <c r="O388" t="s">
        <v>701</v>
      </c>
      <c r="P388" t="s">
        <v>709</v>
      </c>
      <c r="Q388" t="s">
        <v>721</v>
      </c>
      <c r="R388">
        <f t="shared" si="85"/>
        <v>26</v>
      </c>
      <c r="S388" t="s">
        <v>729</v>
      </c>
      <c r="T388" t="s">
        <v>1133</v>
      </c>
      <c r="U388" s="4">
        <v>1119.04</v>
      </c>
      <c r="V388" s="4">
        <f>Table1[[#This Row],[UnitCost]]*(1+WhatIf!$B$3)</f>
        <v>1174.992</v>
      </c>
      <c r="W388" s="4">
        <f t="shared" si="86"/>
        <v>15666.56</v>
      </c>
      <c r="X388" s="4">
        <f>Table1[[#This Row],[ScenarioRev]]-Table1[[#This Row],[ScenarioUnitCost]]</f>
        <v>18329.793300000005</v>
      </c>
      <c r="Y388" s="4">
        <v>1299.02</v>
      </c>
      <c r="Z388" s="4">
        <f t="shared" si="87"/>
        <v>17731.623</v>
      </c>
      <c r="AA388" s="4">
        <f>Table1[[#This Row],[ScenarioQuanity]]*Table1[[#This Row],[UnitPrice]]*(1-Table1[[#This Row],[ScenarioDiscPct]])</f>
        <v>19504.785300000003</v>
      </c>
      <c r="AB388" s="4">
        <f t="shared" si="88"/>
        <v>2065.0630000000001</v>
      </c>
      <c r="AC388" s="4">
        <f>Table1[[#This Row],[ScenarioRev]] - Table1[[#This Row],[ScenarioCostOfGoods]]</f>
        <v>1174.9919999999984</v>
      </c>
      <c r="AD388" s="6">
        <v>2.5000000000000001E-2</v>
      </c>
      <c r="AE388" s="6">
        <f>MIN(Table1[[#This Row],[DiscountPct]], WhatIf!$B$2)</f>
        <v>2.5000000000000001E-2</v>
      </c>
      <c r="AF388" s="6">
        <f>IF(Table1[[#This Row],[DiscountPct]]&gt;0.2, 1, 0)</f>
        <v>0</v>
      </c>
      <c r="AG388" s="6" t="str">
        <f t="shared" si="89"/>
        <v>High</v>
      </c>
      <c r="AH388" s="6">
        <f t="shared" si="90"/>
        <v>0.11646215352085933</v>
      </c>
      <c r="AI388" s="5">
        <v>14</v>
      </c>
      <c r="AJ388" s="6">
        <f>Table1[[#This Row],[Quantity]]*(1+WhatIf!$B$4)</f>
        <v>15.400000000000002</v>
      </c>
    </row>
    <row r="389" spans="1:36" x14ac:dyDescent="0.3">
      <c r="A389" t="s">
        <v>192</v>
      </c>
      <c r="B389" s="3">
        <v>45325</v>
      </c>
      <c r="C389" s="3">
        <v>45343</v>
      </c>
      <c r="D389" s="3">
        <f t="shared" si="79"/>
        <v>45343</v>
      </c>
      <c r="E389" s="4">
        <f t="shared" si="78"/>
        <v>18</v>
      </c>
      <c r="F389" s="4">
        <f t="shared" si="80"/>
        <v>18</v>
      </c>
      <c r="G389" s="4">
        <f>IF(Table1[[#This Row],[CorrectedLeadTimeDays]]&lt;=7, 1, 0)</f>
        <v>0</v>
      </c>
      <c r="H389" s="4" t="str">
        <f t="shared" si="81"/>
        <v>February</v>
      </c>
      <c r="I389" s="4" t="str">
        <f t="shared" si="82"/>
        <v>Q1-2024</v>
      </c>
      <c r="J389" s="4" t="str">
        <f t="shared" si="83"/>
        <v>2023-01</v>
      </c>
      <c r="K389" s="3">
        <f t="shared" si="84"/>
        <v>44948</v>
      </c>
      <c r="L389" t="s">
        <v>649</v>
      </c>
      <c r="M389" t="s">
        <v>656</v>
      </c>
      <c r="N389" t="s">
        <v>698</v>
      </c>
      <c r="O389" t="s">
        <v>701</v>
      </c>
      <c r="P389" t="s">
        <v>707</v>
      </c>
      <c r="Q389" t="s">
        <v>722</v>
      </c>
      <c r="R389">
        <f t="shared" si="85"/>
        <v>12</v>
      </c>
      <c r="S389" t="s">
        <v>727</v>
      </c>
      <c r="T389" t="s">
        <v>911</v>
      </c>
      <c r="U389" s="4">
        <v>39.229999999999997</v>
      </c>
      <c r="V389" s="4">
        <f>Table1[[#This Row],[UnitCost]]*(1+WhatIf!$B$3)</f>
        <v>41.191499999999998</v>
      </c>
      <c r="W389" s="4">
        <f t="shared" si="86"/>
        <v>509.98999999999995</v>
      </c>
      <c r="X389" s="4">
        <f>Table1[[#This Row],[ScenarioRev]]-Table1[[#This Row],[ScenarioUnitCost]]</f>
        <v>312.93470099999996</v>
      </c>
      <c r="Y389" s="4">
        <v>30.09</v>
      </c>
      <c r="Z389" s="4">
        <f t="shared" si="87"/>
        <v>321.93290999999999</v>
      </c>
      <c r="AA389" s="4">
        <f>Table1[[#This Row],[ScenarioQuanity]]*Table1[[#This Row],[UnitPrice]]*(1-Table1[[#This Row],[ScenarioDiscPct]])</f>
        <v>354.12620099999998</v>
      </c>
      <c r="AB389" s="4">
        <f t="shared" si="88"/>
        <v>-188.05708999999996</v>
      </c>
      <c r="AC389" s="4">
        <f>Table1[[#This Row],[ScenarioRev]] - Table1[[#This Row],[ScenarioCostOfGoods]]</f>
        <v>41.191500000000019</v>
      </c>
      <c r="AD389" s="6">
        <v>0.17699999999999999</v>
      </c>
      <c r="AE389" s="6">
        <f>MIN(Table1[[#This Row],[DiscountPct]], WhatIf!$B$2)</f>
        <v>0.17699999999999999</v>
      </c>
      <c r="AF389" s="6">
        <f>IF(Table1[[#This Row],[DiscountPct]]&gt;0.2, 1, 0)</f>
        <v>0</v>
      </c>
      <c r="AG389" s="6" t="str">
        <f t="shared" si="89"/>
        <v>Low</v>
      </c>
      <c r="AH389" s="6">
        <f t="shared" si="90"/>
        <v>-0.58414993981199359</v>
      </c>
      <c r="AI389" s="5">
        <v>13</v>
      </c>
      <c r="AJ389" s="6">
        <f>Table1[[#This Row],[Quantity]]*(1+WhatIf!$B$4)</f>
        <v>14.3</v>
      </c>
    </row>
    <row r="390" spans="1:36" x14ac:dyDescent="0.3">
      <c r="A390" t="s">
        <v>274</v>
      </c>
      <c r="B390" s="3">
        <v>45066</v>
      </c>
      <c r="C390" s="3">
        <v>45084</v>
      </c>
      <c r="D390" s="3">
        <f t="shared" si="79"/>
        <v>45084</v>
      </c>
      <c r="E390" s="4">
        <f t="shared" si="78"/>
        <v>18</v>
      </c>
      <c r="F390" s="4">
        <f t="shared" si="80"/>
        <v>18</v>
      </c>
      <c r="G390" s="4">
        <f>IF(Table1[[#This Row],[CorrectedLeadTimeDays]]&lt;=7, 1, 0)</f>
        <v>0</v>
      </c>
      <c r="H390" s="4" t="str">
        <f t="shared" si="81"/>
        <v>May</v>
      </c>
      <c r="I390" s="4" t="str">
        <f t="shared" si="82"/>
        <v>Q2-2023</v>
      </c>
      <c r="J390" s="4" t="str">
        <f t="shared" si="83"/>
        <v>2023-01</v>
      </c>
      <c r="K390" s="3">
        <f t="shared" si="84"/>
        <v>44941</v>
      </c>
      <c r="L390" t="s">
        <v>646</v>
      </c>
      <c r="M390" t="s">
        <v>651</v>
      </c>
      <c r="N390" t="s">
        <v>663</v>
      </c>
      <c r="O390" t="s">
        <v>706</v>
      </c>
      <c r="P390" t="s">
        <v>710</v>
      </c>
      <c r="Q390" t="s">
        <v>718</v>
      </c>
      <c r="R390">
        <f t="shared" si="85"/>
        <v>4</v>
      </c>
      <c r="S390" t="s">
        <v>727</v>
      </c>
      <c r="T390" t="s">
        <v>994</v>
      </c>
      <c r="U390" s="4">
        <v>1120.06</v>
      </c>
      <c r="V390" s="4">
        <f>Table1[[#This Row],[UnitCost]]*(1+WhatIf!$B$3)</f>
        <v>1176.0630000000001</v>
      </c>
      <c r="W390" s="4">
        <f t="shared" si="86"/>
        <v>13440.72</v>
      </c>
      <c r="X390" s="4">
        <f>Table1[[#This Row],[ScenarioRev]]-Table1[[#This Row],[ScenarioUnitCost]]</f>
        <v>23994.879984000007</v>
      </c>
      <c r="Y390" s="4">
        <v>2068.21</v>
      </c>
      <c r="Z390" s="4">
        <f t="shared" si="87"/>
        <v>22882.675440000003</v>
      </c>
      <c r="AA390" s="4">
        <f>Table1[[#This Row],[ScenarioQuanity]]*Table1[[#This Row],[UnitPrice]]*(1-Table1[[#This Row],[ScenarioDiscPct]])</f>
        <v>25170.942984000005</v>
      </c>
      <c r="AB390" s="4">
        <f t="shared" si="88"/>
        <v>9441.9554400000034</v>
      </c>
      <c r="AC390" s="4">
        <f>Table1[[#This Row],[ScenarioRev]] - Table1[[#This Row],[ScenarioCostOfGoods]]</f>
        <v>1176.0629999999983</v>
      </c>
      <c r="AD390" s="6">
        <v>7.8E-2</v>
      </c>
      <c r="AE390" s="6">
        <f>MIN(Table1[[#This Row],[DiscountPct]], WhatIf!$B$2)</f>
        <v>7.8E-2</v>
      </c>
      <c r="AF390" s="6">
        <f>IF(Table1[[#This Row],[DiscountPct]]&gt;0.2, 1, 0)</f>
        <v>0</v>
      </c>
      <c r="AG390" s="6" t="str">
        <f t="shared" si="89"/>
        <v>High</v>
      </c>
      <c r="AH390" s="6">
        <f t="shared" si="90"/>
        <v>0.41262462795303284</v>
      </c>
      <c r="AI390" s="5">
        <v>12</v>
      </c>
      <c r="AJ390" s="6">
        <f>Table1[[#This Row],[Quantity]]*(1+WhatIf!$B$4)</f>
        <v>13.200000000000001</v>
      </c>
    </row>
    <row r="391" spans="1:36" x14ac:dyDescent="0.3">
      <c r="A391" t="s">
        <v>228</v>
      </c>
      <c r="B391" s="3">
        <v>45240</v>
      </c>
      <c r="C391" s="3">
        <v>45258</v>
      </c>
      <c r="D391" s="3">
        <f t="shared" si="79"/>
        <v>45258</v>
      </c>
      <c r="E391" s="4">
        <f t="shared" si="78"/>
        <v>18</v>
      </c>
      <c r="F391" s="4">
        <f t="shared" si="80"/>
        <v>18</v>
      </c>
      <c r="G391" s="4">
        <f>IF(Table1[[#This Row],[CorrectedLeadTimeDays]]&lt;=7, 1, 0)</f>
        <v>0</v>
      </c>
      <c r="H391" s="4" t="str">
        <f t="shared" si="81"/>
        <v>November</v>
      </c>
      <c r="I391" s="4" t="str">
        <f t="shared" si="82"/>
        <v>Q4-2023</v>
      </c>
      <c r="J391" s="4" t="str">
        <f t="shared" si="83"/>
        <v>2023-01</v>
      </c>
      <c r="K391" s="3">
        <f t="shared" si="84"/>
        <v>44955</v>
      </c>
      <c r="L391" t="s">
        <v>648</v>
      </c>
      <c r="M391" t="s">
        <v>655</v>
      </c>
      <c r="N391" t="s">
        <v>672</v>
      </c>
      <c r="O391" t="s">
        <v>702</v>
      </c>
      <c r="P391" t="s">
        <v>709</v>
      </c>
      <c r="Q391" t="s">
        <v>716</v>
      </c>
      <c r="R391">
        <f t="shared" si="85"/>
        <v>9</v>
      </c>
      <c r="S391" t="s">
        <v>733</v>
      </c>
      <c r="T391" t="s">
        <v>948</v>
      </c>
      <c r="U391" s="4">
        <v>388.51</v>
      </c>
      <c r="V391" s="4">
        <f>Table1[[#This Row],[UnitCost]]*(1+WhatIf!$B$3)</f>
        <v>407.93549999999999</v>
      </c>
      <c r="W391" s="4">
        <f t="shared" si="86"/>
        <v>4662.12</v>
      </c>
      <c r="X391" s="4">
        <f>Table1[[#This Row],[ScenarioRev]]-Table1[[#This Row],[ScenarioUnitCost]]</f>
        <v>8232.200796000001</v>
      </c>
      <c r="Y391" s="4">
        <v>776.46</v>
      </c>
      <c r="Z391" s="4">
        <f t="shared" si="87"/>
        <v>7854.6693599999999</v>
      </c>
      <c r="AA391" s="4">
        <f>Table1[[#This Row],[ScenarioQuanity]]*Table1[[#This Row],[UnitPrice]]*(1-Table1[[#This Row],[ScenarioDiscPct]])</f>
        <v>8640.1362960000006</v>
      </c>
      <c r="AB391" s="4">
        <f t="shared" si="88"/>
        <v>3192.54936</v>
      </c>
      <c r="AC391" s="4">
        <f>Table1[[#This Row],[ScenarioRev]] - Table1[[#This Row],[ScenarioCostOfGoods]]</f>
        <v>407.93549999999959</v>
      </c>
      <c r="AD391" s="6">
        <v>0.157</v>
      </c>
      <c r="AE391" s="6">
        <f>MIN(Table1[[#This Row],[DiscountPct]], WhatIf!$B$2)</f>
        <v>0.157</v>
      </c>
      <c r="AF391" s="6">
        <f>IF(Table1[[#This Row],[DiscountPct]]&gt;0.2, 1, 0)</f>
        <v>0</v>
      </c>
      <c r="AG391" s="6" t="str">
        <f t="shared" si="89"/>
        <v>Low</v>
      </c>
      <c r="AH391" s="6">
        <f t="shared" si="90"/>
        <v>0.40645241876864946</v>
      </c>
      <c r="AI391" s="5">
        <v>12</v>
      </c>
      <c r="AJ391" s="6">
        <f>Table1[[#This Row],[Quantity]]*(1+WhatIf!$B$4)</f>
        <v>13.200000000000001</v>
      </c>
    </row>
    <row r="392" spans="1:36" x14ac:dyDescent="0.3">
      <c r="A392" t="s">
        <v>428</v>
      </c>
      <c r="B392" s="3">
        <v>45449</v>
      </c>
      <c r="C392" s="3">
        <v>45467</v>
      </c>
      <c r="D392" s="3">
        <f t="shared" si="79"/>
        <v>45467</v>
      </c>
      <c r="E392" s="4">
        <f t="shared" si="78"/>
        <v>18</v>
      </c>
      <c r="F392" s="4">
        <f t="shared" si="80"/>
        <v>18</v>
      </c>
      <c r="G392" s="4">
        <f>IF(Table1[[#This Row],[CorrectedLeadTimeDays]]&lt;=7, 1, 0)</f>
        <v>0</v>
      </c>
      <c r="H392" s="4" t="str">
        <f t="shared" si="81"/>
        <v>June</v>
      </c>
      <c r="I392" s="4" t="str">
        <f t="shared" si="82"/>
        <v>Q2-2024</v>
      </c>
      <c r="J392" s="4" t="str">
        <f t="shared" si="83"/>
        <v>2023-01</v>
      </c>
      <c r="K392" s="3">
        <f t="shared" si="84"/>
        <v>44955</v>
      </c>
      <c r="L392" t="s">
        <v>647</v>
      </c>
      <c r="M392" t="s">
        <v>654</v>
      </c>
      <c r="N392" t="s">
        <v>668</v>
      </c>
      <c r="O392" t="s">
        <v>705</v>
      </c>
      <c r="P392" t="s">
        <v>711</v>
      </c>
      <c r="Q392" t="s">
        <v>722</v>
      </c>
      <c r="R392">
        <f t="shared" si="85"/>
        <v>16</v>
      </c>
      <c r="S392" t="s">
        <v>729</v>
      </c>
      <c r="T392" t="s">
        <v>1147</v>
      </c>
      <c r="U392" s="4">
        <v>1253.25</v>
      </c>
      <c r="V392" s="4">
        <f>Table1[[#This Row],[UnitCost]]*(1+WhatIf!$B$3)</f>
        <v>1315.9125000000001</v>
      </c>
      <c r="W392" s="4">
        <f t="shared" si="86"/>
        <v>13785.75</v>
      </c>
      <c r="X392" s="4">
        <f>Table1[[#This Row],[ScenarioRev]]-Table1[[#This Row],[ScenarioUnitCost]]</f>
        <v>33348.852844000008</v>
      </c>
      <c r="Y392" s="4">
        <v>3087.13</v>
      </c>
      <c r="Z392" s="4">
        <f t="shared" si="87"/>
        <v>31513.423040000001</v>
      </c>
      <c r="AA392" s="4">
        <f>Table1[[#This Row],[ScenarioQuanity]]*Table1[[#This Row],[UnitPrice]]*(1-Table1[[#This Row],[ScenarioDiscPct]])</f>
        <v>34664.765344000007</v>
      </c>
      <c r="AB392" s="4">
        <f t="shared" si="88"/>
        <v>17727.673040000001</v>
      </c>
      <c r="AC392" s="4">
        <f>Table1[[#This Row],[ScenarioRev]] - Table1[[#This Row],[ScenarioCostOfGoods]]</f>
        <v>1315.9124999999985</v>
      </c>
      <c r="AD392" s="6">
        <v>7.1999999999999995E-2</v>
      </c>
      <c r="AE392" s="6">
        <f>MIN(Table1[[#This Row],[DiscountPct]], WhatIf!$B$2)</f>
        <v>7.1999999999999995E-2</v>
      </c>
      <c r="AF392" s="6">
        <f>IF(Table1[[#This Row],[DiscountPct]]&gt;0.2, 1, 0)</f>
        <v>0</v>
      </c>
      <c r="AG392" s="6" t="str">
        <f t="shared" si="89"/>
        <v>High</v>
      </c>
      <c r="AH392" s="6">
        <f t="shared" si="90"/>
        <v>0.562543555408064</v>
      </c>
      <c r="AI392" s="5">
        <v>11</v>
      </c>
      <c r="AJ392" s="6">
        <f>Table1[[#This Row],[Quantity]]*(1+WhatIf!$B$4)</f>
        <v>12.100000000000001</v>
      </c>
    </row>
    <row r="393" spans="1:36" x14ac:dyDescent="0.3">
      <c r="A393" t="s">
        <v>626</v>
      </c>
      <c r="B393" s="3">
        <v>45584</v>
      </c>
      <c r="C393" s="3">
        <v>45602</v>
      </c>
      <c r="D393" s="3">
        <f t="shared" si="79"/>
        <v>45602</v>
      </c>
      <c r="E393" s="4">
        <f t="shared" si="78"/>
        <v>18</v>
      </c>
      <c r="F393" s="4">
        <f t="shared" si="80"/>
        <v>18</v>
      </c>
      <c r="G393" s="4">
        <f>IF(Table1[[#This Row],[CorrectedLeadTimeDays]]&lt;=7, 1, 0)</f>
        <v>0</v>
      </c>
      <c r="H393" s="4" t="str">
        <f t="shared" si="81"/>
        <v>October</v>
      </c>
      <c r="I393" s="4" t="str">
        <f t="shared" si="82"/>
        <v>Q4-2024</v>
      </c>
      <c r="J393" s="4" t="str">
        <f t="shared" si="83"/>
        <v>2023-01</v>
      </c>
      <c r="K393" s="3">
        <f t="shared" si="84"/>
        <v>44939</v>
      </c>
      <c r="L393" t="s">
        <v>648</v>
      </c>
      <c r="M393" t="s">
        <v>660</v>
      </c>
      <c r="N393" t="s">
        <v>677</v>
      </c>
      <c r="O393" t="s">
        <v>702</v>
      </c>
      <c r="Q393" t="s">
        <v>712</v>
      </c>
      <c r="R393">
        <f t="shared" si="85"/>
        <v>21</v>
      </c>
      <c r="S393" t="s">
        <v>732</v>
      </c>
      <c r="T393" t="s">
        <v>1344</v>
      </c>
      <c r="U393" s="4">
        <v>942.02</v>
      </c>
      <c r="V393" s="4">
        <f>Table1[[#This Row],[UnitCost]]*(1+WhatIf!$B$3)</f>
        <v>989.12099999999998</v>
      </c>
      <c r="W393" s="4">
        <f t="shared" si="86"/>
        <v>8478.18</v>
      </c>
      <c r="X393" s="4">
        <f>Table1[[#This Row],[ScenarioRev]]-Table1[[#This Row],[ScenarioUnitCost]]</f>
        <v>9192.6330000000016</v>
      </c>
      <c r="Y393" s="4">
        <v>1028.46</v>
      </c>
      <c r="Z393" s="4">
        <f t="shared" si="87"/>
        <v>9256.14</v>
      </c>
      <c r="AA393" s="4">
        <f>Table1[[#This Row],[ScenarioQuanity]]*Table1[[#This Row],[UnitPrice]]*(1-Table1[[#This Row],[ScenarioDiscPct]])</f>
        <v>10181.754000000001</v>
      </c>
      <c r="AB393" s="4">
        <f t="shared" si="88"/>
        <v>777.95999999999913</v>
      </c>
      <c r="AC393" s="4">
        <f>Table1[[#This Row],[ScenarioRev]] - Table1[[#This Row],[ScenarioCostOfGoods]]</f>
        <v>989.12099999999919</v>
      </c>
      <c r="AD393" s="6">
        <v>0</v>
      </c>
      <c r="AE393" s="6">
        <f>MIN(Table1[[#This Row],[DiscountPct]], WhatIf!$B$2)</f>
        <v>0</v>
      </c>
      <c r="AF393" s="6">
        <f>IF(Table1[[#This Row],[DiscountPct]]&gt;0.2, 1, 0)</f>
        <v>0</v>
      </c>
      <c r="AG393" s="6" t="str">
        <f t="shared" si="89"/>
        <v>High</v>
      </c>
      <c r="AH393" s="6">
        <f t="shared" si="90"/>
        <v>8.4047994088248354E-2</v>
      </c>
      <c r="AI393" s="5">
        <v>9</v>
      </c>
      <c r="AJ393" s="6">
        <f>Table1[[#This Row],[Quantity]]*(1+WhatIf!$B$4)</f>
        <v>9.9</v>
      </c>
    </row>
    <row r="394" spans="1:36" x14ac:dyDescent="0.3">
      <c r="A394" t="s">
        <v>572</v>
      </c>
      <c r="B394" s="3">
        <v>45362</v>
      </c>
      <c r="C394" s="3">
        <v>45380</v>
      </c>
      <c r="D394" s="3">
        <f t="shared" si="79"/>
        <v>45380</v>
      </c>
      <c r="E394" s="4">
        <f t="shared" si="78"/>
        <v>18</v>
      </c>
      <c r="F394" s="4">
        <f t="shared" si="80"/>
        <v>18</v>
      </c>
      <c r="G394" s="4">
        <f>IF(Table1[[#This Row],[CorrectedLeadTimeDays]]&lt;=7, 1, 0)</f>
        <v>0</v>
      </c>
      <c r="H394" s="4" t="str">
        <f t="shared" si="81"/>
        <v>March</v>
      </c>
      <c r="I394" s="4" t="str">
        <f t="shared" si="82"/>
        <v>Q1-2024</v>
      </c>
      <c r="J394" s="4" t="str">
        <f t="shared" si="83"/>
        <v>2023-01</v>
      </c>
      <c r="K394" s="3">
        <f t="shared" si="84"/>
        <v>44939</v>
      </c>
      <c r="L394" t="s">
        <v>648</v>
      </c>
      <c r="M394" t="s">
        <v>660</v>
      </c>
      <c r="N394" t="s">
        <v>700</v>
      </c>
      <c r="O394" t="s">
        <v>701</v>
      </c>
      <c r="P394" t="s">
        <v>707</v>
      </c>
      <c r="Q394" t="s">
        <v>724</v>
      </c>
      <c r="R394">
        <f t="shared" si="85"/>
        <v>13</v>
      </c>
      <c r="S394" t="s">
        <v>732</v>
      </c>
      <c r="T394" t="s">
        <v>1290</v>
      </c>
      <c r="U394" s="4">
        <v>710.98</v>
      </c>
      <c r="V394" s="4">
        <f>Table1[[#This Row],[UnitCost]]*(1+WhatIf!$B$3)</f>
        <v>746.529</v>
      </c>
      <c r="W394" s="4">
        <f t="shared" si="86"/>
        <v>6398.82</v>
      </c>
      <c r="X394" s="4">
        <f>Table1[[#This Row],[ScenarioRev]]-Table1[[#This Row],[ScenarioUnitCost]]</f>
        <v>10986.555000000002</v>
      </c>
      <c r="Y394" s="4">
        <v>1481.45</v>
      </c>
      <c r="Z394" s="4">
        <f t="shared" si="87"/>
        <v>10519.776450000001</v>
      </c>
      <c r="AA394" s="4">
        <f>Table1[[#This Row],[ScenarioQuanity]]*Table1[[#This Row],[UnitPrice]]*(1-Table1[[#This Row],[ScenarioDiscPct]])</f>
        <v>11733.084000000003</v>
      </c>
      <c r="AB394" s="4">
        <f t="shared" si="88"/>
        <v>4120.9564500000015</v>
      </c>
      <c r="AC394" s="4">
        <f>Table1[[#This Row],[ScenarioRev]] - Table1[[#This Row],[ScenarioCostOfGoods]]</f>
        <v>746.52900000000045</v>
      </c>
      <c r="AD394" s="6">
        <v>0.21099999999999999</v>
      </c>
      <c r="AE394" s="6">
        <f>MIN(Table1[[#This Row],[DiscountPct]], WhatIf!$B$2)</f>
        <v>0.2</v>
      </c>
      <c r="AF394" s="6">
        <f>IF(Table1[[#This Row],[DiscountPct]]&gt;0.2, 1, 0)</f>
        <v>1</v>
      </c>
      <c r="AG394" s="6" t="str">
        <f t="shared" si="89"/>
        <v>High</v>
      </c>
      <c r="AH394" s="6">
        <f t="shared" si="90"/>
        <v>0.39173422264120461</v>
      </c>
      <c r="AI394" s="5">
        <v>9</v>
      </c>
      <c r="AJ394" s="6">
        <f>Table1[[#This Row],[Quantity]]*(1+WhatIf!$B$4)</f>
        <v>9.9</v>
      </c>
    </row>
    <row r="395" spans="1:36" x14ac:dyDescent="0.3">
      <c r="A395" t="s">
        <v>263</v>
      </c>
      <c r="B395" s="3">
        <v>45912</v>
      </c>
      <c r="C395" s="3">
        <v>45930</v>
      </c>
      <c r="D395" s="3">
        <f t="shared" si="79"/>
        <v>45930</v>
      </c>
      <c r="E395" s="4">
        <f t="shared" si="78"/>
        <v>18</v>
      </c>
      <c r="F395" s="4">
        <f t="shared" si="80"/>
        <v>18</v>
      </c>
      <c r="G395" s="4">
        <f>IF(Table1[[#This Row],[CorrectedLeadTimeDays]]&lt;=7, 1, 0)</f>
        <v>0</v>
      </c>
      <c r="H395" s="4" t="str">
        <f t="shared" si="81"/>
        <v>September</v>
      </c>
      <c r="I395" s="4" t="str">
        <f t="shared" si="82"/>
        <v>Q3-2025</v>
      </c>
      <c r="J395" s="4" t="str">
        <f t="shared" si="83"/>
        <v>2023-03</v>
      </c>
      <c r="K395" s="3">
        <f t="shared" si="84"/>
        <v>44988</v>
      </c>
      <c r="L395" t="s">
        <v>647</v>
      </c>
      <c r="M395" t="s">
        <v>652</v>
      </c>
      <c r="N395" t="s">
        <v>694</v>
      </c>
      <c r="O395" t="s">
        <v>703</v>
      </c>
      <c r="P395" t="s">
        <v>709</v>
      </c>
      <c r="Q395" t="s">
        <v>721</v>
      </c>
      <c r="R395">
        <f t="shared" si="85"/>
        <v>30</v>
      </c>
      <c r="S395" t="s">
        <v>732</v>
      </c>
      <c r="T395" t="s">
        <v>983</v>
      </c>
      <c r="U395" s="4">
        <v>1212.99</v>
      </c>
      <c r="V395" s="4">
        <f>Table1[[#This Row],[UnitCost]]*(1+WhatIf!$B$3)</f>
        <v>1273.6395</v>
      </c>
      <c r="W395" s="4">
        <f t="shared" si="86"/>
        <v>9703.92</v>
      </c>
      <c r="X395" s="4">
        <f>Table1[[#This Row],[ScenarioRev]]-Table1[[#This Row],[ScenarioUnitCost]]</f>
        <v>11721.325076000003</v>
      </c>
      <c r="Y395" s="4">
        <v>1653.64</v>
      </c>
      <c r="Z395" s="4">
        <f t="shared" si="87"/>
        <v>11813.604160000001</v>
      </c>
      <c r="AA395" s="4">
        <f>Table1[[#This Row],[ScenarioQuanity]]*Table1[[#This Row],[UnitPrice]]*(1-Table1[[#This Row],[ScenarioDiscPct]])</f>
        <v>12994.964576000002</v>
      </c>
      <c r="AB395" s="4">
        <f t="shared" si="88"/>
        <v>2109.6841600000007</v>
      </c>
      <c r="AC395" s="4">
        <f>Table1[[#This Row],[ScenarioRev]] - Table1[[#This Row],[ScenarioCostOfGoods]]</f>
        <v>1273.6394999999993</v>
      </c>
      <c r="AD395" s="6">
        <v>0.107</v>
      </c>
      <c r="AE395" s="6">
        <f>MIN(Table1[[#This Row],[DiscountPct]], WhatIf!$B$2)</f>
        <v>0.107</v>
      </c>
      <c r="AF395" s="6">
        <f>IF(Table1[[#This Row],[DiscountPct]]&gt;0.2, 1, 0)</f>
        <v>0</v>
      </c>
      <c r="AG395" s="6" t="str">
        <f t="shared" si="89"/>
        <v>High</v>
      </c>
      <c r="AH395" s="6">
        <f t="shared" si="90"/>
        <v>0.17858090819931455</v>
      </c>
      <c r="AI395" s="5">
        <v>8</v>
      </c>
      <c r="AJ395" s="6">
        <f>Table1[[#This Row],[Quantity]]*(1+WhatIf!$B$4)</f>
        <v>8.8000000000000007</v>
      </c>
    </row>
    <row r="396" spans="1:36" x14ac:dyDescent="0.3">
      <c r="A396" t="s">
        <v>311</v>
      </c>
      <c r="B396" s="3">
        <v>45097</v>
      </c>
      <c r="C396" s="3">
        <v>45115</v>
      </c>
      <c r="D396" s="3">
        <f t="shared" si="79"/>
        <v>45115</v>
      </c>
      <c r="E396" s="4">
        <f t="shared" si="78"/>
        <v>18</v>
      </c>
      <c r="F396" s="4">
        <f t="shared" si="80"/>
        <v>18</v>
      </c>
      <c r="G396" s="4">
        <f>IF(Table1[[#This Row],[CorrectedLeadTimeDays]]&lt;=7, 1, 0)</f>
        <v>0</v>
      </c>
      <c r="H396" s="4" t="str">
        <f t="shared" si="81"/>
        <v>June</v>
      </c>
      <c r="I396" s="4" t="str">
        <f t="shared" si="82"/>
        <v>Q2-2023</v>
      </c>
      <c r="J396" s="4" t="str">
        <f t="shared" si="83"/>
        <v>2023-01</v>
      </c>
      <c r="K396" s="3">
        <f t="shared" si="84"/>
        <v>44939</v>
      </c>
      <c r="L396" t="s">
        <v>648</v>
      </c>
      <c r="M396" t="s">
        <v>660</v>
      </c>
      <c r="N396" t="s">
        <v>697</v>
      </c>
      <c r="O396" t="s">
        <v>703</v>
      </c>
      <c r="P396" t="s">
        <v>711</v>
      </c>
      <c r="Q396" t="s">
        <v>721</v>
      </c>
      <c r="R396">
        <f t="shared" si="85"/>
        <v>5</v>
      </c>
      <c r="S396" t="s">
        <v>732</v>
      </c>
      <c r="T396" t="s">
        <v>1031</v>
      </c>
      <c r="U396" s="4">
        <v>337</v>
      </c>
      <c r="V396" s="4">
        <f>Table1[[#This Row],[UnitCost]]*(1+WhatIf!$B$3)</f>
        <v>353.85</v>
      </c>
      <c r="W396" s="4">
        <f t="shared" si="86"/>
        <v>2359</v>
      </c>
      <c r="X396" s="4">
        <f>Table1[[#This Row],[ScenarioRev]]-Table1[[#This Row],[ScenarioUnitCost]]</f>
        <v>3156.1084520000004</v>
      </c>
      <c r="Y396" s="4">
        <v>511.03</v>
      </c>
      <c r="Z396" s="4">
        <f t="shared" si="87"/>
        <v>3190.8713200000002</v>
      </c>
      <c r="AA396" s="4">
        <f>Table1[[#This Row],[ScenarioQuanity]]*Table1[[#This Row],[UnitPrice]]*(1-Table1[[#This Row],[ScenarioDiscPct]])</f>
        <v>3509.9584520000003</v>
      </c>
      <c r="AB396" s="4">
        <f t="shared" si="88"/>
        <v>831.8713200000002</v>
      </c>
      <c r="AC396" s="4">
        <f>Table1[[#This Row],[ScenarioRev]] - Table1[[#This Row],[ScenarioCostOfGoods]]</f>
        <v>353.84999999999991</v>
      </c>
      <c r="AD396" s="6">
        <v>0.108</v>
      </c>
      <c r="AE396" s="6">
        <f>MIN(Table1[[#This Row],[DiscountPct]], WhatIf!$B$2)</f>
        <v>0.108</v>
      </c>
      <c r="AF396" s="6">
        <f>IF(Table1[[#This Row],[DiscountPct]]&gt;0.2, 1, 0)</f>
        <v>0</v>
      </c>
      <c r="AG396" s="6" t="str">
        <f t="shared" si="89"/>
        <v>Low</v>
      </c>
      <c r="AH396" s="6">
        <f t="shared" si="90"/>
        <v>0.26070349963219458</v>
      </c>
      <c r="AI396" s="5">
        <v>7</v>
      </c>
      <c r="AJ396" s="6">
        <f>Table1[[#This Row],[Quantity]]*(1+WhatIf!$B$4)</f>
        <v>7.7000000000000011</v>
      </c>
    </row>
    <row r="397" spans="1:36" x14ac:dyDescent="0.3">
      <c r="A397" t="s">
        <v>363</v>
      </c>
      <c r="B397" s="3">
        <v>45825</v>
      </c>
      <c r="C397" s="3">
        <v>45843</v>
      </c>
      <c r="D397" s="3">
        <f t="shared" si="79"/>
        <v>45843</v>
      </c>
      <c r="E397" s="4">
        <f t="shared" si="78"/>
        <v>18</v>
      </c>
      <c r="F397" s="4">
        <f t="shared" si="80"/>
        <v>18</v>
      </c>
      <c r="G397" s="4">
        <f>IF(Table1[[#This Row],[CorrectedLeadTimeDays]]&lt;=7, 1, 0)</f>
        <v>0</v>
      </c>
      <c r="H397" s="4" t="str">
        <f t="shared" si="81"/>
        <v>June</v>
      </c>
      <c r="I397" s="4" t="str">
        <f t="shared" si="82"/>
        <v>Q2-2025</v>
      </c>
      <c r="J397" s="4" t="str">
        <f t="shared" si="83"/>
        <v>2023-01</v>
      </c>
      <c r="K397" s="3">
        <f t="shared" si="84"/>
        <v>44955</v>
      </c>
      <c r="L397" t="s">
        <v>647</v>
      </c>
      <c r="M397" t="s">
        <v>654</v>
      </c>
      <c r="N397" t="s">
        <v>680</v>
      </c>
      <c r="O397" t="s">
        <v>704</v>
      </c>
      <c r="P397" t="s">
        <v>709</v>
      </c>
      <c r="Q397" t="s">
        <v>716</v>
      </c>
      <c r="R397">
        <f t="shared" si="85"/>
        <v>28</v>
      </c>
      <c r="S397" t="s">
        <v>731</v>
      </c>
      <c r="T397" t="s">
        <v>1083</v>
      </c>
      <c r="U397" s="4">
        <v>982.93</v>
      </c>
      <c r="V397" s="4">
        <f>Table1[[#This Row],[UnitCost]]*(1+WhatIf!$B$3)</f>
        <v>1032.0764999999999</v>
      </c>
      <c r="W397" s="4">
        <f t="shared" si="86"/>
        <v>5897.58</v>
      </c>
      <c r="X397" s="4">
        <f>Table1[[#This Row],[ScenarioRev]]-Table1[[#This Row],[ScenarioUnitCost]]</f>
        <v>12428.485560000003</v>
      </c>
      <c r="Y397" s="4">
        <v>2299.3000000000002</v>
      </c>
      <c r="Z397" s="4">
        <f t="shared" si="87"/>
        <v>12236.874600000001</v>
      </c>
      <c r="AA397" s="4">
        <f>Table1[[#This Row],[ScenarioQuanity]]*Table1[[#This Row],[UnitPrice]]*(1-Table1[[#This Row],[ScenarioDiscPct]])</f>
        <v>13460.562060000002</v>
      </c>
      <c r="AB397" s="4">
        <f t="shared" si="88"/>
        <v>6339.2946000000011</v>
      </c>
      <c r="AC397" s="4">
        <f>Table1[[#This Row],[ScenarioRev]] - Table1[[#This Row],[ScenarioCostOfGoods]]</f>
        <v>1032.0764999999992</v>
      </c>
      <c r="AD397" s="6">
        <v>0.113</v>
      </c>
      <c r="AE397" s="6">
        <f>MIN(Table1[[#This Row],[DiscountPct]], WhatIf!$B$2)</f>
        <v>0.113</v>
      </c>
      <c r="AF397" s="6">
        <f>IF(Table1[[#This Row],[DiscountPct]]&gt;0.2, 1, 0)</f>
        <v>0</v>
      </c>
      <c r="AG397" s="6" t="str">
        <f t="shared" si="89"/>
        <v>High</v>
      </c>
      <c r="AH397" s="6">
        <f t="shared" si="90"/>
        <v>0.51804850562087157</v>
      </c>
      <c r="AI397" s="5">
        <v>6</v>
      </c>
      <c r="AJ397" s="6">
        <f>Table1[[#This Row],[Quantity]]*(1+WhatIf!$B$4)</f>
        <v>6.6000000000000005</v>
      </c>
    </row>
    <row r="398" spans="1:36" x14ac:dyDescent="0.3">
      <c r="A398" t="s">
        <v>21</v>
      </c>
      <c r="B398" s="3">
        <v>45653</v>
      </c>
      <c r="C398" s="3">
        <v>45671</v>
      </c>
      <c r="D398" s="3">
        <f t="shared" si="79"/>
        <v>45671</v>
      </c>
      <c r="E398" s="4">
        <f t="shared" si="78"/>
        <v>18</v>
      </c>
      <c r="F398" s="4">
        <f t="shared" si="80"/>
        <v>18</v>
      </c>
      <c r="G398" s="4">
        <f>IF(Table1[[#This Row],[CorrectedLeadTimeDays]]&lt;=7, 1, 0)</f>
        <v>0</v>
      </c>
      <c r="H398" s="4" t="str">
        <f t="shared" si="81"/>
        <v>December</v>
      </c>
      <c r="I398" s="4" t="str">
        <f t="shared" si="82"/>
        <v>Q4-2024</v>
      </c>
      <c r="J398" s="4" t="str">
        <f t="shared" si="83"/>
        <v>2023-01</v>
      </c>
      <c r="K398" s="3">
        <f t="shared" si="84"/>
        <v>44955</v>
      </c>
      <c r="L398" t="s">
        <v>647</v>
      </c>
      <c r="M398" t="s">
        <v>654</v>
      </c>
      <c r="N398" t="s">
        <v>668</v>
      </c>
      <c r="O398" t="s">
        <v>705</v>
      </c>
      <c r="P398" t="s">
        <v>709</v>
      </c>
      <c r="Q398" t="s">
        <v>718</v>
      </c>
      <c r="R398">
        <f t="shared" si="85"/>
        <v>22</v>
      </c>
      <c r="S398" t="s">
        <v>732</v>
      </c>
      <c r="T398" t="s">
        <v>740</v>
      </c>
      <c r="U398" s="4">
        <v>586.07000000000005</v>
      </c>
      <c r="V398" s="4">
        <f>Table1[[#This Row],[UnitCost]]*(1+WhatIf!$B$3)</f>
        <v>615.37350000000004</v>
      </c>
      <c r="W398" s="4">
        <f t="shared" si="86"/>
        <v>2344.2800000000002</v>
      </c>
      <c r="X398" s="4">
        <f>Table1[[#This Row],[ScenarioRev]]-Table1[[#This Row],[ScenarioUnitCost]]</f>
        <v>2559.7211040000002</v>
      </c>
      <c r="Y398" s="4">
        <v>845.97</v>
      </c>
      <c r="Z398" s="4">
        <f t="shared" si="87"/>
        <v>2886.4496399999998</v>
      </c>
      <c r="AA398" s="4">
        <f>Table1[[#This Row],[ScenarioQuanity]]*Table1[[#This Row],[UnitPrice]]*(1-Table1[[#This Row],[ScenarioDiscPct]])</f>
        <v>3175.0946040000003</v>
      </c>
      <c r="AB398" s="4">
        <f t="shared" si="88"/>
        <v>542.16963999999962</v>
      </c>
      <c r="AC398" s="4">
        <f>Table1[[#This Row],[ScenarioRev]] - Table1[[#This Row],[ScenarioCostOfGoods]]</f>
        <v>615.37350000000015</v>
      </c>
      <c r="AD398" s="6">
        <v>0.14699999999999999</v>
      </c>
      <c r="AE398" s="6">
        <f>MIN(Table1[[#This Row],[DiscountPct]], WhatIf!$B$2)</f>
        <v>0.14699999999999999</v>
      </c>
      <c r="AF398" s="6">
        <f>IF(Table1[[#This Row],[DiscountPct]]&gt;0.2, 1, 0)</f>
        <v>0</v>
      </c>
      <c r="AG398" s="6" t="str">
        <f t="shared" si="89"/>
        <v>High</v>
      </c>
      <c r="AH398" s="6">
        <f t="shared" si="90"/>
        <v>0.18783270370862928</v>
      </c>
      <c r="AI398" s="5">
        <v>4</v>
      </c>
      <c r="AJ398" s="6">
        <f>Table1[[#This Row],[Quantity]]*(1+WhatIf!$B$4)</f>
        <v>4.4000000000000004</v>
      </c>
    </row>
    <row r="399" spans="1:36" x14ac:dyDescent="0.3">
      <c r="A399" t="s">
        <v>271</v>
      </c>
      <c r="B399" s="3">
        <v>45035</v>
      </c>
      <c r="C399" s="3">
        <v>45053</v>
      </c>
      <c r="D399" s="3">
        <f t="shared" si="79"/>
        <v>45053</v>
      </c>
      <c r="E399" s="4">
        <f t="shared" si="78"/>
        <v>18</v>
      </c>
      <c r="F399" s="4">
        <f t="shared" si="80"/>
        <v>18</v>
      </c>
      <c r="G399" s="4">
        <f>IF(Table1[[#This Row],[CorrectedLeadTimeDays]]&lt;=7, 1, 0)</f>
        <v>0</v>
      </c>
      <c r="H399" s="4" t="str">
        <f t="shared" si="81"/>
        <v>April</v>
      </c>
      <c r="I399" s="4" t="str">
        <f t="shared" si="82"/>
        <v>Q2-2023</v>
      </c>
      <c r="J399" s="4" t="str">
        <f t="shared" si="83"/>
        <v>2023-01</v>
      </c>
      <c r="K399" s="3">
        <f t="shared" si="84"/>
        <v>44945</v>
      </c>
      <c r="L399" t="s">
        <v>649</v>
      </c>
      <c r="M399" t="s">
        <v>658</v>
      </c>
      <c r="N399" t="s">
        <v>683</v>
      </c>
      <c r="O399" t="s">
        <v>703</v>
      </c>
      <c r="P399" t="s">
        <v>711</v>
      </c>
      <c r="Q399" t="s">
        <v>722</v>
      </c>
      <c r="R399">
        <f t="shared" si="85"/>
        <v>3</v>
      </c>
      <c r="S399" t="s">
        <v>729</v>
      </c>
      <c r="T399" t="s">
        <v>991</v>
      </c>
      <c r="U399" s="4">
        <v>516.96</v>
      </c>
      <c r="V399" s="4">
        <f>Table1[[#This Row],[UnitCost]]*(1+WhatIf!$B$3)</f>
        <v>542.80800000000011</v>
      </c>
      <c r="W399" s="4">
        <f t="shared" si="86"/>
        <v>2067.84</v>
      </c>
      <c r="X399" s="4">
        <f>Table1[[#This Row],[ScenarioRev]]-Table1[[#This Row],[ScenarioUnitCost]]</f>
        <v>2090.7686159999998</v>
      </c>
      <c r="Y399" s="4">
        <v>745.38</v>
      </c>
      <c r="Z399" s="4">
        <f t="shared" si="87"/>
        <v>2394.1605599999998</v>
      </c>
      <c r="AA399" s="4">
        <f>Table1[[#This Row],[ScenarioQuanity]]*Table1[[#This Row],[UnitPrice]]*(1-Table1[[#This Row],[ScenarioDiscPct]])</f>
        <v>2633.5766159999998</v>
      </c>
      <c r="AB399" s="4">
        <f t="shared" si="88"/>
        <v>326.32055999999966</v>
      </c>
      <c r="AC399" s="4">
        <f>Table1[[#This Row],[ScenarioRev]] - Table1[[#This Row],[ScenarioCostOfGoods]]</f>
        <v>542.80799999999999</v>
      </c>
      <c r="AD399" s="6">
        <v>0.19700000000000001</v>
      </c>
      <c r="AE399" s="6">
        <f>MIN(Table1[[#This Row],[DiscountPct]], WhatIf!$B$2)</f>
        <v>0.19700000000000001</v>
      </c>
      <c r="AF399" s="6">
        <f>IF(Table1[[#This Row],[DiscountPct]]&gt;0.2, 1, 0)</f>
        <v>0</v>
      </c>
      <c r="AG399" s="6" t="str">
        <f t="shared" si="89"/>
        <v>Low</v>
      </c>
      <c r="AH399" s="6">
        <f t="shared" si="90"/>
        <v>0.13629852794835101</v>
      </c>
      <c r="AI399" s="5">
        <v>4</v>
      </c>
      <c r="AJ399" s="6">
        <f>Table1[[#This Row],[Quantity]]*(1+WhatIf!$B$4)</f>
        <v>4.4000000000000004</v>
      </c>
    </row>
    <row r="400" spans="1:36" x14ac:dyDescent="0.3">
      <c r="A400" t="s">
        <v>141</v>
      </c>
      <c r="B400" s="3">
        <v>45450</v>
      </c>
      <c r="C400" s="3">
        <v>45469</v>
      </c>
      <c r="D400" s="3">
        <f t="shared" si="79"/>
        <v>45469</v>
      </c>
      <c r="E400" s="4">
        <f t="shared" si="78"/>
        <v>19</v>
      </c>
      <c r="F400" s="4">
        <f t="shared" si="80"/>
        <v>19</v>
      </c>
      <c r="G400" s="4">
        <f>IF(Table1[[#This Row],[CorrectedLeadTimeDays]]&lt;=7, 1, 0)</f>
        <v>0</v>
      </c>
      <c r="H400" s="4" t="str">
        <f t="shared" si="81"/>
        <v>June</v>
      </c>
      <c r="I400" s="4" t="str">
        <f t="shared" si="82"/>
        <v>Q2-2024</v>
      </c>
      <c r="J400" s="4" t="str">
        <f t="shared" si="83"/>
        <v>2023-01</v>
      </c>
      <c r="K400" s="3">
        <f t="shared" si="84"/>
        <v>44948</v>
      </c>
      <c r="L400" t="s">
        <v>649</v>
      </c>
      <c r="M400" t="s">
        <v>656</v>
      </c>
      <c r="N400" t="s">
        <v>671</v>
      </c>
      <c r="O400" t="s">
        <v>703</v>
      </c>
      <c r="P400" t="s">
        <v>709</v>
      </c>
      <c r="Q400" t="s">
        <v>724</v>
      </c>
      <c r="R400">
        <f t="shared" si="85"/>
        <v>16</v>
      </c>
      <c r="S400" t="s">
        <v>727</v>
      </c>
      <c r="T400" t="s">
        <v>860</v>
      </c>
      <c r="U400" s="4">
        <v>1064.32</v>
      </c>
      <c r="V400" s="4">
        <f>Table1[[#This Row],[UnitCost]]*(1+WhatIf!$B$3)</f>
        <v>1117.5360000000001</v>
      </c>
      <c r="W400" s="4">
        <f t="shared" si="86"/>
        <v>40444.159999999996</v>
      </c>
      <c r="X400" s="4">
        <f>Table1[[#This Row],[ScenarioRev]]-Table1[[#This Row],[ScenarioUnitCost]]</f>
        <v>70504.98875400002</v>
      </c>
      <c r="Y400" s="4">
        <v>1848.39</v>
      </c>
      <c r="Z400" s="4">
        <f t="shared" si="87"/>
        <v>65111.38614000001</v>
      </c>
      <c r="AA400" s="4">
        <f>Table1[[#This Row],[ScenarioQuanity]]*Table1[[#This Row],[UnitPrice]]*(1-Table1[[#This Row],[ScenarioDiscPct]])</f>
        <v>71622.524754000027</v>
      </c>
      <c r="AB400" s="4">
        <f t="shared" si="88"/>
        <v>24667.226140000013</v>
      </c>
      <c r="AC400" s="4">
        <f>Table1[[#This Row],[ScenarioRev]] - Table1[[#This Row],[ScenarioCostOfGoods]]</f>
        <v>1117.5360000000073</v>
      </c>
      <c r="AD400" s="6">
        <v>7.2999999999999995E-2</v>
      </c>
      <c r="AE400" s="6">
        <f>MIN(Table1[[#This Row],[DiscountPct]], WhatIf!$B$2)</f>
        <v>7.2999999999999995E-2</v>
      </c>
      <c r="AF400" s="6">
        <f>IF(Table1[[#This Row],[DiscountPct]]&gt;0.2, 1, 0)</f>
        <v>0</v>
      </c>
      <c r="AG400" s="6" t="str">
        <f t="shared" si="89"/>
        <v>High</v>
      </c>
      <c r="AH400" s="6">
        <f t="shared" si="90"/>
        <v>0.3788465827921631</v>
      </c>
      <c r="AI400" s="5">
        <v>38</v>
      </c>
      <c r="AJ400" s="6">
        <f>Table1[[#This Row],[Quantity]]*(1+WhatIf!$B$4)</f>
        <v>41.800000000000004</v>
      </c>
    </row>
    <row r="401" spans="1:36" x14ac:dyDescent="0.3">
      <c r="A401" t="s">
        <v>24</v>
      </c>
      <c r="B401" s="3">
        <v>45798</v>
      </c>
      <c r="C401" s="3">
        <v>45817</v>
      </c>
      <c r="D401" s="3">
        <f t="shared" si="79"/>
        <v>45817</v>
      </c>
      <c r="E401" s="4">
        <f t="shared" si="78"/>
        <v>19</v>
      </c>
      <c r="F401" s="4">
        <f t="shared" si="80"/>
        <v>19</v>
      </c>
      <c r="G401" s="4">
        <f>IF(Table1[[#This Row],[CorrectedLeadTimeDays]]&lt;=7, 1, 0)</f>
        <v>0</v>
      </c>
      <c r="H401" s="4" t="str">
        <f t="shared" si="81"/>
        <v>May</v>
      </c>
      <c r="I401" s="4" t="str">
        <f t="shared" si="82"/>
        <v>Q2-2025</v>
      </c>
      <c r="J401" s="4" t="str">
        <f t="shared" si="83"/>
        <v>2023-01</v>
      </c>
      <c r="K401" s="3">
        <f t="shared" si="84"/>
        <v>44955</v>
      </c>
      <c r="L401" t="s">
        <v>648</v>
      </c>
      <c r="M401" t="s">
        <v>655</v>
      </c>
      <c r="N401" t="s">
        <v>670</v>
      </c>
      <c r="O401" t="s">
        <v>703</v>
      </c>
      <c r="P401" t="s">
        <v>708</v>
      </c>
      <c r="Q401" t="s">
        <v>720</v>
      </c>
      <c r="R401">
        <f t="shared" si="85"/>
        <v>27</v>
      </c>
      <c r="S401" t="s">
        <v>727</v>
      </c>
      <c r="T401" t="s">
        <v>743</v>
      </c>
      <c r="U401" s="4">
        <v>1331.38</v>
      </c>
      <c r="V401" s="4">
        <f>Table1[[#This Row],[UnitCost]]*(1+WhatIf!$B$3)</f>
        <v>1397.9490000000001</v>
      </c>
      <c r="W401" s="4">
        <f t="shared" si="86"/>
        <v>41272.780000000006</v>
      </c>
      <c r="X401" s="4">
        <f>Table1[[#This Row],[ScenarioRev]]-Table1[[#This Row],[ScenarioUnitCost]]</f>
        <v>65623.403596000004</v>
      </c>
      <c r="Y401" s="4">
        <v>2309.56</v>
      </c>
      <c r="Z401" s="4">
        <f t="shared" si="87"/>
        <v>60928.502359999999</v>
      </c>
      <c r="AA401" s="4">
        <f>Table1[[#This Row],[ScenarioQuanity]]*Table1[[#This Row],[UnitPrice]]*(1-Table1[[#This Row],[ScenarioDiscPct]])</f>
        <v>67021.352595999997</v>
      </c>
      <c r="AB401" s="4">
        <f t="shared" si="88"/>
        <v>19655.722359999992</v>
      </c>
      <c r="AC401" s="4">
        <f>Table1[[#This Row],[ScenarioRev]] - Table1[[#This Row],[ScenarioCostOfGoods]]</f>
        <v>1397.9489999999932</v>
      </c>
      <c r="AD401" s="6">
        <v>0.14899999999999999</v>
      </c>
      <c r="AE401" s="6">
        <f>MIN(Table1[[#This Row],[DiscountPct]], WhatIf!$B$2)</f>
        <v>0.14899999999999999</v>
      </c>
      <c r="AF401" s="6">
        <f>IF(Table1[[#This Row],[DiscountPct]]&gt;0.2, 1, 0)</f>
        <v>0</v>
      </c>
      <c r="AG401" s="6" t="str">
        <f t="shared" si="89"/>
        <v>High</v>
      </c>
      <c r="AH401" s="6">
        <f t="shared" si="90"/>
        <v>0.32260307735553528</v>
      </c>
      <c r="AI401" s="5">
        <v>31</v>
      </c>
      <c r="AJ401" s="6">
        <f>Table1[[#This Row],[Quantity]]*(1+WhatIf!$B$4)</f>
        <v>34.1</v>
      </c>
    </row>
    <row r="402" spans="1:36" x14ac:dyDescent="0.3">
      <c r="A402" t="s">
        <v>250</v>
      </c>
      <c r="B402" s="3">
        <v>45548</v>
      </c>
      <c r="C402" s="3">
        <v>45567</v>
      </c>
      <c r="D402" s="3">
        <f t="shared" si="79"/>
        <v>45567</v>
      </c>
      <c r="E402" s="4">
        <f t="shared" si="78"/>
        <v>19</v>
      </c>
      <c r="F402" s="4">
        <f t="shared" si="80"/>
        <v>19</v>
      </c>
      <c r="G402" s="4">
        <f>IF(Table1[[#This Row],[CorrectedLeadTimeDays]]&lt;=7, 1, 0)</f>
        <v>0</v>
      </c>
      <c r="H402" s="4" t="str">
        <f t="shared" si="81"/>
        <v>September</v>
      </c>
      <c r="I402" s="4" t="str">
        <f t="shared" si="82"/>
        <v>Q3-2024</v>
      </c>
      <c r="J402" s="4" t="str">
        <f t="shared" si="83"/>
        <v>2023-01</v>
      </c>
      <c r="K402" s="3">
        <f t="shared" si="84"/>
        <v>44946</v>
      </c>
      <c r="L402" t="s">
        <v>646</v>
      </c>
      <c r="M402" t="s">
        <v>650</v>
      </c>
      <c r="N402" t="s">
        <v>675</v>
      </c>
      <c r="O402" t="s">
        <v>705</v>
      </c>
      <c r="P402" t="s">
        <v>707</v>
      </c>
      <c r="Q402" t="s">
        <v>724</v>
      </c>
      <c r="R402">
        <f t="shared" si="85"/>
        <v>19</v>
      </c>
      <c r="S402" t="s">
        <v>730</v>
      </c>
      <c r="T402" t="s">
        <v>970</v>
      </c>
      <c r="U402" s="4">
        <v>1338.99</v>
      </c>
      <c r="V402" s="4">
        <f>Table1[[#This Row],[UnitCost]]*(1+WhatIf!$B$3)</f>
        <v>1405.9395000000002</v>
      </c>
      <c r="W402" s="4">
        <f t="shared" si="86"/>
        <v>32135.760000000002</v>
      </c>
      <c r="X402" s="4">
        <f>Table1[[#This Row],[ScenarioRev]]-Table1[[#This Row],[ScenarioUnitCost]]</f>
        <v>39336.500436000002</v>
      </c>
      <c r="Y402" s="4">
        <v>1765.76</v>
      </c>
      <c r="Z402" s="4">
        <f t="shared" si="87"/>
        <v>37038.581760000001</v>
      </c>
      <c r="AA402" s="4">
        <f>Table1[[#This Row],[ScenarioQuanity]]*Table1[[#This Row],[UnitPrice]]*(1-Table1[[#This Row],[ScenarioDiscPct]])</f>
        <v>40742.439936000002</v>
      </c>
      <c r="AB402" s="4">
        <f t="shared" si="88"/>
        <v>4902.8217599999989</v>
      </c>
      <c r="AC402" s="4">
        <f>Table1[[#This Row],[ScenarioRev]] - Table1[[#This Row],[ScenarioCostOfGoods]]</f>
        <v>1405.9395000000004</v>
      </c>
      <c r="AD402" s="6">
        <v>0.126</v>
      </c>
      <c r="AE402" s="6">
        <f>MIN(Table1[[#This Row],[DiscountPct]], WhatIf!$B$2)</f>
        <v>0.126</v>
      </c>
      <c r="AF402" s="6">
        <f>IF(Table1[[#This Row],[DiscountPct]]&gt;0.2, 1, 0)</f>
        <v>0</v>
      </c>
      <c r="AG402" s="6" t="str">
        <f t="shared" si="89"/>
        <v>High</v>
      </c>
      <c r="AH402" s="6">
        <f t="shared" si="90"/>
        <v>0.1323706666677725</v>
      </c>
      <c r="AI402" s="5">
        <v>24</v>
      </c>
      <c r="AJ402" s="6">
        <f>Table1[[#This Row],[Quantity]]*(1+WhatIf!$B$4)</f>
        <v>26.400000000000002</v>
      </c>
    </row>
    <row r="403" spans="1:36" x14ac:dyDescent="0.3">
      <c r="A403" t="s">
        <v>576</v>
      </c>
      <c r="B403" s="3">
        <v>45626</v>
      </c>
      <c r="C403" s="3">
        <v>45645</v>
      </c>
      <c r="D403" s="3">
        <f t="shared" si="79"/>
        <v>45645</v>
      </c>
      <c r="E403" s="4">
        <f t="shared" si="78"/>
        <v>19</v>
      </c>
      <c r="F403" s="4">
        <f t="shared" si="80"/>
        <v>19</v>
      </c>
      <c r="G403" s="4">
        <f>IF(Table1[[#This Row],[CorrectedLeadTimeDays]]&lt;=7, 1, 0)</f>
        <v>0</v>
      </c>
      <c r="H403" s="4" t="str">
        <f t="shared" si="81"/>
        <v>November</v>
      </c>
      <c r="I403" s="4" t="str">
        <f t="shared" si="82"/>
        <v>Q4-2024</v>
      </c>
      <c r="J403" s="4" t="str">
        <f t="shared" si="83"/>
        <v>2023-01</v>
      </c>
      <c r="K403" s="3">
        <f t="shared" si="84"/>
        <v>44946</v>
      </c>
      <c r="L403" t="s">
        <v>646</v>
      </c>
      <c r="M403" t="s">
        <v>650</v>
      </c>
      <c r="N403" t="s">
        <v>662</v>
      </c>
      <c r="O403" t="s">
        <v>701</v>
      </c>
      <c r="P403" t="s">
        <v>708</v>
      </c>
      <c r="Q403" t="s">
        <v>716</v>
      </c>
      <c r="R403">
        <f t="shared" si="85"/>
        <v>22</v>
      </c>
      <c r="S403" t="s">
        <v>730</v>
      </c>
      <c r="T403" t="s">
        <v>1294</v>
      </c>
      <c r="U403" s="4">
        <v>1195.98</v>
      </c>
      <c r="V403" s="4">
        <f>Table1[[#This Row],[UnitCost]]*(1+WhatIf!$B$3)</f>
        <v>1255.779</v>
      </c>
      <c r="W403" s="4">
        <f t="shared" si="86"/>
        <v>22723.62</v>
      </c>
      <c r="X403" s="4">
        <f>Table1[[#This Row],[ScenarioRev]]-Table1[[#This Row],[ScenarioUnitCost]]</f>
        <v>35122.666949999999</v>
      </c>
      <c r="Y403" s="4">
        <v>1841.9</v>
      </c>
      <c r="Z403" s="4">
        <f t="shared" si="87"/>
        <v>33071.3145</v>
      </c>
      <c r="AA403" s="4">
        <f>Table1[[#This Row],[ScenarioQuanity]]*Table1[[#This Row],[UnitPrice]]*(1-Table1[[#This Row],[ScenarioDiscPct]])</f>
        <v>36378.445950000001</v>
      </c>
      <c r="AB403" s="4">
        <f t="shared" si="88"/>
        <v>10347.694500000001</v>
      </c>
      <c r="AC403" s="4">
        <f>Table1[[#This Row],[ScenarioRev]] - Table1[[#This Row],[ScenarioCostOfGoods]]</f>
        <v>1255.7790000000023</v>
      </c>
      <c r="AD403" s="6">
        <v>5.5E-2</v>
      </c>
      <c r="AE403" s="6">
        <f>MIN(Table1[[#This Row],[DiscountPct]], WhatIf!$B$2)</f>
        <v>5.5E-2</v>
      </c>
      <c r="AF403" s="6">
        <f>IF(Table1[[#This Row],[DiscountPct]]&gt;0.2, 1, 0)</f>
        <v>0</v>
      </c>
      <c r="AG403" s="6" t="str">
        <f t="shared" si="89"/>
        <v>High</v>
      </c>
      <c r="AH403" s="6">
        <f t="shared" si="90"/>
        <v>0.31289032977506842</v>
      </c>
      <c r="AI403" s="5">
        <v>19</v>
      </c>
      <c r="AJ403" s="6">
        <f>Table1[[#This Row],[Quantity]]*(1+WhatIf!$B$4)</f>
        <v>20.900000000000002</v>
      </c>
    </row>
    <row r="404" spans="1:36" x14ac:dyDescent="0.3">
      <c r="A404" t="s">
        <v>379</v>
      </c>
      <c r="B404" s="3">
        <v>45737</v>
      </c>
      <c r="C404" s="3">
        <v>45756</v>
      </c>
      <c r="D404" s="3">
        <f t="shared" si="79"/>
        <v>45756</v>
      </c>
      <c r="E404" s="4">
        <f t="shared" si="78"/>
        <v>19</v>
      </c>
      <c r="F404" s="4">
        <f t="shared" si="80"/>
        <v>19</v>
      </c>
      <c r="G404" s="4">
        <f>IF(Table1[[#This Row],[CorrectedLeadTimeDays]]&lt;=7, 1, 0)</f>
        <v>0</v>
      </c>
      <c r="H404" s="4" t="str">
        <f t="shared" si="81"/>
        <v>March</v>
      </c>
      <c r="I404" s="4" t="str">
        <f t="shared" si="82"/>
        <v>Q1-2025</v>
      </c>
      <c r="J404" s="4" t="str">
        <f t="shared" si="83"/>
        <v>2023-03</v>
      </c>
      <c r="K404" s="3">
        <f t="shared" si="84"/>
        <v>44988</v>
      </c>
      <c r="L404" t="s">
        <v>647</v>
      </c>
      <c r="M404" t="s">
        <v>652</v>
      </c>
      <c r="N404" t="s">
        <v>689</v>
      </c>
      <c r="O404" t="s">
        <v>705</v>
      </c>
      <c r="P404" t="s">
        <v>710</v>
      </c>
      <c r="Q404" t="s">
        <v>718</v>
      </c>
      <c r="R404">
        <f t="shared" si="85"/>
        <v>24</v>
      </c>
      <c r="S404" t="s">
        <v>727</v>
      </c>
      <c r="T404" t="s">
        <v>1099</v>
      </c>
      <c r="U404" s="4">
        <v>1055.45</v>
      </c>
      <c r="V404" s="4">
        <f>Table1[[#This Row],[UnitCost]]*(1+WhatIf!$B$3)</f>
        <v>1108.2225000000001</v>
      </c>
      <c r="W404" s="4">
        <f t="shared" si="86"/>
        <v>18998.100000000002</v>
      </c>
      <c r="X404" s="4">
        <f>Table1[[#This Row],[ScenarioRev]]-Table1[[#This Row],[ScenarioUnitCost]]</f>
        <v>22634.940372000001</v>
      </c>
      <c r="Y404" s="4">
        <v>1210.04</v>
      </c>
      <c r="Z404" s="4">
        <f t="shared" si="87"/>
        <v>21584.693520000001</v>
      </c>
      <c r="AA404" s="4">
        <f>Table1[[#This Row],[ScenarioQuanity]]*Table1[[#This Row],[UnitPrice]]*(1-Table1[[#This Row],[ScenarioDiscPct]])</f>
        <v>23743.162872000001</v>
      </c>
      <c r="AB404" s="4">
        <f t="shared" si="88"/>
        <v>2586.5935199999985</v>
      </c>
      <c r="AC404" s="4">
        <f>Table1[[#This Row],[ScenarioRev]] - Table1[[#This Row],[ScenarioCostOfGoods]]</f>
        <v>1108.2224999999999</v>
      </c>
      <c r="AD404" s="6">
        <v>8.9999999999999993E-3</v>
      </c>
      <c r="AE404" s="6">
        <f>MIN(Table1[[#This Row],[DiscountPct]], WhatIf!$B$2)</f>
        <v>8.9999999999999993E-3</v>
      </c>
      <c r="AF404" s="6">
        <f>IF(Table1[[#This Row],[DiscountPct]]&gt;0.2, 1, 0)</f>
        <v>0</v>
      </c>
      <c r="AG404" s="6" t="str">
        <f t="shared" si="89"/>
        <v>High</v>
      </c>
      <c r="AH404" s="6">
        <f t="shared" si="90"/>
        <v>0.1198346188053727</v>
      </c>
      <c r="AI404" s="5">
        <v>18</v>
      </c>
      <c r="AJ404" s="6">
        <f>Table1[[#This Row],[Quantity]]*(1+WhatIf!$B$4)</f>
        <v>19.8</v>
      </c>
    </row>
    <row r="405" spans="1:36" x14ac:dyDescent="0.3">
      <c r="A405" t="s">
        <v>83</v>
      </c>
      <c r="B405" s="3">
        <v>45157</v>
      </c>
      <c r="C405" s="3">
        <v>45176</v>
      </c>
      <c r="D405" s="3">
        <f t="shared" si="79"/>
        <v>45176</v>
      </c>
      <c r="E405" s="4">
        <f t="shared" si="78"/>
        <v>19</v>
      </c>
      <c r="F405" s="4">
        <f t="shared" si="80"/>
        <v>19</v>
      </c>
      <c r="G405" s="4">
        <f>IF(Table1[[#This Row],[CorrectedLeadTimeDays]]&lt;=7, 1, 0)</f>
        <v>0</v>
      </c>
      <c r="H405" s="4" t="str">
        <f t="shared" si="81"/>
        <v>August</v>
      </c>
      <c r="I405" s="4" t="str">
        <f t="shared" si="82"/>
        <v>Q3-2023</v>
      </c>
      <c r="J405" s="4" t="str">
        <f t="shared" si="83"/>
        <v>2023-01</v>
      </c>
      <c r="K405" s="3">
        <f t="shared" si="84"/>
        <v>44933</v>
      </c>
      <c r="L405" t="s">
        <v>646</v>
      </c>
      <c r="M405" t="s">
        <v>661</v>
      </c>
      <c r="N405" t="s">
        <v>682</v>
      </c>
      <c r="O405" t="s">
        <v>706</v>
      </c>
      <c r="P405" t="s">
        <v>707</v>
      </c>
      <c r="Q405" t="s">
        <v>726</v>
      </c>
      <c r="R405">
        <f t="shared" si="85"/>
        <v>7</v>
      </c>
      <c r="S405" t="s">
        <v>732</v>
      </c>
      <c r="T405" t="s">
        <v>802</v>
      </c>
      <c r="U405" s="4">
        <v>494.61</v>
      </c>
      <c r="V405" s="4">
        <f>Table1[[#This Row],[UnitCost]]*(1+WhatIf!$B$3)</f>
        <v>519.34050000000002</v>
      </c>
      <c r="W405" s="4">
        <f t="shared" si="86"/>
        <v>8902.98</v>
      </c>
      <c r="X405" s="4">
        <f>Table1[[#This Row],[ScenarioRev]]-Table1[[#This Row],[ScenarioUnitCost]]</f>
        <v>9067.5027000000009</v>
      </c>
      <c r="Y405" s="4">
        <v>605.23</v>
      </c>
      <c r="Z405" s="4">
        <f t="shared" si="87"/>
        <v>8671.7354400000004</v>
      </c>
      <c r="AA405" s="4">
        <f>Table1[[#This Row],[ScenarioQuanity]]*Table1[[#This Row],[UnitPrice]]*(1-Table1[[#This Row],[ScenarioDiscPct]])</f>
        <v>9586.8432000000012</v>
      </c>
      <c r="AB405" s="4">
        <f t="shared" si="88"/>
        <v>-231.24455999999918</v>
      </c>
      <c r="AC405" s="4">
        <f>Table1[[#This Row],[ScenarioRev]] - Table1[[#This Row],[ScenarioCostOfGoods]]</f>
        <v>519.34050000000025</v>
      </c>
      <c r="AD405" s="6">
        <v>0.20399999999999999</v>
      </c>
      <c r="AE405" s="6">
        <f>MIN(Table1[[#This Row],[DiscountPct]], WhatIf!$B$2)</f>
        <v>0.2</v>
      </c>
      <c r="AF405" s="6">
        <f>IF(Table1[[#This Row],[DiscountPct]]&gt;0.2, 1, 0)</f>
        <v>1</v>
      </c>
      <c r="AG405" s="6" t="str">
        <f t="shared" si="89"/>
        <v>Low</v>
      </c>
      <c r="AH405" s="6">
        <f t="shared" si="90"/>
        <v>-2.6666468505639647E-2</v>
      </c>
      <c r="AI405" s="5">
        <v>18</v>
      </c>
      <c r="AJ405" s="6">
        <f>Table1[[#This Row],[Quantity]]*(1+WhatIf!$B$4)</f>
        <v>19.8</v>
      </c>
    </row>
    <row r="406" spans="1:36" x14ac:dyDescent="0.3">
      <c r="A406" t="s">
        <v>115</v>
      </c>
      <c r="B406" s="3">
        <v>45684</v>
      </c>
      <c r="C406" s="3">
        <v>45703</v>
      </c>
      <c r="D406" s="3">
        <f t="shared" si="79"/>
        <v>45703</v>
      </c>
      <c r="E406" s="4">
        <f t="shared" si="78"/>
        <v>19</v>
      </c>
      <c r="F406" s="4">
        <f t="shared" si="80"/>
        <v>19</v>
      </c>
      <c r="G406" s="4">
        <f>IF(Table1[[#This Row],[CorrectedLeadTimeDays]]&lt;=7, 1, 0)</f>
        <v>0</v>
      </c>
      <c r="H406" s="4" t="str">
        <f t="shared" si="81"/>
        <v>January</v>
      </c>
      <c r="I406" s="4" t="str">
        <f t="shared" si="82"/>
        <v>Q1-2025</v>
      </c>
      <c r="J406" s="4" t="str">
        <f t="shared" si="83"/>
        <v>2023-01</v>
      </c>
      <c r="K406" s="3">
        <f t="shared" si="84"/>
        <v>44938</v>
      </c>
      <c r="L406" t="s">
        <v>647</v>
      </c>
      <c r="M406" t="s">
        <v>659</v>
      </c>
      <c r="N406" t="s">
        <v>676</v>
      </c>
      <c r="O406" t="s">
        <v>703</v>
      </c>
      <c r="P406" t="s">
        <v>711</v>
      </c>
      <c r="Q406" t="s">
        <v>716</v>
      </c>
      <c r="R406">
        <f t="shared" si="85"/>
        <v>24</v>
      </c>
      <c r="S406" t="s">
        <v>730</v>
      </c>
      <c r="T406" t="s">
        <v>834</v>
      </c>
      <c r="U406" s="4">
        <v>1253.22</v>
      </c>
      <c r="V406" s="4">
        <f>Table1[[#This Row],[UnitCost]]*(1+WhatIf!$B$3)</f>
        <v>1315.8810000000001</v>
      </c>
      <c r="W406" s="4">
        <f t="shared" si="86"/>
        <v>21304.74</v>
      </c>
      <c r="X406" s="4">
        <f>Table1[[#This Row],[ScenarioRev]]-Table1[[#This Row],[ScenarioUnitCost]]</f>
        <v>56742.196000000011</v>
      </c>
      <c r="Y406" s="4">
        <v>3104.71</v>
      </c>
      <c r="Z406" s="4">
        <f t="shared" si="87"/>
        <v>52780.07</v>
      </c>
      <c r="AA406" s="4">
        <f>Table1[[#This Row],[ScenarioQuanity]]*Table1[[#This Row],[UnitPrice]]*(1-Table1[[#This Row],[ScenarioDiscPct]])</f>
        <v>58058.077000000012</v>
      </c>
      <c r="AB406" s="4">
        <f t="shared" si="88"/>
        <v>31475.329999999998</v>
      </c>
      <c r="AC406" s="4">
        <f>Table1[[#This Row],[ScenarioRev]] - Table1[[#This Row],[ScenarioCostOfGoods]]</f>
        <v>1315.8810000000012</v>
      </c>
      <c r="AD406" s="6">
        <v>0</v>
      </c>
      <c r="AE406" s="6">
        <f>MIN(Table1[[#This Row],[DiscountPct]], WhatIf!$B$2)</f>
        <v>0</v>
      </c>
      <c r="AF406" s="6">
        <f>IF(Table1[[#This Row],[DiscountPct]]&gt;0.2, 1, 0)</f>
        <v>0</v>
      </c>
      <c r="AG406" s="6" t="str">
        <f t="shared" si="89"/>
        <v>High</v>
      </c>
      <c r="AH406" s="6">
        <f t="shared" si="90"/>
        <v>0.59634877331538205</v>
      </c>
      <c r="AI406" s="5">
        <v>17</v>
      </c>
      <c r="AJ406" s="6">
        <f>Table1[[#This Row],[Quantity]]*(1+WhatIf!$B$4)</f>
        <v>18.700000000000003</v>
      </c>
    </row>
    <row r="407" spans="1:36" x14ac:dyDescent="0.3">
      <c r="A407" t="s">
        <v>45</v>
      </c>
      <c r="B407" s="3">
        <v>45653</v>
      </c>
      <c r="C407" s="3">
        <v>45672</v>
      </c>
      <c r="D407" s="3">
        <f t="shared" si="79"/>
        <v>45672</v>
      </c>
      <c r="E407" s="4">
        <f t="shared" si="78"/>
        <v>19</v>
      </c>
      <c r="F407" s="4">
        <f t="shared" si="80"/>
        <v>19</v>
      </c>
      <c r="G407" s="4">
        <f>IF(Table1[[#This Row],[CorrectedLeadTimeDays]]&lt;=7, 1, 0)</f>
        <v>0</v>
      </c>
      <c r="H407" s="4" t="str">
        <f t="shared" si="81"/>
        <v>December</v>
      </c>
      <c r="I407" s="4" t="str">
        <f t="shared" si="82"/>
        <v>Q4-2024</v>
      </c>
      <c r="J407" s="4" t="str">
        <f t="shared" si="83"/>
        <v>2023-01</v>
      </c>
      <c r="K407" s="3">
        <f t="shared" si="84"/>
        <v>44955</v>
      </c>
      <c r="L407" t="s">
        <v>647</v>
      </c>
      <c r="M407" t="s">
        <v>654</v>
      </c>
      <c r="N407" t="s">
        <v>680</v>
      </c>
      <c r="O407" t="s">
        <v>703</v>
      </c>
      <c r="P407" t="s">
        <v>710</v>
      </c>
      <c r="Q407" t="s">
        <v>715</v>
      </c>
      <c r="R407">
        <f t="shared" si="85"/>
        <v>22</v>
      </c>
      <c r="S407" t="s">
        <v>727</v>
      </c>
      <c r="T407" t="s">
        <v>764</v>
      </c>
      <c r="U407" s="4">
        <v>495.59</v>
      </c>
      <c r="V407" s="4">
        <f>Table1[[#This Row],[UnitCost]]*(1+WhatIf!$B$3)</f>
        <v>520.36950000000002</v>
      </c>
      <c r="W407" s="4">
        <f t="shared" si="86"/>
        <v>8425.0299999999988</v>
      </c>
      <c r="X407" s="4">
        <f>Table1[[#This Row],[ScenarioRev]]-Table1[[#This Row],[ScenarioUnitCost]]</f>
        <v>10266.073618000002</v>
      </c>
      <c r="Y407" s="4">
        <v>631.78</v>
      </c>
      <c r="Z407" s="4">
        <f t="shared" si="87"/>
        <v>9805.8573800000013</v>
      </c>
      <c r="AA407" s="4">
        <f>Table1[[#This Row],[ScenarioQuanity]]*Table1[[#This Row],[UnitPrice]]*(1-Table1[[#This Row],[ScenarioDiscPct]])</f>
        <v>10786.443118000003</v>
      </c>
      <c r="AB407" s="4">
        <f t="shared" si="88"/>
        <v>1380.8273800000024</v>
      </c>
      <c r="AC407" s="4">
        <f>Table1[[#This Row],[ScenarioRev]] - Table1[[#This Row],[ScenarioCostOfGoods]]</f>
        <v>520.3695000000007</v>
      </c>
      <c r="AD407" s="6">
        <v>8.6999999999999994E-2</v>
      </c>
      <c r="AE407" s="6">
        <f>MIN(Table1[[#This Row],[DiscountPct]], WhatIf!$B$2)</f>
        <v>8.6999999999999994E-2</v>
      </c>
      <c r="AF407" s="6">
        <f>IF(Table1[[#This Row],[DiscountPct]]&gt;0.2, 1, 0)</f>
        <v>0</v>
      </c>
      <c r="AG407" s="6" t="str">
        <f t="shared" si="89"/>
        <v>Low</v>
      </c>
      <c r="AH407" s="6">
        <f t="shared" si="90"/>
        <v>0.14081658813601899</v>
      </c>
      <c r="AI407" s="5">
        <v>17</v>
      </c>
      <c r="AJ407" s="6">
        <f>Table1[[#This Row],[Quantity]]*(1+WhatIf!$B$4)</f>
        <v>18.700000000000003</v>
      </c>
    </row>
    <row r="408" spans="1:36" x14ac:dyDescent="0.3">
      <c r="A408" t="s">
        <v>564</v>
      </c>
      <c r="B408" s="3">
        <v>45633</v>
      </c>
      <c r="C408" s="3">
        <v>45652</v>
      </c>
      <c r="D408" s="3">
        <f t="shared" si="79"/>
        <v>45652</v>
      </c>
      <c r="E408" s="4">
        <f t="shared" si="78"/>
        <v>19</v>
      </c>
      <c r="F408" s="4">
        <f t="shared" si="80"/>
        <v>19</v>
      </c>
      <c r="G408" s="4">
        <f>IF(Table1[[#This Row],[CorrectedLeadTimeDays]]&lt;=7, 1, 0)</f>
        <v>0</v>
      </c>
      <c r="H408" s="4" t="str">
        <f t="shared" si="81"/>
        <v>December</v>
      </c>
      <c r="I408" s="4" t="str">
        <f t="shared" si="82"/>
        <v>Q4-2024</v>
      </c>
      <c r="J408" s="4" t="str">
        <f t="shared" si="83"/>
        <v>2023-01</v>
      </c>
      <c r="K408" s="3">
        <f t="shared" si="84"/>
        <v>44945</v>
      </c>
      <c r="L408" t="s">
        <v>649</v>
      </c>
      <c r="M408" t="s">
        <v>658</v>
      </c>
      <c r="N408" t="s">
        <v>683</v>
      </c>
      <c r="O408" t="s">
        <v>706</v>
      </c>
      <c r="P408" t="s">
        <v>708</v>
      </c>
      <c r="Q408" t="s">
        <v>726</v>
      </c>
      <c r="R408">
        <f t="shared" si="85"/>
        <v>22</v>
      </c>
      <c r="S408" t="s">
        <v>729</v>
      </c>
      <c r="T408" t="s">
        <v>1282</v>
      </c>
      <c r="U408" s="4">
        <v>1035.24</v>
      </c>
      <c r="V408" s="4">
        <f>Table1[[#This Row],[UnitCost]]*(1+WhatIf!$B$3)</f>
        <v>1087.002</v>
      </c>
      <c r="W408" s="4">
        <f t="shared" si="86"/>
        <v>15528.6</v>
      </c>
      <c r="X408" s="4">
        <f>Table1[[#This Row],[ScenarioRev]]-Table1[[#This Row],[ScenarioUnitCost]]</f>
        <v>31553.797949999996</v>
      </c>
      <c r="Y408" s="4">
        <v>2383.41</v>
      </c>
      <c r="Z408" s="4">
        <f t="shared" si="87"/>
        <v>29673.454499999993</v>
      </c>
      <c r="AA408" s="4">
        <f>Table1[[#This Row],[ScenarioQuanity]]*Table1[[#This Row],[UnitPrice]]*(1-Table1[[#This Row],[ScenarioDiscPct]])</f>
        <v>32640.799949999997</v>
      </c>
      <c r="AB408" s="4">
        <f t="shared" si="88"/>
        <v>14144.854499999992</v>
      </c>
      <c r="AC408" s="4">
        <f>Table1[[#This Row],[ScenarioRev]] - Table1[[#This Row],[ScenarioCostOfGoods]]</f>
        <v>1087.0020000000004</v>
      </c>
      <c r="AD408" s="6">
        <v>0.17</v>
      </c>
      <c r="AE408" s="6">
        <f>MIN(Table1[[#This Row],[DiscountPct]], WhatIf!$B$2)</f>
        <v>0.17</v>
      </c>
      <c r="AF408" s="6">
        <f>IF(Table1[[#This Row],[DiscountPct]]&gt;0.2, 1, 0)</f>
        <v>0</v>
      </c>
      <c r="AG408" s="6" t="str">
        <f t="shared" si="89"/>
        <v>High</v>
      </c>
      <c r="AH408" s="6">
        <f t="shared" si="90"/>
        <v>0.47668378145860962</v>
      </c>
      <c r="AI408" s="5">
        <v>15</v>
      </c>
      <c r="AJ408" s="6">
        <f>Table1[[#This Row],[Quantity]]*(1+WhatIf!$B$4)</f>
        <v>16.5</v>
      </c>
    </row>
    <row r="409" spans="1:36" x14ac:dyDescent="0.3">
      <c r="A409" t="s">
        <v>306</v>
      </c>
      <c r="B409" s="3">
        <v>45220</v>
      </c>
      <c r="C409" s="3">
        <v>45239</v>
      </c>
      <c r="D409" s="3">
        <f t="shared" si="79"/>
        <v>45239</v>
      </c>
      <c r="E409" s="4">
        <f t="shared" si="78"/>
        <v>19</v>
      </c>
      <c r="F409" s="4">
        <f t="shared" si="80"/>
        <v>19</v>
      </c>
      <c r="G409" s="4">
        <f>IF(Table1[[#This Row],[CorrectedLeadTimeDays]]&lt;=7, 1, 0)</f>
        <v>0</v>
      </c>
      <c r="H409" s="4" t="str">
        <f t="shared" si="81"/>
        <v>October</v>
      </c>
      <c r="I409" s="4" t="str">
        <f t="shared" si="82"/>
        <v>Q4-2023</v>
      </c>
      <c r="J409" s="4" t="str">
        <f t="shared" si="83"/>
        <v>2023-01</v>
      </c>
      <c r="K409" s="3">
        <f t="shared" si="84"/>
        <v>44945</v>
      </c>
      <c r="L409" t="s">
        <v>649</v>
      </c>
      <c r="M409" t="s">
        <v>658</v>
      </c>
      <c r="N409" t="s">
        <v>683</v>
      </c>
      <c r="O409" t="s">
        <v>703</v>
      </c>
      <c r="P409" t="s">
        <v>711</v>
      </c>
      <c r="Q409" t="s">
        <v>720</v>
      </c>
      <c r="R409">
        <f t="shared" si="85"/>
        <v>9</v>
      </c>
      <c r="S409" t="s">
        <v>733</v>
      </c>
      <c r="T409" t="s">
        <v>1026</v>
      </c>
      <c r="U409" s="4">
        <v>1142.48</v>
      </c>
      <c r="V409" s="4">
        <f>Table1[[#This Row],[UnitCost]]*(1+WhatIf!$B$3)</f>
        <v>1199.604</v>
      </c>
      <c r="W409" s="4">
        <f t="shared" si="86"/>
        <v>15994.720000000001</v>
      </c>
      <c r="X409" s="4">
        <f>Table1[[#This Row],[ScenarioRev]]-Table1[[#This Row],[ScenarioUnitCost]]</f>
        <v>24740.525600000008</v>
      </c>
      <c r="Y409" s="4">
        <v>2105.5300000000002</v>
      </c>
      <c r="Z409" s="4">
        <f t="shared" si="87"/>
        <v>23375.594060000003</v>
      </c>
      <c r="AA409" s="4">
        <f>Table1[[#This Row],[ScenarioQuanity]]*Table1[[#This Row],[UnitPrice]]*(1-Table1[[#This Row],[ScenarioDiscPct]])</f>
        <v>25940.129600000007</v>
      </c>
      <c r="AB409" s="4">
        <f t="shared" si="88"/>
        <v>7380.8740600000019</v>
      </c>
      <c r="AC409" s="4">
        <f>Table1[[#This Row],[ScenarioRev]] - Table1[[#This Row],[ScenarioCostOfGoods]]</f>
        <v>1199.6039999999994</v>
      </c>
      <c r="AD409" s="6">
        <v>0.20699999999999999</v>
      </c>
      <c r="AE409" s="6">
        <f>MIN(Table1[[#This Row],[DiscountPct]], WhatIf!$B$2)</f>
        <v>0.2</v>
      </c>
      <c r="AF409" s="6">
        <f>IF(Table1[[#This Row],[DiscountPct]]&gt;0.2, 1, 0)</f>
        <v>1</v>
      </c>
      <c r="AG409" s="6" t="str">
        <f t="shared" si="89"/>
        <v>High</v>
      </c>
      <c r="AH409" s="6">
        <f t="shared" si="90"/>
        <v>0.31575129346680658</v>
      </c>
      <c r="AI409" s="5">
        <v>14</v>
      </c>
      <c r="AJ409" s="6">
        <f>Table1[[#This Row],[Quantity]]*(1+WhatIf!$B$4)</f>
        <v>15.400000000000002</v>
      </c>
    </row>
    <row r="410" spans="1:36" x14ac:dyDescent="0.3">
      <c r="A410" t="s">
        <v>323</v>
      </c>
      <c r="B410" s="3">
        <v>44936</v>
      </c>
      <c r="C410" s="3">
        <v>44955</v>
      </c>
      <c r="D410" s="3">
        <f t="shared" si="79"/>
        <v>44955</v>
      </c>
      <c r="E410" s="4">
        <f t="shared" si="78"/>
        <v>19</v>
      </c>
      <c r="F410" s="4">
        <f t="shared" si="80"/>
        <v>19</v>
      </c>
      <c r="G410" s="4">
        <f>IF(Table1[[#This Row],[CorrectedLeadTimeDays]]&lt;=7, 1, 0)</f>
        <v>0</v>
      </c>
      <c r="H410" s="4" t="str">
        <f t="shared" si="81"/>
        <v>January</v>
      </c>
      <c r="I410" s="4" t="str">
        <f t="shared" si="82"/>
        <v>Q1-2023</v>
      </c>
      <c r="J410" s="4" t="str">
        <f t="shared" si="83"/>
        <v>2023-01</v>
      </c>
      <c r="K410" s="3">
        <f t="shared" si="84"/>
        <v>44936</v>
      </c>
      <c r="L410" t="s">
        <v>649</v>
      </c>
      <c r="M410" t="s">
        <v>657</v>
      </c>
      <c r="N410" t="s">
        <v>679</v>
      </c>
      <c r="O410" t="s">
        <v>703</v>
      </c>
      <c r="P410" t="s">
        <v>711</v>
      </c>
      <c r="Q410" t="s">
        <v>726</v>
      </c>
      <c r="R410">
        <f t="shared" si="85"/>
        <v>0</v>
      </c>
      <c r="S410" t="s">
        <v>731</v>
      </c>
      <c r="T410" t="s">
        <v>1043</v>
      </c>
      <c r="U410" s="4">
        <v>401.66</v>
      </c>
      <c r="V410" s="4">
        <f>Table1[[#This Row],[UnitCost]]*(1+WhatIf!$B$3)</f>
        <v>421.74300000000005</v>
      </c>
      <c r="W410" s="4">
        <f t="shared" si="86"/>
        <v>5623.2400000000007</v>
      </c>
      <c r="X410" s="4">
        <f>Table1[[#This Row],[ScenarioRev]]-Table1[[#This Row],[ScenarioUnitCost]]</f>
        <v>10410.216446000002</v>
      </c>
      <c r="Y410" s="4">
        <v>772.09</v>
      </c>
      <c r="Z410" s="4">
        <f t="shared" si="87"/>
        <v>9847.2358600000007</v>
      </c>
      <c r="AA410" s="4">
        <f>Table1[[#This Row],[ScenarioQuanity]]*Table1[[#This Row],[UnitPrice]]*(1-Table1[[#This Row],[ScenarioDiscPct]])</f>
        <v>10831.959446000003</v>
      </c>
      <c r="AB410" s="4">
        <f t="shared" si="88"/>
        <v>4223.99586</v>
      </c>
      <c r="AC410" s="4">
        <f>Table1[[#This Row],[ScenarioRev]] - Table1[[#This Row],[ScenarioCostOfGoods]]</f>
        <v>421.74300000000039</v>
      </c>
      <c r="AD410" s="6">
        <v>8.8999999999999996E-2</v>
      </c>
      <c r="AE410" s="6">
        <f>MIN(Table1[[#This Row],[DiscountPct]], WhatIf!$B$2)</f>
        <v>8.8999999999999996E-2</v>
      </c>
      <c r="AF410" s="6">
        <f>IF(Table1[[#This Row],[DiscountPct]]&gt;0.2, 1, 0)</f>
        <v>0</v>
      </c>
      <c r="AG410" s="6" t="str">
        <f t="shared" si="89"/>
        <v>Low</v>
      </c>
      <c r="AH410" s="6">
        <f t="shared" si="90"/>
        <v>0.42895244107619046</v>
      </c>
      <c r="AI410" s="5">
        <v>14</v>
      </c>
      <c r="AJ410" s="6">
        <f>Table1[[#This Row],[Quantity]]*(1+WhatIf!$B$4)</f>
        <v>15.400000000000002</v>
      </c>
    </row>
    <row r="411" spans="1:36" x14ac:dyDescent="0.3">
      <c r="A411" t="s">
        <v>101</v>
      </c>
      <c r="B411" s="3">
        <v>45388</v>
      </c>
      <c r="C411" s="3">
        <v>45407</v>
      </c>
      <c r="D411" s="3">
        <f t="shared" si="79"/>
        <v>45407</v>
      </c>
      <c r="E411" s="4">
        <f t="shared" si="78"/>
        <v>19</v>
      </c>
      <c r="F411" s="4">
        <f t="shared" si="80"/>
        <v>19</v>
      </c>
      <c r="G411" s="4">
        <f>IF(Table1[[#This Row],[CorrectedLeadTimeDays]]&lt;=7, 1, 0)</f>
        <v>0</v>
      </c>
      <c r="H411" s="4" t="str">
        <f t="shared" si="81"/>
        <v>April</v>
      </c>
      <c r="I411" s="4" t="str">
        <f t="shared" si="82"/>
        <v>Q2-2024</v>
      </c>
      <c r="J411" s="4" t="str">
        <f t="shared" si="83"/>
        <v>2023-01</v>
      </c>
      <c r="K411" s="3">
        <f t="shared" si="84"/>
        <v>44938</v>
      </c>
      <c r="L411" t="s">
        <v>647</v>
      </c>
      <c r="M411" t="s">
        <v>659</v>
      </c>
      <c r="N411" t="s">
        <v>685</v>
      </c>
      <c r="O411" t="s">
        <v>701</v>
      </c>
      <c r="P411" t="s">
        <v>707</v>
      </c>
      <c r="Q411" t="s">
        <v>723</v>
      </c>
      <c r="R411">
        <f t="shared" si="85"/>
        <v>14</v>
      </c>
      <c r="S411" t="s">
        <v>727</v>
      </c>
      <c r="T411" t="s">
        <v>820</v>
      </c>
      <c r="U411" s="4">
        <v>1366.48</v>
      </c>
      <c r="V411" s="4">
        <f>Table1[[#This Row],[UnitCost]]*(1+WhatIf!$B$3)</f>
        <v>1434.8040000000001</v>
      </c>
      <c r="W411" s="4">
        <f t="shared" si="86"/>
        <v>13664.8</v>
      </c>
      <c r="X411" s="4">
        <f>Table1[[#This Row],[ScenarioRev]]-Table1[[#This Row],[ScenarioUnitCost]]</f>
        <v>14181.966840000001</v>
      </c>
      <c r="Y411" s="4">
        <v>1678.14</v>
      </c>
      <c r="Z411" s="4">
        <f t="shared" si="87"/>
        <v>14197.064400000001</v>
      </c>
      <c r="AA411" s="4">
        <f>Table1[[#This Row],[ScenarioQuanity]]*Table1[[#This Row],[UnitPrice]]*(1-Table1[[#This Row],[ScenarioDiscPct]])</f>
        <v>15616.770840000001</v>
      </c>
      <c r="AB411" s="4">
        <f t="shared" si="88"/>
        <v>532.26440000000184</v>
      </c>
      <c r="AC411" s="4">
        <f>Table1[[#This Row],[ScenarioRev]] - Table1[[#This Row],[ScenarioCostOfGoods]]</f>
        <v>1434.8040000000001</v>
      </c>
      <c r="AD411" s="6">
        <v>0.154</v>
      </c>
      <c r="AE411" s="6">
        <f>MIN(Table1[[#This Row],[DiscountPct]], WhatIf!$B$2)</f>
        <v>0.154</v>
      </c>
      <c r="AF411" s="6">
        <f>IF(Table1[[#This Row],[DiscountPct]]&gt;0.2, 1, 0)</f>
        <v>0</v>
      </c>
      <c r="AG411" s="6" t="str">
        <f t="shared" si="89"/>
        <v>High</v>
      </c>
      <c r="AH411" s="6">
        <f t="shared" si="90"/>
        <v>3.7491159087790132E-2</v>
      </c>
      <c r="AI411" s="5">
        <v>10</v>
      </c>
      <c r="AJ411" s="6">
        <f>Table1[[#This Row],[Quantity]]*(1+WhatIf!$B$4)</f>
        <v>11</v>
      </c>
    </row>
    <row r="412" spans="1:36" x14ac:dyDescent="0.3">
      <c r="A412" t="s">
        <v>505</v>
      </c>
      <c r="B412" s="3">
        <v>45523</v>
      </c>
      <c r="C412" s="3">
        <v>45542</v>
      </c>
      <c r="D412" s="3">
        <f t="shared" si="79"/>
        <v>45542</v>
      </c>
      <c r="E412" s="4">
        <f t="shared" si="78"/>
        <v>19</v>
      </c>
      <c r="F412" s="4">
        <f t="shared" si="80"/>
        <v>19</v>
      </c>
      <c r="G412" s="4">
        <f>IF(Table1[[#This Row],[CorrectedLeadTimeDays]]&lt;=7, 1, 0)</f>
        <v>0</v>
      </c>
      <c r="H412" s="4" t="str">
        <f t="shared" si="81"/>
        <v>August</v>
      </c>
      <c r="I412" s="4" t="str">
        <f t="shared" si="82"/>
        <v>Q3-2024</v>
      </c>
      <c r="J412" s="4" t="str">
        <f t="shared" si="83"/>
        <v>2023-01</v>
      </c>
      <c r="K412" s="3">
        <f t="shared" si="84"/>
        <v>44936</v>
      </c>
      <c r="L412" t="s">
        <v>649</v>
      </c>
      <c r="M412" t="s">
        <v>657</v>
      </c>
      <c r="N412" t="s">
        <v>679</v>
      </c>
      <c r="O412" t="s">
        <v>701</v>
      </c>
      <c r="P412" t="s">
        <v>711</v>
      </c>
      <c r="Q412" t="s">
        <v>713</v>
      </c>
      <c r="R412">
        <f t="shared" si="85"/>
        <v>19</v>
      </c>
      <c r="S412" t="s">
        <v>727</v>
      </c>
      <c r="T412" t="s">
        <v>1224</v>
      </c>
      <c r="U412" s="4">
        <v>297.58999999999997</v>
      </c>
      <c r="V412" s="4">
        <f>Table1[[#This Row],[UnitCost]]*(1+WhatIf!$B$3)</f>
        <v>312.46949999999998</v>
      </c>
      <c r="W412" s="4">
        <f t="shared" si="86"/>
        <v>2975.8999999999996</v>
      </c>
      <c r="X412" s="4">
        <f>Table1[[#This Row],[ScenarioRev]]-Table1[[#This Row],[ScenarioUnitCost]]</f>
        <v>7018.0404999999992</v>
      </c>
      <c r="Y412" s="4">
        <v>666.41</v>
      </c>
      <c r="Z412" s="4">
        <f t="shared" si="87"/>
        <v>6664.0999999999995</v>
      </c>
      <c r="AA412" s="4">
        <f>Table1[[#This Row],[ScenarioQuanity]]*Table1[[#This Row],[UnitPrice]]*(1-Table1[[#This Row],[ScenarioDiscPct]])</f>
        <v>7330.5099999999993</v>
      </c>
      <c r="AB412" s="4">
        <f t="shared" si="88"/>
        <v>3688.2</v>
      </c>
      <c r="AC412" s="4">
        <f>Table1[[#This Row],[ScenarioRev]] - Table1[[#This Row],[ScenarioCostOfGoods]]</f>
        <v>312.46950000000015</v>
      </c>
      <c r="AD412" s="6">
        <v>0</v>
      </c>
      <c r="AE412" s="6">
        <f>MIN(Table1[[#This Row],[DiscountPct]], WhatIf!$B$2)</f>
        <v>0</v>
      </c>
      <c r="AF412" s="6">
        <f>IF(Table1[[#This Row],[DiscountPct]]&gt;0.2, 1, 0)</f>
        <v>0</v>
      </c>
      <c r="AG412" s="6" t="str">
        <f t="shared" si="89"/>
        <v>Low</v>
      </c>
      <c r="AH412" s="6">
        <f t="shared" si="90"/>
        <v>0.55344307558409989</v>
      </c>
      <c r="AI412" s="5">
        <v>10</v>
      </c>
      <c r="AJ412" s="6">
        <f>Table1[[#This Row],[Quantity]]*(1+WhatIf!$B$4)</f>
        <v>11</v>
      </c>
    </row>
    <row r="413" spans="1:36" x14ac:dyDescent="0.3">
      <c r="A413" t="s">
        <v>368</v>
      </c>
      <c r="B413" s="3">
        <v>45603</v>
      </c>
      <c r="C413" s="3">
        <v>45622</v>
      </c>
      <c r="D413" s="3">
        <f t="shared" si="79"/>
        <v>45622</v>
      </c>
      <c r="E413" s="4">
        <f t="shared" si="78"/>
        <v>19</v>
      </c>
      <c r="F413" s="4">
        <f t="shared" si="80"/>
        <v>19</v>
      </c>
      <c r="G413" s="4">
        <f>IF(Table1[[#This Row],[CorrectedLeadTimeDays]]&lt;=7, 1, 0)</f>
        <v>0</v>
      </c>
      <c r="H413" s="4" t="str">
        <f t="shared" si="81"/>
        <v>November</v>
      </c>
      <c r="I413" s="4" t="str">
        <f t="shared" si="82"/>
        <v>Q4-2024</v>
      </c>
      <c r="J413" s="4" t="str">
        <f t="shared" si="83"/>
        <v>2023-01</v>
      </c>
      <c r="K413" s="3">
        <f t="shared" si="84"/>
        <v>44955</v>
      </c>
      <c r="L413" t="s">
        <v>648</v>
      </c>
      <c r="M413" t="s">
        <v>655</v>
      </c>
      <c r="N413" t="s">
        <v>692</v>
      </c>
      <c r="O413" t="s">
        <v>703</v>
      </c>
      <c r="P413" t="s">
        <v>710</v>
      </c>
      <c r="Q413" t="s">
        <v>713</v>
      </c>
      <c r="R413">
        <f t="shared" si="85"/>
        <v>21</v>
      </c>
      <c r="S413" t="s">
        <v>728</v>
      </c>
      <c r="T413" t="s">
        <v>1088</v>
      </c>
      <c r="U413" s="4">
        <v>55.35</v>
      </c>
      <c r="V413" s="4">
        <f>Table1[[#This Row],[UnitCost]]*(1+WhatIf!$B$3)</f>
        <v>58.117500000000007</v>
      </c>
      <c r="W413" s="4">
        <f t="shared" si="86"/>
        <v>553.5</v>
      </c>
      <c r="X413" s="4">
        <f>Table1[[#This Row],[ScenarioRev]]-Table1[[#This Row],[ScenarioUnitCost]]</f>
        <v>1176.1810599999999</v>
      </c>
      <c r="Y413" s="4">
        <v>128.68</v>
      </c>
      <c r="Z413" s="4">
        <f t="shared" si="87"/>
        <v>1122.0896000000002</v>
      </c>
      <c r="AA413" s="4">
        <f>Table1[[#This Row],[ScenarioQuanity]]*Table1[[#This Row],[UnitPrice]]*(1-Table1[[#This Row],[ScenarioDiscPct]])</f>
        <v>1234.29856</v>
      </c>
      <c r="AB413" s="4">
        <f t="shared" si="88"/>
        <v>568.58960000000025</v>
      </c>
      <c r="AC413" s="4">
        <f>Table1[[#This Row],[ScenarioRev]] - Table1[[#This Row],[ScenarioCostOfGoods]]</f>
        <v>58.117500000000064</v>
      </c>
      <c r="AD413" s="6">
        <v>0.128</v>
      </c>
      <c r="AE413" s="6">
        <f>MIN(Table1[[#This Row],[DiscountPct]], WhatIf!$B$2)</f>
        <v>0.128</v>
      </c>
      <c r="AF413" s="6">
        <f>IF(Table1[[#This Row],[DiscountPct]]&gt;0.2, 1, 0)</f>
        <v>0</v>
      </c>
      <c r="AG413" s="6" t="str">
        <f t="shared" si="89"/>
        <v>Low</v>
      </c>
      <c r="AH413" s="6">
        <f t="shared" si="90"/>
        <v>0.50672388372550647</v>
      </c>
      <c r="AI413" s="5">
        <v>10</v>
      </c>
      <c r="AJ413" s="6">
        <f>Table1[[#This Row],[Quantity]]*(1+WhatIf!$B$4)</f>
        <v>11</v>
      </c>
    </row>
    <row r="414" spans="1:36" x14ac:dyDescent="0.3">
      <c r="A414" t="s">
        <v>156</v>
      </c>
      <c r="B414" s="3">
        <v>45649</v>
      </c>
      <c r="C414" s="3">
        <v>45668</v>
      </c>
      <c r="D414" s="3">
        <f t="shared" si="79"/>
        <v>45668</v>
      </c>
      <c r="E414" s="4">
        <f t="shared" si="78"/>
        <v>19</v>
      </c>
      <c r="F414" s="4">
        <f t="shared" si="80"/>
        <v>19</v>
      </c>
      <c r="G414" s="4">
        <f>IF(Table1[[#This Row],[CorrectedLeadTimeDays]]&lt;=7, 1, 0)</f>
        <v>0</v>
      </c>
      <c r="H414" s="4" t="str">
        <f t="shared" si="81"/>
        <v>December</v>
      </c>
      <c r="I414" s="4" t="str">
        <f t="shared" si="82"/>
        <v>Q4-2024</v>
      </c>
      <c r="J414" s="4" t="str">
        <f t="shared" si="83"/>
        <v>2023-01</v>
      </c>
      <c r="K414" s="3">
        <f t="shared" si="84"/>
        <v>44948</v>
      </c>
      <c r="L414" t="s">
        <v>649</v>
      </c>
      <c r="M414" t="s">
        <v>656</v>
      </c>
      <c r="N414" t="s">
        <v>671</v>
      </c>
      <c r="O414" t="s">
        <v>702</v>
      </c>
      <c r="P414" t="s">
        <v>707</v>
      </c>
      <c r="Q414" t="s">
        <v>723</v>
      </c>
      <c r="R414">
        <f t="shared" si="85"/>
        <v>23</v>
      </c>
      <c r="S414" t="s">
        <v>730</v>
      </c>
      <c r="T414" t="s">
        <v>875</v>
      </c>
      <c r="U414" s="4">
        <v>501.81</v>
      </c>
      <c r="V414" s="4">
        <f>Table1[[#This Row],[UnitCost]]*(1+WhatIf!$B$3)</f>
        <v>526.90050000000008</v>
      </c>
      <c r="W414" s="4">
        <f t="shared" si="86"/>
        <v>4516.29</v>
      </c>
      <c r="X414" s="4">
        <f>Table1[[#This Row],[ScenarioRev]]-Table1[[#This Row],[ScenarioUnitCost]]</f>
        <v>8505.8971200000015</v>
      </c>
      <c r="Y414" s="4">
        <v>921.62</v>
      </c>
      <c r="Z414" s="4">
        <f t="shared" si="87"/>
        <v>8211.6342000000004</v>
      </c>
      <c r="AA414" s="4">
        <f>Table1[[#This Row],[ScenarioQuanity]]*Table1[[#This Row],[UnitPrice]]*(1-Table1[[#This Row],[ScenarioDiscPct]])</f>
        <v>9032.7976200000012</v>
      </c>
      <c r="AB414" s="4">
        <f t="shared" si="88"/>
        <v>3695.3442000000005</v>
      </c>
      <c r="AC414" s="4">
        <f>Table1[[#This Row],[ScenarioRev]] - Table1[[#This Row],[ScenarioCostOfGoods]]</f>
        <v>526.90049999999974</v>
      </c>
      <c r="AD414" s="6">
        <v>0.01</v>
      </c>
      <c r="AE414" s="6">
        <f>MIN(Table1[[#This Row],[DiscountPct]], WhatIf!$B$2)</f>
        <v>0.01</v>
      </c>
      <c r="AF414" s="6">
        <f>IF(Table1[[#This Row],[DiscountPct]]&gt;0.2, 1, 0)</f>
        <v>0</v>
      </c>
      <c r="AG414" s="6" t="str">
        <f t="shared" si="89"/>
        <v>High</v>
      </c>
      <c r="AH414" s="6">
        <f t="shared" si="90"/>
        <v>0.45001325071202031</v>
      </c>
      <c r="AI414" s="5">
        <v>9</v>
      </c>
      <c r="AJ414" s="6">
        <f>Table1[[#This Row],[Quantity]]*(1+WhatIf!$B$4)</f>
        <v>9.9</v>
      </c>
    </row>
    <row r="415" spans="1:36" x14ac:dyDescent="0.3">
      <c r="A415" t="s">
        <v>254</v>
      </c>
      <c r="B415" s="3">
        <v>45188</v>
      </c>
      <c r="C415" s="3">
        <v>45207</v>
      </c>
      <c r="D415" s="3">
        <f t="shared" si="79"/>
        <v>45207</v>
      </c>
      <c r="E415" s="4">
        <f t="shared" si="78"/>
        <v>19</v>
      </c>
      <c r="F415" s="4">
        <f t="shared" si="80"/>
        <v>19</v>
      </c>
      <c r="G415" s="4">
        <f>IF(Table1[[#This Row],[CorrectedLeadTimeDays]]&lt;=7, 1, 0)</f>
        <v>0</v>
      </c>
      <c r="H415" s="4" t="str">
        <f t="shared" si="81"/>
        <v>September</v>
      </c>
      <c r="I415" s="4" t="str">
        <f t="shared" si="82"/>
        <v>Q3-2023</v>
      </c>
      <c r="J415" s="4" t="str">
        <f t="shared" si="83"/>
        <v>2023-01</v>
      </c>
      <c r="K415" s="3">
        <f t="shared" si="84"/>
        <v>44955</v>
      </c>
      <c r="L415" t="s">
        <v>647</v>
      </c>
      <c r="M415" t="s">
        <v>654</v>
      </c>
      <c r="N415" t="s">
        <v>668</v>
      </c>
      <c r="O415" t="s">
        <v>702</v>
      </c>
      <c r="P415" t="s">
        <v>711</v>
      </c>
      <c r="Q415" t="s">
        <v>713</v>
      </c>
      <c r="R415">
        <f t="shared" si="85"/>
        <v>7</v>
      </c>
      <c r="S415" t="s">
        <v>728</v>
      </c>
      <c r="T415" t="s">
        <v>974</v>
      </c>
      <c r="U415" s="4">
        <v>385.32</v>
      </c>
      <c r="V415" s="4">
        <f>Table1[[#This Row],[UnitCost]]*(1+WhatIf!$B$3)</f>
        <v>404.58600000000001</v>
      </c>
      <c r="W415" s="4">
        <f t="shared" si="86"/>
        <v>3082.56</v>
      </c>
      <c r="X415" s="4">
        <f>Table1[[#This Row],[ScenarioRev]]-Table1[[#This Row],[ScenarioUnitCost]]</f>
        <v>4475.7060320000001</v>
      </c>
      <c r="Y415" s="4">
        <v>606.76</v>
      </c>
      <c r="Z415" s="4">
        <f t="shared" si="87"/>
        <v>4436.6291200000005</v>
      </c>
      <c r="AA415" s="4">
        <f>Table1[[#This Row],[ScenarioQuanity]]*Table1[[#This Row],[UnitPrice]]*(1-Table1[[#This Row],[ScenarioDiscPct]])</f>
        <v>4880.2920320000003</v>
      </c>
      <c r="AB415" s="4">
        <f t="shared" si="88"/>
        <v>1354.0691200000006</v>
      </c>
      <c r="AC415" s="4">
        <f>Table1[[#This Row],[ScenarioRev]] - Table1[[#This Row],[ScenarioCostOfGoods]]</f>
        <v>404.58600000000024</v>
      </c>
      <c r="AD415" s="6">
        <v>8.5999999999999993E-2</v>
      </c>
      <c r="AE415" s="6">
        <f>MIN(Table1[[#This Row],[DiscountPct]], WhatIf!$B$2)</f>
        <v>8.5999999999999993E-2</v>
      </c>
      <c r="AF415" s="6">
        <f>IF(Table1[[#This Row],[DiscountPct]]&gt;0.2, 1, 0)</f>
        <v>0</v>
      </c>
      <c r="AG415" s="6" t="str">
        <f t="shared" si="89"/>
        <v>Low</v>
      </c>
      <c r="AH415" s="6">
        <f t="shared" si="90"/>
        <v>0.30520223425842735</v>
      </c>
      <c r="AI415" s="5">
        <v>8</v>
      </c>
      <c r="AJ415" s="6">
        <f>Table1[[#This Row],[Quantity]]*(1+WhatIf!$B$4)</f>
        <v>8.8000000000000007</v>
      </c>
    </row>
    <row r="416" spans="1:36" x14ac:dyDescent="0.3">
      <c r="A416" t="s">
        <v>577</v>
      </c>
      <c r="B416" s="3">
        <v>45029</v>
      </c>
      <c r="C416" s="3">
        <v>45048</v>
      </c>
      <c r="D416" s="3">
        <f t="shared" si="79"/>
        <v>45048</v>
      </c>
      <c r="E416" s="4">
        <f t="shared" si="78"/>
        <v>19</v>
      </c>
      <c r="F416" s="4">
        <f t="shared" si="80"/>
        <v>19</v>
      </c>
      <c r="G416" s="4">
        <f>IF(Table1[[#This Row],[CorrectedLeadTimeDays]]&lt;=7, 1, 0)</f>
        <v>0</v>
      </c>
      <c r="H416" s="4" t="str">
        <f t="shared" si="81"/>
        <v>April</v>
      </c>
      <c r="I416" s="4" t="str">
        <f t="shared" si="82"/>
        <v>Q2-2023</v>
      </c>
      <c r="J416" s="4" t="str">
        <f t="shared" si="83"/>
        <v>2023-01</v>
      </c>
      <c r="K416" s="3">
        <f t="shared" si="84"/>
        <v>44928</v>
      </c>
      <c r="L416" t="s">
        <v>648</v>
      </c>
      <c r="M416" t="s">
        <v>653</v>
      </c>
      <c r="N416" t="s">
        <v>681</v>
      </c>
      <c r="O416" t="s">
        <v>704</v>
      </c>
      <c r="P416" t="s">
        <v>710</v>
      </c>
      <c r="Q416" t="s">
        <v>718</v>
      </c>
      <c r="R416">
        <f t="shared" si="85"/>
        <v>3</v>
      </c>
      <c r="S416" t="s">
        <v>732</v>
      </c>
      <c r="T416" t="s">
        <v>1295</v>
      </c>
      <c r="U416" s="4">
        <v>671.05</v>
      </c>
      <c r="V416" s="4">
        <f>Table1[[#This Row],[UnitCost]]*(1+WhatIf!$B$3)</f>
        <v>704.60249999999996</v>
      </c>
      <c r="W416" s="4">
        <f t="shared" si="86"/>
        <v>4026.2999999999997</v>
      </c>
      <c r="X416" s="4">
        <f>Table1[[#This Row],[ScenarioRev]]-Table1[[#This Row],[ScenarioUnitCost]]</f>
        <v>8667.7224840000017</v>
      </c>
      <c r="Y416" s="4">
        <v>1645.48</v>
      </c>
      <c r="Z416" s="4">
        <f t="shared" si="87"/>
        <v>8520.2954399999999</v>
      </c>
      <c r="AA416" s="4">
        <f>Table1[[#This Row],[ScenarioQuanity]]*Table1[[#This Row],[UnitPrice]]*(1-Table1[[#This Row],[ScenarioDiscPct]])</f>
        <v>9372.3249840000008</v>
      </c>
      <c r="AB416" s="4">
        <f t="shared" si="88"/>
        <v>4493.9954400000006</v>
      </c>
      <c r="AC416" s="4">
        <f>Table1[[#This Row],[ScenarioRev]] - Table1[[#This Row],[ScenarioCostOfGoods]]</f>
        <v>704.60249999999905</v>
      </c>
      <c r="AD416" s="6">
        <v>0.13700000000000001</v>
      </c>
      <c r="AE416" s="6">
        <f>MIN(Table1[[#This Row],[DiscountPct]], WhatIf!$B$2)</f>
        <v>0.13700000000000001</v>
      </c>
      <c r="AF416" s="6">
        <f>IF(Table1[[#This Row],[DiscountPct]]&gt;0.2, 1, 0)</f>
        <v>0</v>
      </c>
      <c r="AG416" s="6" t="str">
        <f t="shared" si="89"/>
        <v>High</v>
      </c>
      <c r="AH416" s="6">
        <f t="shared" si="90"/>
        <v>0.52744596377517172</v>
      </c>
      <c r="AI416" s="5">
        <v>6</v>
      </c>
      <c r="AJ416" s="6">
        <f>Table1[[#This Row],[Quantity]]*(1+WhatIf!$B$4)</f>
        <v>6.6000000000000005</v>
      </c>
    </row>
    <row r="417" spans="1:36" x14ac:dyDescent="0.3">
      <c r="A417" t="s">
        <v>453</v>
      </c>
      <c r="B417" s="3">
        <v>44978</v>
      </c>
      <c r="C417" s="3">
        <v>44997</v>
      </c>
      <c r="D417" s="3">
        <f t="shared" si="79"/>
        <v>44997</v>
      </c>
      <c r="E417" s="4">
        <f t="shared" si="78"/>
        <v>19</v>
      </c>
      <c r="F417" s="4">
        <f t="shared" si="80"/>
        <v>19</v>
      </c>
      <c r="G417" s="4">
        <f>IF(Table1[[#This Row],[CorrectedLeadTimeDays]]&lt;=7, 1, 0)</f>
        <v>0</v>
      </c>
      <c r="H417" s="4" t="str">
        <f t="shared" si="81"/>
        <v>February</v>
      </c>
      <c r="I417" s="4" t="str">
        <f t="shared" si="82"/>
        <v>Q1-2023</v>
      </c>
      <c r="J417" s="4" t="str">
        <f t="shared" si="83"/>
        <v>2023-01</v>
      </c>
      <c r="K417" s="3">
        <f t="shared" si="84"/>
        <v>44946</v>
      </c>
      <c r="L417" t="s">
        <v>646</v>
      </c>
      <c r="M417" t="s">
        <v>650</v>
      </c>
      <c r="N417" t="s">
        <v>678</v>
      </c>
      <c r="O417" t="s">
        <v>701</v>
      </c>
      <c r="P417" t="s">
        <v>708</v>
      </c>
      <c r="Q417" t="s">
        <v>721</v>
      </c>
      <c r="R417">
        <f t="shared" si="85"/>
        <v>1</v>
      </c>
      <c r="S417" t="s">
        <v>729</v>
      </c>
      <c r="T417" t="s">
        <v>1172</v>
      </c>
      <c r="U417" s="4">
        <v>352.65</v>
      </c>
      <c r="V417" s="4">
        <f>Table1[[#This Row],[UnitCost]]*(1+WhatIf!$B$3)</f>
        <v>370.28249999999997</v>
      </c>
      <c r="W417" s="4">
        <f t="shared" si="86"/>
        <v>2115.8999999999996</v>
      </c>
      <c r="X417" s="4">
        <f>Table1[[#This Row],[ScenarioRev]]-Table1[[#This Row],[ScenarioUnitCost]]</f>
        <v>2704.9197840000006</v>
      </c>
      <c r="Y417" s="4">
        <v>485.86</v>
      </c>
      <c r="Z417" s="4">
        <f t="shared" si="87"/>
        <v>2795.6384399999997</v>
      </c>
      <c r="AA417" s="4">
        <f>Table1[[#This Row],[ScenarioQuanity]]*Table1[[#This Row],[UnitPrice]]*(1-Table1[[#This Row],[ScenarioDiscPct]])</f>
        <v>3075.2022840000004</v>
      </c>
      <c r="AB417" s="4">
        <f t="shared" si="88"/>
        <v>679.73844000000008</v>
      </c>
      <c r="AC417" s="4">
        <f>Table1[[#This Row],[ScenarioRev]] - Table1[[#This Row],[ScenarioCostOfGoods]]</f>
        <v>370.2824999999998</v>
      </c>
      <c r="AD417" s="6">
        <v>4.1000000000000002E-2</v>
      </c>
      <c r="AE417" s="6">
        <f>MIN(Table1[[#This Row],[DiscountPct]], WhatIf!$B$2)</f>
        <v>4.1000000000000002E-2</v>
      </c>
      <c r="AF417" s="6">
        <f>IF(Table1[[#This Row],[DiscountPct]]&gt;0.2, 1, 0)</f>
        <v>0</v>
      </c>
      <c r="AG417" s="6" t="str">
        <f t="shared" si="89"/>
        <v>Low</v>
      </c>
      <c r="AH417" s="6">
        <f t="shared" si="90"/>
        <v>0.24314247159943908</v>
      </c>
      <c r="AI417" s="5">
        <v>6</v>
      </c>
      <c r="AJ417" s="6">
        <f>Table1[[#This Row],[Quantity]]*(1+WhatIf!$B$4)</f>
        <v>6.6000000000000005</v>
      </c>
    </row>
    <row r="418" spans="1:36" x14ac:dyDescent="0.3">
      <c r="A418" t="s">
        <v>84</v>
      </c>
      <c r="B418" s="3">
        <v>45037</v>
      </c>
      <c r="C418" s="3">
        <v>45056</v>
      </c>
      <c r="D418" s="3">
        <f t="shared" si="79"/>
        <v>45056</v>
      </c>
      <c r="E418" s="4">
        <f t="shared" si="78"/>
        <v>19</v>
      </c>
      <c r="F418" s="4">
        <f t="shared" si="80"/>
        <v>19</v>
      </c>
      <c r="G418" s="4">
        <f>IF(Table1[[#This Row],[CorrectedLeadTimeDays]]&lt;=7, 1, 0)</f>
        <v>0</v>
      </c>
      <c r="H418" s="4" t="str">
        <f t="shared" si="81"/>
        <v>April</v>
      </c>
      <c r="I418" s="4" t="str">
        <f t="shared" si="82"/>
        <v>Q2-2023</v>
      </c>
      <c r="J418" s="4" t="str">
        <f t="shared" si="83"/>
        <v>2023-01</v>
      </c>
      <c r="K418" s="3">
        <f t="shared" si="84"/>
        <v>44938</v>
      </c>
      <c r="L418" t="s">
        <v>647</v>
      </c>
      <c r="M418" t="s">
        <v>659</v>
      </c>
      <c r="N418" t="s">
        <v>685</v>
      </c>
      <c r="O418" t="s">
        <v>701</v>
      </c>
      <c r="P418" t="s">
        <v>707</v>
      </c>
      <c r="Q418" t="s">
        <v>720</v>
      </c>
      <c r="R418">
        <f t="shared" si="85"/>
        <v>3</v>
      </c>
      <c r="S418" t="s">
        <v>727</v>
      </c>
      <c r="T418" t="s">
        <v>803</v>
      </c>
      <c r="U418" s="4">
        <v>882.33</v>
      </c>
      <c r="V418" s="4">
        <f>Table1[[#This Row],[UnitCost]]*(1+WhatIf!$B$3)</f>
        <v>926.44650000000013</v>
      </c>
      <c r="W418" s="4">
        <f t="shared" si="86"/>
        <v>4411.6500000000005</v>
      </c>
      <c r="X418" s="4">
        <f>Table1[[#This Row],[ScenarioRev]]-Table1[[#This Row],[ScenarioUnitCost]]</f>
        <v>8897.3372500000005</v>
      </c>
      <c r="Y418" s="4">
        <v>1880.15</v>
      </c>
      <c r="Z418" s="4">
        <f t="shared" si="87"/>
        <v>8930.7124999999996</v>
      </c>
      <c r="AA418" s="4">
        <f>Table1[[#This Row],[ScenarioQuanity]]*Table1[[#This Row],[UnitPrice]]*(1-Table1[[#This Row],[ScenarioDiscPct]])</f>
        <v>9823.7837500000005</v>
      </c>
      <c r="AB418" s="4">
        <f t="shared" si="88"/>
        <v>4519.0624999999991</v>
      </c>
      <c r="AC418" s="4">
        <f>Table1[[#This Row],[ScenarioRev]] - Table1[[#This Row],[ScenarioCostOfGoods]]</f>
        <v>926.44650000000001</v>
      </c>
      <c r="AD418" s="6">
        <v>0.05</v>
      </c>
      <c r="AE418" s="6">
        <f>MIN(Table1[[#This Row],[DiscountPct]], WhatIf!$B$2)</f>
        <v>0.05</v>
      </c>
      <c r="AF418" s="6">
        <f>IF(Table1[[#This Row],[DiscountPct]]&gt;0.2, 1, 0)</f>
        <v>0</v>
      </c>
      <c r="AG418" s="6" t="str">
        <f t="shared" si="89"/>
        <v>High</v>
      </c>
      <c r="AH418" s="6">
        <f t="shared" si="90"/>
        <v>0.50601365792482955</v>
      </c>
      <c r="AI418" s="5">
        <v>5</v>
      </c>
      <c r="AJ418" s="6">
        <f>Table1[[#This Row],[Quantity]]*(1+WhatIf!$B$4)</f>
        <v>5.5</v>
      </c>
    </row>
    <row r="419" spans="1:36" x14ac:dyDescent="0.3">
      <c r="A419" t="s">
        <v>186</v>
      </c>
      <c r="B419" s="3">
        <v>45190</v>
      </c>
      <c r="C419" s="3">
        <v>45209</v>
      </c>
      <c r="D419" s="3">
        <f t="shared" si="79"/>
        <v>45209</v>
      </c>
      <c r="E419" s="4">
        <f t="shared" si="78"/>
        <v>19</v>
      </c>
      <c r="F419" s="4">
        <f t="shared" si="80"/>
        <v>19</v>
      </c>
      <c r="G419" s="4">
        <f>IF(Table1[[#This Row],[CorrectedLeadTimeDays]]&lt;=7, 1, 0)</f>
        <v>0</v>
      </c>
      <c r="H419" s="4" t="str">
        <f t="shared" si="81"/>
        <v>September</v>
      </c>
      <c r="I419" s="4" t="str">
        <f t="shared" si="82"/>
        <v>Q3-2023</v>
      </c>
      <c r="J419" s="4" t="str">
        <f t="shared" si="83"/>
        <v>2023-03</v>
      </c>
      <c r="K419" s="3">
        <f t="shared" si="84"/>
        <v>44988</v>
      </c>
      <c r="L419" t="s">
        <v>647</v>
      </c>
      <c r="M419" t="s">
        <v>652</v>
      </c>
      <c r="N419" t="s">
        <v>689</v>
      </c>
      <c r="O419" t="s">
        <v>702</v>
      </c>
      <c r="P419" t="s">
        <v>708</v>
      </c>
      <c r="Q419" t="s">
        <v>726</v>
      </c>
      <c r="R419">
        <f t="shared" si="85"/>
        <v>6</v>
      </c>
      <c r="S419" t="s">
        <v>727</v>
      </c>
      <c r="T419" t="s">
        <v>905</v>
      </c>
      <c r="U419" s="4">
        <v>845.63</v>
      </c>
      <c r="V419" s="4">
        <f>Table1[[#This Row],[UnitCost]]*(1+WhatIf!$B$3)</f>
        <v>887.91150000000005</v>
      </c>
      <c r="W419" s="4">
        <f t="shared" si="86"/>
        <v>4228.1499999999996</v>
      </c>
      <c r="X419" s="4">
        <f>Table1[[#This Row],[ScenarioRev]]-Table1[[#This Row],[ScenarioUnitCost]]</f>
        <v>8933.9660599999988</v>
      </c>
      <c r="Y419" s="4">
        <v>2062.12</v>
      </c>
      <c r="Z419" s="4">
        <f t="shared" si="87"/>
        <v>8928.9795999999988</v>
      </c>
      <c r="AA419" s="4">
        <f>Table1[[#This Row],[ScenarioQuanity]]*Table1[[#This Row],[UnitPrice]]*(1-Table1[[#This Row],[ScenarioDiscPct]])</f>
        <v>9821.877559999999</v>
      </c>
      <c r="AB419" s="4">
        <f t="shared" si="88"/>
        <v>4700.8295999999991</v>
      </c>
      <c r="AC419" s="4">
        <f>Table1[[#This Row],[ScenarioRev]] - Table1[[#This Row],[ScenarioCostOfGoods]]</f>
        <v>887.91150000000016</v>
      </c>
      <c r="AD419" s="6">
        <v>0.13400000000000001</v>
      </c>
      <c r="AE419" s="6">
        <f>MIN(Table1[[#This Row],[DiscountPct]], WhatIf!$B$2)</f>
        <v>0.13400000000000001</v>
      </c>
      <c r="AF419" s="6">
        <f>IF(Table1[[#This Row],[DiscountPct]]&gt;0.2, 1, 0)</f>
        <v>0</v>
      </c>
      <c r="AG419" s="6" t="str">
        <f t="shared" si="89"/>
        <v>High</v>
      </c>
      <c r="AH419" s="6">
        <f t="shared" si="90"/>
        <v>0.52646884757133949</v>
      </c>
      <c r="AI419" s="5">
        <v>5</v>
      </c>
      <c r="AJ419" s="6">
        <f>Table1[[#This Row],[Quantity]]*(1+WhatIf!$B$4)</f>
        <v>5.5</v>
      </c>
    </row>
    <row r="420" spans="1:36" x14ac:dyDescent="0.3">
      <c r="A420" t="s">
        <v>478</v>
      </c>
      <c r="B420" s="3">
        <v>45865</v>
      </c>
      <c r="C420" s="3">
        <v>45884</v>
      </c>
      <c r="D420" s="3">
        <f t="shared" si="79"/>
        <v>45884</v>
      </c>
      <c r="E420" s="4">
        <f t="shared" si="78"/>
        <v>19</v>
      </c>
      <c r="F420" s="4">
        <f t="shared" si="80"/>
        <v>19</v>
      </c>
      <c r="G420" s="4">
        <f>IF(Table1[[#This Row],[CorrectedLeadTimeDays]]&lt;=7, 1, 0)</f>
        <v>0</v>
      </c>
      <c r="H420" s="4" t="str">
        <f t="shared" si="81"/>
        <v>July</v>
      </c>
      <c r="I420" s="4" t="str">
        <f t="shared" si="82"/>
        <v>Q3-2025</v>
      </c>
      <c r="J420" s="4" t="str">
        <f t="shared" si="83"/>
        <v>2023-03</v>
      </c>
      <c r="K420" s="3">
        <f t="shared" si="84"/>
        <v>44988</v>
      </c>
      <c r="L420" t="s">
        <v>647</v>
      </c>
      <c r="M420" t="s">
        <v>652</v>
      </c>
      <c r="N420" t="s">
        <v>689</v>
      </c>
      <c r="O420" t="s">
        <v>705</v>
      </c>
      <c r="P420" t="s">
        <v>709</v>
      </c>
      <c r="Q420" t="s">
        <v>713</v>
      </c>
      <c r="R420">
        <f t="shared" si="85"/>
        <v>28</v>
      </c>
      <c r="S420" t="s">
        <v>727</v>
      </c>
      <c r="T420" t="s">
        <v>1197</v>
      </c>
      <c r="U420" s="4">
        <v>275.43</v>
      </c>
      <c r="V420" s="4">
        <f>Table1[[#This Row],[UnitCost]]*(1+WhatIf!$B$3)</f>
        <v>289.20150000000001</v>
      </c>
      <c r="W420" s="4">
        <f t="shared" si="86"/>
        <v>1101.72</v>
      </c>
      <c r="X420" s="4">
        <f>Table1[[#This Row],[ScenarioRev]]-Table1[[#This Row],[ScenarioUnitCost]]</f>
        <v>1852.2257</v>
      </c>
      <c r="Y420" s="4">
        <v>608.36</v>
      </c>
      <c r="Z420" s="4">
        <f t="shared" si="87"/>
        <v>1808.04592</v>
      </c>
      <c r="AA420" s="4">
        <f>Table1[[#This Row],[ScenarioQuanity]]*Table1[[#This Row],[UnitPrice]]*(1-Table1[[#This Row],[ScenarioDiscPct]])</f>
        <v>2141.4272000000001</v>
      </c>
      <c r="AB420" s="4">
        <f t="shared" si="88"/>
        <v>706.32592</v>
      </c>
      <c r="AC420" s="4">
        <f>Table1[[#This Row],[ScenarioRev]] - Table1[[#This Row],[ScenarioCostOfGoods]]</f>
        <v>289.20150000000012</v>
      </c>
      <c r="AD420" s="6">
        <v>0.25700000000000001</v>
      </c>
      <c r="AE420" s="6">
        <f>MIN(Table1[[#This Row],[DiscountPct]], WhatIf!$B$2)</f>
        <v>0.2</v>
      </c>
      <c r="AF420" s="6">
        <f>IF(Table1[[#This Row],[DiscountPct]]&gt;0.2, 1, 0)</f>
        <v>1</v>
      </c>
      <c r="AG420" s="6" t="str">
        <f t="shared" si="89"/>
        <v>Low</v>
      </c>
      <c r="AH420" s="6">
        <f t="shared" si="90"/>
        <v>0.39065706915231446</v>
      </c>
      <c r="AI420" s="5">
        <v>4</v>
      </c>
      <c r="AJ420" s="6">
        <f>Table1[[#This Row],[Quantity]]*(1+WhatIf!$B$4)</f>
        <v>4.4000000000000004</v>
      </c>
    </row>
    <row r="421" spans="1:36" x14ac:dyDescent="0.3">
      <c r="A421" t="s">
        <v>190</v>
      </c>
      <c r="B421" s="3">
        <v>45761</v>
      </c>
      <c r="C421" s="3">
        <v>45781</v>
      </c>
      <c r="D421" s="3">
        <f t="shared" si="79"/>
        <v>45781</v>
      </c>
      <c r="E421" s="4">
        <f t="shared" si="78"/>
        <v>20</v>
      </c>
      <c r="F421" s="4">
        <f t="shared" si="80"/>
        <v>20</v>
      </c>
      <c r="G421" s="4">
        <f>IF(Table1[[#This Row],[CorrectedLeadTimeDays]]&lt;=7, 1, 0)</f>
        <v>0</v>
      </c>
      <c r="H421" s="4" t="str">
        <f t="shared" si="81"/>
        <v>April</v>
      </c>
      <c r="I421" s="4" t="str">
        <f t="shared" si="82"/>
        <v>Q2-2025</v>
      </c>
      <c r="J421" s="4" t="str">
        <f t="shared" si="83"/>
        <v>2023-01</v>
      </c>
      <c r="K421" s="3">
        <f t="shared" si="84"/>
        <v>44945</v>
      </c>
      <c r="L421" t="s">
        <v>649</v>
      </c>
      <c r="M421" t="s">
        <v>658</v>
      </c>
      <c r="N421" t="s">
        <v>674</v>
      </c>
      <c r="O421" t="s">
        <v>706</v>
      </c>
      <c r="P421" t="s">
        <v>709</v>
      </c>
      <c r="Q421" t="s">
        <v>723</v>
      </c>
      <c r="R421">
        <f t="shared" si="85"/>
        <v>26</v>
      </c>
      <c r="S421" t="s">
        <v>732</v>
      </c>
      <c r="T421" t="s">
        <v>909</v>
      </c>
      <c r="U421" s="4">
        <v>1413.87</v>
      </c>
      <c r="V421" s="4">
        <f>Table1[[#This Row],[UnitCost]]*(1+WhatIf!$B$3)</f>
        <v>1484.5635</v>
      </c>
      <c r="W421" s="4">
        <f t="shared" si="86"/>
        <v>53727.06</v>
      </c>
      <c r="X421" s="4">
        <f>Table1[[#This Row],[ScenarioRev]]-Table1[[#This Row],[ScenarioUnitCost]]</f>
        <v>108031.4365</v>
      </c>
      <c r="Y421" s="4">
        <v>3275</v>
      </c>
      <c r="Z421" s="4">
        <f t="shared" si="87"/>
        <v>92715.25</v>
      </c>
      <c r="AA421" s="4">
        <f>Table1[[#This Row],[ScenarioQuanity]]*Table1[[#This Row],[UnitPrice]]*(1-Table1[[#This Row],[ScenarioDiscPct]])</f>
        <v>109516</v>
      </c>
      <c r="AB421" s="4">
        <f t="shared" si="88"/>
        <v>38988.19</v>
      </c>
      <c r="AC421" s="4">
        <f>Table1[[#This Row],[ScenarioRev]] - Table1[[#This Row],[ScenarioCostOfGoods]]</f>
        <v>1484.5635000000038</v>
      </c>
      <c r="AD421" s="6">
        <v>0.255</v>
      </c>
      <c r="AE421" s="6">
        <f>MIN(Table1[[#This Row],[DiscountPct]], WhatIf!$B$2)</f>
        <v>0.2</v>
      </c>
      <c r="AF421" s="6">
        <f>IF(Table1[[#This Row],[DiscountPct]]&gt;0.2, 1, 0)</f>
        <v>1</v>
      </c>
      <c r="AG421" s="6" t="str">
        <f t="shared" si="89"/>
        <v>High</v>
      </c>
      <c r="AH421" s="6">
        <f t="shared" si="90"/>
        <v>0.42051539525590453</v>
      </c>
      <c r="AI421" s="5">
        <v>38</v>
      </c>
      <c r="AJ421" s="6">
        <f>Table1[[#This Row],[Quantity]]*(1+WhatIf!$B$4)</f>
        <v>41.800000000000004</v>
      </c>
    </row>
    <row r="422" spans="1:36" x14ac:dyDescent="0.3">
      <c r="A422" t="s">
        <v>520</v>
      </c>
      <c r="B422" s="3">
        <v>45774</v>
      </c>
      <c r="C422" s="3">
        <v>45794</v>
      </c>
      <c r="D422" s="3">
        <f t="shared" si="79"/>
        <v>45794</v>
      </c>
      <c r="E422" s="4">
        <f t="shared" si="78"/>
        <v>20</v>
      </c>
      <c r="F422" s="4">
        <f t="shared" si="80"/>
        <v>20</v>
      </c>
      <c r="G422" s="4">
        <f>IF(Table1[[#This Row],[CorrectedLeadTimeDays]]&lt;=7, 1, 0)</f>
        <v>0</v>
      </c>
      <c r="H422" s="4" t="str">
        <f t="shared" si="81"/>
        <v>April</v>
      </c>
      <c r="I422" s="4" t="str">
        <f t="shared" si="82"/>
        <v>Q2-2025</v>
      </c>
      <c r="J422" s="4" t="str">
        <f t="shared" si="83"/>
        <v>2023-01</v>
      </c>
      <c r="K422" s="3">
        <f t="shared" si="84"/>
        <v>44939</v>
      </c>
      <c r="L422" t="s">
        <v>648</v>
      </c>
      <c r="M422" t="s">
        <v>660</v>
      </c>
      <c r="N422" t="s">
        <v>697</v>
      </c>
      <c r="O422" t="s">
        <v>701</v>
      </c>
      <c r="P422" t="s">
        <v>711</v>
      </c>
      <c r="Q422" t="s">
        <v>725</v>
      </c>
      <c r="R422">
        <f t="shared" si="85"/>
        <v>27</v>
      </c>
      <c r="S422" t="s">
        <v>730</v>
      </c>
      <c r="T422" t="s">
        <v>1239</v>
      </c>
      <c r="U422" s="4">
        <v>932.26</v>
      </c>
      <c r="V422" s="4">
        <f>Table1[[#This Row],[UnitCost]]*(1+WhatIf!$B$3)</f>
        <v>978.87300000000005</v>
      </c>
      <c r="W422" s="4">
        <f t="shared" si="86"/>
        <v>26103.279999999999</v>
      </c>
      <c r="X422" s="4">
        <f>Table1[[#This Row],[ScenarioRev]]-Table1[[#This Row],[ScenarioUnitCost]]</f>
        <v>39052.995800000012</v>
      </c>
      <c r="Y422" s="4">
        <v>1624.67</v>
      </c>
      <c r="Z422" s="4">
        <f t="shared" si="87"/>
        <v>34800.431400000001</v>
      </c>
      <c r="AA422" s="4">
        <f>Table1[[#This Row],[ScenarioQuanity]]*Table1[[#This Row],[UnitPrice]]*(1-Table1[[#This Row],[ScenarioDiscPct]])</f>
        <v>40031.868800000011</v>
      </c>
      <c r="AB422" s="4">
        <f t="shared" si="88"/>
        <v>8697.1514000000025</v>
      </c>
      <c r="AC422" s="4">
        <f>Table1[[#This Row],[ScenarioRev]] - Table1[[#This Row],[ScenarioCostOfGoods]]</f>
        <v>978.87299999999959</v>
      </c>
      <c r="AD422" s="6">
        <v>0.23499999999999999</v>
      </c>
      <c r="AE422" s="6">
        <f>MIN(Table1[[#This Row],[DiscountPct]], WhatIf!$B$2)</f>
        <v>0.2</v>
      </c>
      <c r="AF422" s="6">
        <f>IF(Table1[[#This Row],[DiscountPct]]&gt;0.2, 1, 0)</f>
        <v>1</v>
      </c>
      <c r="AG422" s="6" t="str">
        <f t="shared" si="89"/>
        <v>High</v>
      </c>
      <c r="AH422" s="6">
        <f t="shared" si="90"/>
        <v>0.24991504559337163</v>
      </c>
      <c r="AI422" s="5">
        <v>28</v>
      </c>
      <c r="AJ422" s="6">
        <f>Table1[[#This Row],[Quantity]]*(1+WhatIf!$B$4)</f>
        <v>30.800000000000004</v>
      </c>
    </row>
    <row r="423" spans="1:36" x14ac:dyDescent="0.3">
      <c r="A423" t="s">
        <v>265</v>
      </c>
      <c r="B423" s="3">
        <v>44989</v>
      </c>
      <c r="C423" s="3">
        <v>45009</v>
      </c>
      <c r="D423" s="3">
        <f t="shared" si="79"/>
        <v>45009</v>
      </c>
      <c r="E423" s="4">
        <f t="shared" si="78"/>
        <v>20</v>
      </c>
      <c r="F423" s="4">
        <f t="shared" si="80"/>
        <v>20</v>
      </c>
      <c r="G423" s="4">
        <f>IF(Table1[[#This Row],[CorrectedLeadTimeDays]]&lt;=7, 1, 0)</f>
        <v>0</v>
      </c>
      <c r="H423" s="4" t="str">
        <f t="shared" si="81"/>
        <v>March</v>
      </c>
      <c r="I423" s="4" t="str">
        <f t="shared" si="82"/>
        <v>Q1-2023</v>
      </c>
      <c r="J423" s="4" t="str">
        <f t="shared" si="83"/>
        <v>2023-01</v>
      </c>
      <c r="K423" s="3">
        <f t="shared" si="84"/>
        <v>44928</v>
      </c>
      <c r="L423" t="s">
        <v>648</v>
      </c>
      <c r="M423" t="s">
        <v>653</v>
      </c>
      <c r="N423" t="s">
        <v>681</v>
      </c>
      <c r="O423" t="s">
        <v>704</v>
      </c>
      <c r="P423" t="s">
        <v>710</v>
      </c>
      <c r="Q423" t="s">
        <v>714</v>
      </c>
      <c r="R423">
        <f t="shared" si="85"/>
        <v>2</v>
      </c>
      <c r="S423" t="s">
        <v>731</v>
      </c>
      <c r="T423" t="s">
        <v>985</v>
      </c>
      <c r="U423" s="4">
        <v>481.71</v>
      </c>
      <c r="V423" s="4">
        <f>Table1[[#This Row],[UnitCost]]*(1+WhatIf!$B$3)</f>
        <v>505.7955</v>
      </c>
      <c r="W423" s="4">
        <f t="shared" si="86"/>
        <v>11561.039999999999</v>
      </c>
      <c r="X423" s="4">
        <f>Table1[[#This Row],[ScenarioRev]]-Table1[[#This Row],[ScenarioUnitCost]]</f>
        <v>18765.148500000003</v>
      </c>
      <c r="Y423" s="4">
        <v>912.45</v>
      </c>
      <c r="Z423" s="4">
        <f t="shared" si="87"/>
        <v>17453.3436</v>
      </c>
      <c r="AA423" s="4">
        <f>Table1[[#This Row],[ScenarioQuanity]]*Table1[[#This Row],[UnitPrice]]*(1-Table1[[#This Row],[ScenarioDiscPct]])</f>
        <v>19270.944000000003</v>
      </c>
      <c r="AB423" s="4">
        <f t="shared" si="88"/>
        <v>5892.3036000000011</v>
      </c>
      <c r="AC423" s="4">
        <f>Table1[[#This Row],[ScenarioRev]] - Table1[[#This Row],[ScenarioCostOfGoods]]</f>
        <v>505.79550000000017</v>
      </c>
      <c r="AD423" s="6">
        <v>0.20300000000000001</v>
      </c>
      <c r="AE423" s="6">
        <f>MIN(Table1[[#This Row],[DiscountPct]], WhatIf!$B$2)</f>
        <v>0.2</v>
      </c>
      <c r="AF423" s="6">
        <f>IF(Table1[[#This Row],[DiscountPct]]&gt;0.2, 1, 0)</f>
        <v>1</v>
      </c>
      <c r="AG423" s="6" t="str">
        <f t="shared" si="89"/>
        <v>High</v>
      </c>
      <c r="AH423" s="6">
        <f t="shared" si="90"/>
        <v>0.33760313983619739</v>
      </c>
      <c r="AI423" s="5">
        <v>24</v>
      </c>
      <c r="AJ423" s="6">
        <f>Table1[[#This Row],[Quantity]]*(1+WhatIf!$B$4)</f>
        <v>26.400000000000002</v>
      </c>
    </row>
    <row r="424" spans="1:36" x14ac:dyDescent="0.3">
      <c r="A424" t="s">
        <v>259</v>
      </c>
      <c r="B424" s="3">
        <v>45357</v>
      </c>
      <c r="C424" s="3">
        <v>45377</v>
      </c>
      <c r="D424" s="3">
        <f t="shared" si="79"/>
        <v>45377</v>
      </c>
      <c r="E424" s="4">
        <f t="shared" si="78"/>
        <v>20</v>
      </c>
      <c r="F424" s="4">
        <f t="shared" si="80"/>
        <v>20</v>
      </c>
      <c r="G424" s="4">
        <f>IF(Table1[[#This Row],[CorrectedLeadTimeDays]]&lt;=7, 1, 0)</f>
        <v>0</v>
      </c>
      <c r="H424" s="4" t="str">
        <f t="shared" si="81"/>
        <v>March</v>
      </c>
      <c r="I424" s="4" t="str">
        <f t="shared" si="82"/>
        <v>Q1-2024</v>
      </c>
      <c r="J424" s="4" t="str">
        <f t="shared" si="83"/>
        <v>2023-01</v>
      </c>
      <c r="K424" s="3">
        <f t="shared" si="84"/>
        <v>44941</v>
      </c>
      <c r="L424" t="s">
        <v>646</v>
      </c>
      <c r="M424" t="s">
        <v>651</v>
      </c>
      <c r="N424" t="s">
        <v>663</v>
      </c>
      <c r="O424" t="s">
        <v>704</v>
      </c>
      <c r="P424" t="s">
        <v>709</v>
      </c>
      <c r="Q424" t="s">
        <v>714</v>
      </c>
      <c r="R424">
        <f t="shared" si="85"/>
        <v>13</v>
      </c>
      <c r="S424" t="s">
        <v>730</v>
      </c>
      <c r="T424" t="s">
        <v>979</v>
      </c>
      <c r="U424" s="4">
        <v>65.64</v>
      </c>
      <c r="V424" s="4">
        <f>Table1[[#This Row],[UnitCost]]*(1+WhatIf!$B$3)</f>
        <v>68.921999999999997</v>
      </c>
      <c r="W424" s="4">
        <f t="shared" si="86"/>
        <v>1509.72</v>
      </c>
      <c r="X424" s="4">
        <f>Table1[[#This Row],[ScenarioRev]]-Table1[[#This Row],[ScenarioUnitCost]]</f>
        <v>3131.9338119999998</v>
      </c>
      <c r="Y424" s="4">
        <v>151.88</v>
      </c>
      <c r="Z424" s="4">
        <f t="shared" si="87"/>
        <v>2909.8689199999999</v>
      </c>
      <c r="AA424" s="4">
        <f>Table1[[#This Row],[ScenarioQuanity]]*Table1[[#This Row],[UnitPrice]]*(1-Table1[[#This Row],[ScenarioDiscPct]])</f>
        <v>3200.8558119999998</v>
      </c>
      <c r="AB424" s="4">
        <f t="shared" si="88"/>
        <v>1400.1489199999999</v>
      </c>
      <c r="AC424" s="4">
        <f>Table1[[#This Row],[ScenarioRev]] - Table1[[#This Row],[ScenarioCostOfGoods]]</f>
        <v>68.922000000000025</v>
      </c>
      <c r="AD424" s="6">
        <v>0.16700000000000001</v>
      </c>
      <c r="AE424" s="6">
        <f>MIN(Table1[[#This Row],[DiscountPct]], WhatIf!$B$2)</f>
        <v>0.16700000000000001</v>
      </c>
      <c r="AF424" s="6">
        <f>IF(Table1[[#This Row],[DiscountPct]]&gt;0.2, 1, 0)</f>
        <v>0</v>
      </c>
      <c r="AG424" s="6" t="str">
        <f t="shared" si="89"/>
        <v>Low</v>
      </c>
      <c r="AH424" s="6">
        <f t="shared" si="90"/>
        <v>0.48117250587356353</v>
      </c>
      <c r="AI424" s="5">
        <v>23</v>
      </c>
      <c r="AJ424" s="6">
        <f>Table1[[#This Row],[Quantity]]*(1+WhatIf!$B$4)</f>
        <v>25.3</v>
      </c>
    </row>
    <row r="425" spans="1:36" x14ac:dyDescent="0.3">
      <c r="A425" t="s">
        <v>350</v>
      </c>
      <c r="B425" s="3">
        <v>45484</v>
      </c>
      <c r="C425" s="3">
        <v>45504</v>
      </c>
      <c r="D425" s="3">
        <f t="shared" si="79"/>
        <v>45504</v>
      </c>
      <c r="E425" s="4">
        <f t="shared" si="78"/>
        <v>20</v>
      </c>
      <c r="F425" s="4">
        <f t="shared" si="80"/>
        <v>20</v>
      </c>
      <c r="G425" s="4">
        <f>IF(Table1[[#This Row],[CorrectedLeadTimeDays]]&lt;=7, 1, 0)</f>
        <v>0</v>
      </c>
      <c r="H425" s="4" t="str">
        <f t="shared" si="81"/>
        <v>July</v>
      </c>
      <c r="I425" s="4" t="str">
        <f t="shared" si="82"/>
        <v>Q3-2024</v>
      </c>
      <c r="J425" s="4" t="str">
        <f t="shared" si="83"/>
        <v>2023-01</v>
      </c>
      <c r="K425" s="3">
        <f t="shared" si="84"/>
        <v>44938</v>
      </c>
      <c r="L425" t="s">
        <v>647</v>
      </c>
      <c r="M425" t="s">
        <v>659</v>
      </c>
      <c r="N425" t="s">
        <v>676</v>
      </c>
      <c r="O425" t="s">
        <v>704</v>
      </c>
      <c r="P425" t="s">
        <v>708</v>
      </c>
      <c r="Q425" t="s">
        <v>715</v>
      </c>
      <c r="R425">
        <f t="shared" si="85"/>
        <v>17</v>
      </c>
      <c r="S425" t="s">
        <v>730</v>
      </c>
      <c r="T425" t="s">
        <v>1070</v>
      </c>
      <c r="U425" s="4">
        <v>647.26</v>
      </c>
      <c r="V425" s="4">
        <f>Table1[[#This Row],[UnitCost]]*(1+WhatIf!$B$3)</f>
        <v>679.62300000000005</v>
      </c>
      <c r="W425" s="4">
        <f t="shared" si="86"/>
        <v>14239.72</v>
      </c>
      <c r="X425" s="4">
        <f>Table1[[#This Row],[ScenarioRev]]-Table1[[#This Row],[ScenarioUnitCost]]</f>
        <v>30392.898216000001</v>
      </c>
      <c r="Y425" s="4">
        <v>1374.72</v>
      </c>
      <c r="Z425" s="4">
        <f t="shared" si="87"/>
        <v>28247.74656</v>
      </c>
      <c r="AA425" s="4">
        <f>Table1[[#This Row],[ScenarioQuanity]]*Table1[[#This Row],[UnitPrice]]*(1-Table1[[#This Row],[ScenarioDiscPct]])</f>
        <v>31072.521216000001</v>
      </c>
      <c r="AB425" s="4">
        <f t="shared" si="88"/>
        <v>14008.02656</v>
      </c>
      <c r="AC425" s="4">
        <f>Table1[[#This Row],[ScenarioRev]] - Table1[[#This Row],[ScenarioCostOfGoods]]</f>
        <v>679.62299999999959</v>
      </c>
      <c r="AD425" s="6">
        <v>6.6000000000000003E-2</v>
      </c>
      <c r="AE425" s="6">
        <f>MIN(Table1[[#This Row],[DiscountPct]], WhatIf!$B$2)</f>
        <v>6.6000000000000003E-2</v>
      </c>
      <c r="AF425" s="6">
        <f>IF(Table1[[#This Row],[DiscountPct]]&gt;0.2, 1, 0)</f>
        <v>0</v>
      </c>
      <c r="AG425" s="6" t="str">
        <f t="shared" si="89"/>
        <v>High</v>
      </c>
      <c r="AH425" s="6">
        <f t="shared" si="90"/>
        <v>0.49589890401508901</v>
      </c>
      <c r="AI425" s="5">
        <v>22</v>
      </c>
      <c r="AJ425" s="6">
        <f>Table1[[#This Row],[Quantity]]*(1+WhatIf!$B$4)</f>
        <v>24.200000000000003</v>
      </c>
    </row>
    <row r="426" spans="1:36" x14ac:dyDescent="0.3">
      <c r="A426" t="s">
        <v>450</v>
      </c>
      <c r="B426" s="3">
        <v>45650</v>
      </c>
      <c r="C426" s="3">
        <v>45670</v>
      </c>
      <c r="D426" s="3">
        <f t="shared" si="79"/>
        <v>45670</v>
      </c>
      <c r="E426" s="4">
        <f t="shared" si="78"/>
        <v>20</v>
      </c>
      <c r="F426" s="4">
        <f t="shared" si="80"/>
        <v>20</v>
      </c>
      <c r="G426" s="4">
        <f>IF(Table1[[#This Row],[CorrectedLeadTimeDays]]&lt;=7, 1, 0)</f>
        <v>0</v>
      </c>
      <c r="H426" s="4" t="str">
        <f t="shared" si="81"/>
        <v>December</v>
      </c>
      <c r="I426" s="4" t="str">
        <f t="shared" si="82"/>
        <v>Q4-2024</v>
      </c>
      <c r="J426" s="4" t="str">
        <f t="shared" si="83"/>
        <v>2023-01</v>
      </c>
      <c r="K426" s="3">
        <f t="shared" si="84"/>
        <v>44955</v>
      </c>
      <c r="L426" t="s">
        <v>647</v>
      </c>
      <c r="M426" t="s">
        <v>654</v>
      </c>
      <c r="N426" t="s">
        <v>668</v>
      </c>
      <c r="O426" t="s">
        <v>701</v>
      </c>
      <c r="P426" t="s">
        <v>709</v>
      </c>
      <c r="Q426" t="s">
        <v>726</v>
      </c>
      <c r="R426">
        <f t="shared" si="85"/>
        <v>22</v>
      </c>
      <c r="S426" t="s">
        <v>729</v>
      </c>
      <c r="T426" t="s">
        <v>1169</v>
      </c>
      <c r="U426" s="4">
        <v>126.15</v>
      </c>
      <c r="V426" s="4">
        <f>Table1[[#This Row],[UnitCost]]*(1+WhatIf!$B$3)</f>
        <v>132.45750000000001</v>
      </c>
      <c r="W426" s="4">
        <f t="shared" si="86"/>
        <v>2775.3</v>
      </c>
      <c r="X426" s="4">
        <f>Table1[[#This Row],[ScenarioRev]]-Table1[[#This Row],[ScenarioUnitCost]]</f>
        <v>5968.6531420000001</v>
      </c>
      <c r="Y426" s="4">
        <v>284.23</v>
      </c>
      <c r="Z426" s="4">
        <f t="shared" si="87"/>
        <v>5546.4642200000008</v>
      </c>
      <c r="AA426" s="4">
        <f>Table1[[#This Row],[ScenarioQuanity]]*Table1[[#This Row],[UnitPrice]]*(1-Table1[[#This Row],[ScenarioDiscPct]])</f>
        <v>6101.1106420000006</v>
      </c>
      <c r="AB426" s="4">
        <f t="shared" si="88"/>
        <v>2771.1642200000006</v>
      </c>
      <c r="AC426" s="4">
        <f>Table1[[#This Row],[ScenarioRev]] - Table1[[#This Row],[ScenarioCostOfGoods]]</f>
        <v>132.45750000000044</v>
      </c>
      <c r="AD426" s="6">
        <v>0.113</v>
      </c>
      <c r="AE426" s="6">
        <f>MIN(Table1[[#This Row],[DiscountPct]], WhatIf!$B$2)</f>
        <v>0.113</v>
      </c>
      <c r="AF426" s="6">
        <f>IF(Table1[[#This Row],[DiscountPct]]&gt;0.2, 1, 0)</f>
        <v>0</v>
      </c>
      <c r="AG426" s="6" t="str">
        <f t="shared" si="89"/>
        <v>Low</v>
      </c>
      <c r="AH426" s="6">
        <f t="shared" si="90"/>
        <v>0.49962716968541088</v>
      </c>
      <c r="AI426" s="5">
        <v>22</v>
      </c>
      <c r="AJ426" s="6">
        <f>Table1[[#This Row],[Quantity]]*(1+WhatIf!$B$4)</f>
        <v>24.200000000000003</v>
      </c>
    </row>
    <row r="427" spans="1:36" x14ac:dyDescent="0.3">
      <c r="A427" t="s">
        <v>548</v>
      </c>
      <c r="B427" s="3">
        <v>45832</v>
      </c>
      <c r="C427" s="3">
        <v>45852</v>
      </c>
      <c r="D427" s="3">
        <f t="shared" si="79"/>
        <v>45852</v>
      </c>
      <c r="E427" s="4">
        <f t="shared" si="78"/>
        <v>20</v>
      </c>
      <c r="F427" s="4">
        <f t="shared" si="80"/>
        <v>20</v>
      </c>
      <c r="G427" s="4">
        <f>IF(Table1[[#This Row],[CorrectedLeadTimeDays]]&lt;=7, 1, 0)</f>
        <v>0</v>
      </c>
      <c r="H427" s="4" t="str">
        <f t="shared" si="81"/>
        <v>June</v>
      </c>
      <c r="I427" s="4" t="str">
        <f t="shared" si="82"/>
        <v>Q2-2025</v>
      </c>
      <c r="J427" s="4" t="str">
        <f t="shared" si="83"/>
        <v>2023-01</v>
      </c>
      <c r="K427" s="3">
        <f t="shared" si="84"/>
        <v>44933</v>
      </c>
      <c r="L427" t="s">
        <v>646</v>
      </c>
      <c r="M427" t="s">
        <v>661</v>
      </c>
      <c r="N427" t="s">
        <v>682</v>
      </c>
      <c r="O427" t="s">
        <v>706</v>
      </c>
      <c r="P427" t="s">
        <v>709</v>
      </c>
      <c r="Q427" t="s">
        <v>713</v>
      </c>
      <c r="R427">
        <f t="shared" si="85"/>
        <v>29</v>
      </c>
      <c r="S427" t="s">
        <v>731</v>
      </c>
      <c r="T427" t="s">
        <v>1267</v>
      </c>
      <c r="U427" s="4">
        <v>1151.06</v>
      </c>
      <c r="V427" s="4">
        <f>Table1[[#This Row],[UnitCost]]*(1+WhatIf!$B$3)</f>
        <v>1208.6130000000001</v>
      </c>
      <c r="W427" s="4">
        <f t="shared" si="86"/>
        <v>23021.199999999997</v>
      </c>
      <c r="X427" s="4">
        <f>Table1[[#This Row],[ScenarioRev]]-Table1[[#This Row],[ScenarioUnitCost]]</f>
        <v>48447.323000000011</v>
      </c>
      <c r="Y427" s="4">
        <v>2821.36</v>
      </c>
      <c r="Z427" s="4">
        <f t="shared" si="87"/>
        <v>42433.254400000005</v>
      </c>
      <c r="AA427" s="4">
        <f>Table1[[#This Row],[ScenarioQuanity]]*Table1[[#This Row],[UnitPrice]]*(1-Table1[[#This Row],[ScenarioDiscPct]])</f>
        <v>49655.936000000009</v>
      </c>
      <c r="AB427" s="4">
        <f t="shared" si="88"/>
        <v>19412.054400000008</v>
      </c>
      <c r="AC427" s="4">
        <f>Table1[[#This Row],[ScenarioRev]] - Table1[[#This Row],[ScenarioCostOfGoods]]</f>
        <v>1208.6129999999976</v>
      </c>
      <c r="AD427" s="6">
        <v>0.248</v>
      </c>
      <c r="AE427" s="6">
        <f>MIN(Table1[[#This Row],[DiscountPct]], WhatIf!$B$2)</f>
        <v>0.2</v>
      </c>
      <c r="AF427" s="6">
        <f>IF(Table1[[#This Row],[DiscountPct]]&gt;0.2, 1, 0)</f>
        <v>1</v>
      </c>
      <c r="AG427" s="6" t="str">
        <f t="shared" si="89"/>
        <v>High</v>
      </c>
      <c r="AH427" s="6">
        <f t="shared" si="90"/>
        <v>0.45747267501594235</v>
      </c>
      <c r="AI427" s="5">
        <v>20</v>
      </c>
      <c r="AJ427" s="6">
        <f>Table1[[#This Row],[Quantity]]*(1+WhatIf!$B$4)</f>
        <v>22</v>
      </c>
    </row>
    <row r="428" spans="1:36" x14ac:dyDescent="0.3">
      <c r="A428" t="s">
        <v>287</v>
      </c>
      <c r="B428" s="3">
        <v>45131</v>
      </c>
      <c r="C428" s="3">
        <v>45151</v>
      </c>
      <c r="D428" s="3">
        <f t="shared" si="79"/>
        <v>45151</v>
      </c>
      <c r="E428" s="4">
        <f t="shared" si="78"/>
        <v>20</v>
      </c>
      <c r="F428" s="4">
        <f t="shared" si="80"/>
        <v>20</v>
      </c>
      <c r="G428" s="4">
        <f>IF(Table1[[#This Row],[CorrectedLeadTimeDays]]&lt;=7, 1, 0)</f>
        <v>0</v>
      </c>
      <c r="H428" s="4" t="str">
        <f t="shared" si="81"/>
        <v>July</v>
      </c>
      <c r="I428" s="4" t="str">
        <f t="shared" si="82"/>
        <v>Q3-2023</v>
      </c>
      <c r="J428" s="4" t="str">
        <f t="shared" si="83"/>
        <v>2023-01</v>
      </c>
      <c r="K428" s="3">
        <f t="shared" si="84"/>
        <v>44928</v>
      </c>
      <c r="L428" t="s">
        <v>648</v>
      </c>
      <c r="M428" t="s">
        <v>653</v>
      </c>
      <c r="N428" t="s">
        <v>681</v>
      </c>
      <c r="O428" t="s">
        <v>702</v>
      </c>
      <c r="P428" t="s">
        <v>711</v>
      </c>
      <c r="Q428" t="s">
        <v>712</v>
      </c>
      <c r="R428">
        <f t="shared" si="85"/>
        <v>6</v>
      </c>
      <c r="S428" t="s">
        <v>732</v>
      </c>
      <c r="T428" t="s">
        <v>1007</v>
      </c>
      <c r="U428" s="4">
        <v>1082.3800000000001</v>
      </c>
      <c r="V428" s="4">
        <f>Table1[[#This Row],[UnitCost]]*(1+WhatIf!$B$3)</f>
        <v>1136.4990000000003</v>
      </c>
      <c r="W428" s="4">
        <f t="shared" si="86"/>
        <v>21647.600000000002</v>
      </c>
      <c r="X428" s="4">
        <f>Table1[[#This Row],[ScenarioRev]]-Table1[[#This Row],[ScenarioUnitCost]]</f>
        <v>31353.888599999998</v>
      </c>
      <c r="Y428" s="4">
        <v>1766.55</v>
      </c>
      <c r="Z428" s="4">
        <f t="shared" si="87"/>
        <v>29536.716</v>
      </c>
      <c r="AA428" s="4">
        <f>Table1[[#This Row],[ScenarioQuanity]]*Table1[[#This Row],[UnitPrice]]*(1-Table1[[#This Row],[ScenarioDiscPct]])</f>
        <v>32490.387599999998</v>
      </c>
      <c r="AB428" s="4">
        <f t="shared" si="88"/>
        <v>7889.1159999999982</v>
      </c>
      <c r="AC428" s="4">
        <f>Table1[[#This Row],[ScenarioRev]] - Table1[[#This Row],[ScenarioCostOfGoods]]</f>
        <v>1136.4989999999998</v>
      </c>
      <c r="AD428" s="6">
        <v>0.16400000000000001</v>
      </c>
      <c r="AE428" s="6">
        <f>MIN(Table1[[#This Row],[DiscountPct]], WhatIf!$B$2)</f>
        <v>0.16400000000000001</v>
      </c>
      <c r="AF428" s="6">
        <f>IF(Table1[[#This Row],[DiscountPct]]&gt;0.2, 1, 0)</f>
        <v>0</v>
      </c>
      <c r="AG428" s="6" t="str">
        <f t="shared" si="89"/>
        <v>High</v>
      </c>
      <c r="AH428" s="6">
        <f t="shared" si="90"/>
        <v>0.26709523157550752</v>
      </c>
      <c r="AI428" s="5">
        <v>20</v>
      </c>
      <c r="AJ428" s="6">
        <f>Table1[[#This Row],[Quantity]]*(1+WhatIf!$B$4)</f>
        <v>22</v>
      </c>
    </row>
    <row r="429" spans="1:36" x14ac:dyDescent="0.3">
      <c r="A429" t="s">
        <v>26</v>
      </c>
      <c r="B429" s="3">
        <v>45660</v>
      </c>
      <c r="C429" s="3">
        <v>45680</v>
      </c>
      <c r="D429" s="3">
        <f t="shared" si="79"/>
        <v>45680</v>
      </c>
      <c r="E429" s="4">
        <f t="shared" si="78"/>
        <v>20</v>
      </c>
      <c r="F429" s="4">
        <f t="shared" si="80"/>
        <v>20</v>
      </c>
      <c r="G429" s="4">
        <f>IF(Table1[[#This Row],[CorrectedLeadTimeDays]]&lt;=7, 1, 0)</f>
        <v>0</v>
      </c>
      <c r="H429" s="4" t="str">
        <f t="shared" si="81"/>
        <v>January</v>
      </c>
      <c r="I429" s="4" t="str">
        <f t="shared" si="82"/>
        <v>Q1-2025</v>
      </c>
      <c r="J429" s="4" t="str">
        <f t="shared" si="83"/>
        <v>2023-03</v>
      </c>
      <c r="K429" s="3">
        <f t="shared" si="84"/>
        <v>44988</v>
      </c>
      <c r="L429" t="s">
        <v>647</v>
      </c>
      <c r="M429" t="s">
        <v>652</v>
      </c>
      <c r="N429" t="s">
        <v>666</v>
      </c>
      <c r="O429" t="s">
        <v>701</v>
      </c>
      <c r="P429" t="s">
        <v>710</v>
      </c>
      <c r="Q429" t="s">
        <v>721</v>
      </c>
      <c r="R429">
        <f t="shared" si="85"/>
        <v>22</v>
      </c>
      <c r="S429" t="s">
        <v>730</v>
      </c>
      <c r="T429" t="s">
        <v>745</v>
      </c>
      <c r="U429" s="4">
        <v>908.6</v>
      </c>
      <c r="V429" s="4">
        <f>Table1[[#This Row],[UnitCost]]*(1+WhatIf!$B$3)</f>
        <v>954.03000000000009</v>
      </c>
      <c r="W429" s="4">
        <f t="shared" si="86"/>
        <v>18172</v>
      </c>
      <c r="X429" s="4">
        <f>Table1[[#This Row],[ScenarioRev]]-Table1[[#This Row],[ScenarioUnitCost]]</f>
        <v>11214.082</v>
      </c>
      <c r="Y429" s="4">
        <v>691.37</v>
      </c>
      <c r="Z429" s="4">
        <f t="shared" si="87"/>
        <v>10370.549999999999</v>
      </c>
      <c r="AA429" s="4">
        <f>Table1[[#This Row],[ScenarioQuanity]]*Table1[[#This Row],[UnitPrice]]*(1-Table1[[#This Row],[ScenarioDiscPct]])</f>
        <v>12168.112000000001</v>
      </c>
      <c r="AB429" s="4">
        <f t="shared" si="88"/>
        <v>-7801.4500000000007</v>
      </c>
      <c r="AC429" s="4">
        <f>Table1[[#This Row],[ScenarioRev]] - Table1[[#This Row],[ScenarioCostOfGoods]]</f>
        <v>954.03000000000065</v>
      </c>
      <c r="AD429" s="6">
        <v>0.25</v>
      </c>
      <c r="AE429" s="6">
        <f>MIN(Table1[[#This Row],[DiscountPct]], WhatIf!$B$2)</f>
        <v>0.2</v>
      </c>
      <c r="AF429" s="6">
        <f>IF(Table1[[#This Row],[DiscountPct]]&gt;0.2, 1, 0)</f>
        <v>1</v>
      </c>
      <c r="AG429" s="6" t="str">
        <f t="shared" si="89"/>
        <v>Low</v>
      </c>
      <c r="AH429" s="6">
        <f t="shared" si="90"/>
        <v>-0.75226964818645115</v>
      </c>
      <c r="AI429" s="5">
        <v>20</v>
      </c>
      <c r="AJ429" s="6">
        <f>Table1[[#This Row],[Quantity]]*(1+WhatIf!$B$4)</f>
        <v>22</v>
      </c>
    </row>
    <row r="430" spans="1:36" x14ac:dyDescent="0.3">
      <c r="A430" t="s">
        <v>114</v>
      </c>
      <c r="B430" s="3">
        <v>44985</v>
      </c>
      <c r="C430" s="3">
        <v>45005</v>
      </c>
      <c r="D430" s="3">
        <f t="shared" si="79"/>
        <v>45005</v>
      </c>
      <c r="E430" s="4">
        <f t="shared" si="78"/>
        <v>20</v>
      </c>
      <c r="F430" s="4">
        <f t="shared" si="80"/>
        <v>20</v>
      </c>
      <c r="G430" s="4">
        <f>IF(Table1[[#This Row],[CorrectedLeadTimeDays]]&lt;=7, 1, 0)</f>
        <v>0</v>
      </c>
      <c r="H430" s="4" t="str">
        <f t="shared" si="81"/>
        <v>February</v>
      </c>
      <c r="I430" s="4" t="str">
        <f t="shared" si="82"/>
        <v>Q1-2023</v>
      </c>
      <c r="J430" s="4" t="str">
        <f t="shared" si="83"/>
        <v>2023-01</v>
      </c>
      <c r="K430" s="3">
        <f t="shared" si="84"/>
        <v>44948</v>
      </c>
      <c r="L430" t="s">
        <v>649</v>
      </c>
      <c r="M430" t="s">
        <v>656</v>
      </c>
      <c r="N430" t="s">
        <v>671</v>
      </c>
      <c r="O430" t="s">
        <v>705</v>
      </c>
      <c r="P430" t="s">
        <v>711</v>
      </c>
      <c r="Q430" t="s">
        <v>722</v>
      </c>
      <c r="R430">
        <f t="shared" si="85"/>
        <v>1</v>
      </c>
      <c r="S430" t="s">
        <v>731</v>
      </c>
      <c r="T430" t="s">
        <v>833</v>
      </c>
      <c r="U430" s="4">
        <v>1200.78</v>
      </c>
      <c r="V430" s="4">
        <f>Table1[[#This Row],[UnitCost]]*(1+WhatIf!$B$3)</f>
        <v>1260.819</v>
      </c>
      <c r="W430" s="4">
        <f t="shared" si="86"/>
        <v>21614.04</v>
      </c>
      <c r="X430" s="4">
        <f>Table1[[#This Row],[ScenarioRev]]-Table1[[#This Row],[ScenarioUnitCost]]</f>
        <v>30437.713800000005</v>
      </c>
      <c r="Y430" s="4">
        <v>2001.17</v>
      </c>
      <c r="Z430" s="4">
        <f t="shared" si="87"/>
        <v>25502.910479999999</v>
      </c>
      <c r="AA430" s="4">
        <f>Table1[[#This Row],[ScenarioQuanity]]*Table1[[#This Row],[UnitPrice]]*(1-Table1[[#This Row],[ScenarioDiscPct]])</f>
        <v>31698.532800000004</v>
      </c>
      <c r="AB430" s="4">
        <f t="shared" si="88"/>
        <v>3888.8704799999978</v>
      </c>
      <c r="AC430" s="4">
        <f>Table1[[#This Row],[ScenarioRev]] - Table1[[#This Row],[ScenarioCostOfGoods]]</f>
        <v>1260.8189999999995</v>
      </c>
      <c r="AD430" s="6">
        <v>0.29199999999999998</v>
      </c>
      <c r="AE430" s="6">
        <f>MIN(Table1[[#This Row],[DiscountPct]], WhatIf!$B$2)</f>
        <v>0.2</v>
      </c>
      <c r="AF430" s="6">
        <f>IF(Table1[[#This Row],[DiscountPct]]&gt;0.2, 1, 0)</f>
        <v>1</v>
      </c>
      <c r="AG430" s="6" t="str">
        <f t="shared" si="89"/>
        <v>High</v>
      </c>
      <c r="AH430" s="6">
        <f t="shared" si="90"/>
        <v>0.15248732034132906</v>
      </c>
      <c r="AI430" s="5">
        <v>18</v>
      </c>
      <c r="AJ430" s="6">
        <f>Table1[[#This Row],[Quantity]]*(1+WhatIf!$B$4)</f>
        <v>19.8</v>
      </c>
    </row>
    <row r="431" spans="1:36" x14ac:dyDescent="0.3">
      <c r="A431" t="s">
        <v>166</v>
      </c>
      <c r="B431" s="3">
        <v>45110</v>
      </c>
      <c r="C431" s="3">
        <v>45130</v>
      </c>
      <c r="D431" s="3">
        <f t="shared" si="79"/>
        <v>45130</v>
      </c>
      <c r="E431" s="4">
        <f t="shared" si="78"/>
        <v>20</v>
      </c>
      <c r="F431" s="4">
        <f t="shared" si="80"/>
        <v>20</v>
      </c>
      <c r="G431" s="4">
        <f>IF(Table1[[#This Row],[CorrectedLeadTimeDays]]&lt;=7, 1, 0)</f>
        <v>0</v>
      </c>
      <c r="H431" s="4" t="str">
        <f t="shared" si="81"/>
        <v>July</v>
      </c>
      <c r="I431" s="4" t="str">
        <f t="shared" si="82"/>
        <v>Q3-2023</v>
      </c>
      <c r="J431" s="4" t="str">
        <f t="shared" si="83"/>
        <v>2023-01</v>
      </c>
      <c r="K431" s="3">
        <f t="shared" si="84"/>
        <v>44933</v>
      </c>
      <c r="L431" t="s">
        <v>646</v>
      </c>
      <c r="M431" t="s">
        <v>661</v>
      </c>
      <c r="N431" t="s">
        <v>682</v>
      </c>
      <c r="O431" t="s">
        <v>705</v>
      </c>
      <c r="P431" t="s">
        <v>710</v>
      </c>
      <c r="Q431" t="s">
        <v>721</v>
      </c>
      <c r="R431">
        <f t="shared" si="85"/>
        <v>5</v>
      </c>
      <c r="S431" t="s">
        <v>731</v>
      </c>
      <c r="T431" t="s">
        <v>885</v>
      </c>
      <c r="U431" s="4">
        <v>1001.96</v>
      </c>
      <c r="V431" s="4">
        <f>Table1[[#This Row],[UnitCost]]*(1+WhatIf!$B$3)</f>
        <v>1052.058</v>
      </c>
      <c r="W431" s="4">
        <f t="shared" si="86"/>
        <v>18035.28</v>
      </c>
      <c r="X431" s="4">
        <f>Table1[[#This Row],[ScenarioRev]]-Table1[[#This Row],[ScenarioUnitCost]]</f>
        <v>22677.791550000002</v>
      </c>
      <c r="Y431" s="4">
        <v>1254.95</v>
      </c>
      <c r="Z431" s="4">
        <f t="shared" si="87"/>
        <v>21572.590500000002</v>
      </c>
      <c r="AA431" s="4">
        <f>Table1[[#This Row],[ScenarioQuanity]]*Table1[[#This Row],[UnitPrice]]*(1-Table1[[#This Row],[ScenarioDiscPct]])</f>
        <v>23729.849550000003</v>
      </c>
      <c r="AB431" s="4">
        <f t="shared" si="88"/>
        <v>3537.3105000000032</v>
      </c>
      <c r="AC431" s="4">
        <f>Table1[[#This Row],[ScenarioRev]] - Table1[[#This Row],[ScenarioCostOfGoods]]</f>
        <v>1052.0580000000009</v>
      </c>
      <c r="AD431" s="6">
        <v>4.4999999999999998E-2</v>
      </c>
      <c r="AE431" s="6">
        <f>MIN(Table1[[#This Row],[DiscountPct]], WhatIf!$B$2)</f>
        <v>4.4999999999999998E-2</v>
      </c>
      <c r="AF431" s="6">
        <f>IF(Table1[[#This Row],[DiscountPct]]&gt;0.2, 1, 0)</f>
        <v>0</v>
      </c>
      <c r="AG431" s="6" t="str">
        <f t="shared" si="89"/>
        <v>High</v>
      </c>
      <c r="AH431" s="6">
        <f t="shared" si="90"/>
        <v>0.16397244920585699</v>
      </c>
      <c r="AI431" s="5">
        <v>18</v>
      </c>
      <c r="AJ431" s="6">
        <f>Table1[[#This Row],[Quantity]]*(1+WhatIf!$B$4)</f>
        <v>19.8</v>
      </c>
    </row>
    <row r="432" spans="1:36" x14ac:dyDescent="0.3">
      <c r="A432" t="s">
        <v>398</v>
      </c>
      <c r="B432" s="3">
        <v>45491</v>
      </c>
      <c r="C432" s="3">
        <v>45511</v>
      </c>
      <c r="D432" s="3">
        <f t="shared" si="79"/>
        <v>45511</v>
      </c>
      <c r="E432" s="4">
        <f t="shared" si="78"/>
        <v>20</v>
      </c>
      <c r="F432" s="4">
        <f t="shared" si="80"/>
        <v>20</v>
      </c>
      <c r="G432" s="4">
        <f>IF(Table1[[#This Row],[CorrectedLeadTimeDays]]&lt;=7, 1, 0)</f>
        <v>0</v>
      </c>
      <c r="H432" s="4" t="str">
        <f t="shared" si="81"/>
        <v>July</v>
      </c>
      <c r="I432" s="4" t="str">
        <f t="shared" si="82"/>
        <v>Q3-2024</v>
      </c>
      <c r="J432" s="4" t="str">
        <f t="shared" si="83"/>
        <v>2023-01</v>
      </c>
      <c r="K432" s="3">
        <f t="shared" si="84"/>
        <v>44936</v>
      </c>
      <c r="L432" t="s">
        <v>649</v>
      </c>
      <c r="M432" t="s">
        <v>657</v>
      </c>
      <c r="N432" t="s">
        <v>673</v>
      </c>
      <c r="O432" t="s">
        <v>701</v>
      </c>
      <c r="P432" t="s">
        <v>707</v>
      </c>
      <c r="Q432" t="s">
        <v>721</v>
      </c>
      <c r="R432">
        <f t="shared" si="85"/>
        <v>18</v>
      </c>
      <c r="S432" t="s">
        <v>732</v>
      </c>
      <c r="T432" t="s">
        <v>1117</v>
      </c>
      <c r="U432" s="4">
        <v>941.35</v>
      </c>
      <c r="V432" s="4">
        <f>Table1[[#This Row],[UnitCost]]*(1+WhatIf!$B$3)</f>
        <v>988.41750000000002</v>
      </c>
      <c r="W432" s="4">
        <f t="shared" si="86"/>
        <v>16944.3</v>
      </c>
      <c r="X432" s="4">
        <f>Table1[[#This Row],[ScenarioRev]]-Table1[[#This Row],[ScenarioUnitCost]]</f>
        <v>15794.851728000001</v>
      </c>
      <c r="Y432" s="4">
        <v>899.83</v>
      </c>
      <c r="Z432" s="4">
        <f t="shared" si="87"/>
        <v>15257.51748</v>
      </c>
      <c r="AA432" s="4">
        <f>Table1[[#This Row],[ScenarioQuanity]]*Table1[[#This Row],[UnitPrice]]*(1-Table1[[#This Row],[ScenarioDiscPct]])</f>
        <v>16783.269228000001</v>
      </c>
      <c r="AB432" s="4">
        <f t="shared" si="88"/>
        <v>-1686.7825199999988</v>
      </c>
      <c r="AC432" s="4">
        <f>Table1[[#This Row],[ScenarioRev]] - Table1[[#This Row],[ScenarioCostOfGoods]]</f>
        <v>988.41749999999956</v>
      </c>
      <c r="AD432" s="6">
        <v>5.8000000000000003E-2</v>
      </c>
      <c r="AE432" s="6">
        <f>MIN(Table1[[#This Row],[DiscountPct]], WhatIf!$B$2)</f>
        <v>5.8000000000000003E-2</v>
      </c>
      <c r="AF432" s="6">
        <f>IF(Table1[[#This Row],[DiscountPct]]&gt;0.2, 1, 0)</f>
        <v>0</v>
      </c>
      <c r="AG432" s="6" t="str">
        <f t="shared" si="89"/>
        <v>High</v>
      </c>
      <c r="AH432" s="6">
        <f t="shared" si="90"/>
        <v>-0.11055419220139073</v>
      </c>
      <c r="AI432" s="5">
        <v>18</v>
      </c>
      <c r="AJ432" s="6">
        <f>Table1[[#This Row],[Quantity]]*(1+WhatIf!$B$4)</f>
        <v>19.8</v>
      </c>
    </row>
    <row r="433" spans="1:36" x14ac:dyDescent="0.3">
      <c r="A433" t="s">
        <v>247</v>
      </c>
      <c r="B433" s="3">
        <v>45540</v>
      </c>
      <c r="C433" s="3">
        <v>45560</v>
      </c>
      <c r="D433" s="3">
        <f t="shared" si="79"/>
        <v>45560</v>
      </c>
      <c r="E433" s="4">
        <f t="shared" si="78"/>
        <v>20</v>
      </c>
      <c r="F433" s="4">
        <f t="shared" si="80"/>
        <v>20</v>
      </c>
      <c r="G433" s="4">
        <f>IF(Table1[[#This Row],[CorrectedLeadTimeDays]]&lt;=7, 1, 0)</f>
        <v>0</v>
      </c>
      <c r="H433" s="4" t="str">
        <f t="shared" si="81"/>
        <v>September</v>
      </c>
      <c r="I433" s="4" t="str">
        <f t="shared" si="82"/>
        <v>Q3-2024</v>
      </c>
      <c r="J433" s="4" t="str">
        <f t="shared" si="83"/>
        <v>2023-03</v>
      </c>
      <c r="K433" s="3">
        <f t="shared" si="84"/>
        <v>44988</v>
      </c>
      <c r="L433" t="s">
        <v>647</v>
      </c>
      <c r="M433" t="s">
        <v>652</v>
      </c>
      <c r="N433" t="s">
        <v>666</v>
      </c>
      <c r="O433" t="s">
        <v>706</v>
      </c>
      <c r="P433" t="s">
        <v>710</v>
      </c>
      <c r="Q433" t="s">
        <v>726</v>
      </c>
      <c r="R433">
        <f t="shared" si="85"/>
        <v>18</v>
      </c>
      <c r="S433" t="s">
        <v>732</v>
      </c>
      <c r="T433" t="s">
        <v>967</v>
      </c>
      <c r="U433" s="4">
        <v>195.54</v>
      </c>
      <c r="V433" s="4">
        <f>Table1[[#This Row],[UnitCost]]*(1+WhatIf!$B$3)</f>
        <v>205.31700000000001</v>
      </c>
      <c r="W433" s="4">
        <f t="shared" si="86"/>
        <v>3128.64</v>
      </c>
      <c r="X433" s="4">
        <f>Table1[[#This Row],[ScenarioRev]]-Table1[[#This Row],[ScenarioUnitCost]]</f>
        <v>5603.6265360000007</v>
      </c>
      <c r="Y433" s="4">
        <v>405.97</v>
      </c>
      <c r="Z433" s="4">
        <f t="shared" si="87"/>
        <v>5280.8577599999999</v>
      </c>
      <c r="AA433" s="4">
        <f>Table1[[#This Row],[ScenarioQuanity]]*Table1[[#This Row],[UnitPrice]]*(1-Table1[[#This Row],[ScenarioDiscPct]])</f>
        <v>5808.9435360000007</v>
      </c>
      <c r="AB433" s="4">
        <f t="shared" si="88"/>
        <v>2152.21776</v>
      </c>
      <c r="AC433" s="4">
        <f>Table1[[#This Row],[ScenarioRev]] - Table1[[#This Row],[ScenarioCostOfGoods]]</f>
        <v>205.31700000000001</v>
      </c>
      <c r="AD433" s="6">
        <v>0.187</v>
      </c>
      <c r="AE433" s="6">
        <f>MIN(Table1[[#This Row],[DiscountPct]], WhatIf!$B$2)</f>
        <v>0.187</v>
      </c>
      <c r="AF433" s="6">
        <f>IF(Table1[[#This Row],[DiscountPct]]&gt;0.2, 1, 0)</f>
        <v>0</v>
      </c>
      <c r="AG433" s="6" t="str">
        <f t="shared" si="89"/>
        <v>Low</v>
      </c>
      <c r="AH433" s="6">
        <f t="shared" si="90"/>
        <v>0.40755079152141377</v>
      </c>
      <c r="AI433" s="5">
        <v>16</v>
      </c>
      <c r="AJ433" s="6">
        <f>Table1[[#This Row],[Quantity]]*(1+WhatIf!$B$4)</f>
        <v>17.600000000000001</v>
      </c>
    </row>
    <row r="434" spans="1:36" x14ac:dyDescent="0.3">
      <c r="A434" t="s">
        <v>269</v>
      </c>
      <c r="B434" s="3">
        <v>45411</v>
      </c>
      <c r="C434" s="3">
        <v>45431</v>
      </c>
      <c r="D434" s="3">
        <f t="shared" si="79"/>
        <v>45431</v>
      </c>
      <c r="E434" s="4">
        <f t="shared" si="78"/>
        <v>20</v>
      </c>
      <c r="F434" s="4">
        <f t="shared" si="80"/>
        <v>20</v>
      </c>
      <c r="G434" s="4">
        <f>IF(Table1[[#This Row],[CorrectedLeadTimeDays]]&lt;=7, 1, 0)</f>
        <v>0</v>
      </c>
      <c r="H434" s="4" t="str">
        <f t="shared" si="81"/>
        <v>April</v>
      </c>
      <c r="I434" s="4" t="str">
        <f t="shared" si="82"/>
        <v>Q2-2024</v>
      </c>
      <c r="J434" s="4" t="str">
        <f t="shared" si="83"/>
        <v>2023-01</v>
      </c>
      <c r="K434" s="3">
        <f t="shared" si="84"/>
        <v>44948</v>
      </c>
      <c r="L434" t="s">
        <v>649</v>
      </c>
      <c r="M434" t="s">
        <v>656</v>
      </c>
      <c r="N434" t="s">
        <v>698</v>
      </c>
      <c r="O434" t="s">
        <v>706</v>
      </c>
      <c r="P434" t="s">
        <v>709</v>
      </c>
      <c r="Q434" t="s">
        <v>712</v>
      </c>
      <c r="R434">
        <f t="shared" si="85"/>
        <v>15</v>
      </c>
      <c r="S434" t="s">
        <v>731</v>
      </c>
      <c r="T434" t="s">
        <v>989</v>
      </c>
      <c r="U434" s="4">
        <v>668.97</v>
      </c>
      <c r="V434" s="4">
        <f>Table1[[#This Row],[UnitCost]]*(1+WhatIf!$B$3)</f>
        <v>702.41850000000011</v>
      </c>
      <c r="W434" s="4">
        <f t="shared" si="86"/>
        <v>10034.550000000001</v>
      </c>
      <c r="X434" s="4">
        <f>Table1[[#This Row],[ScenarioRev]]-Table1[[#This Row],[ScenarioUnitCost]]</f>
        <v>25874.907660000001</v>
      </c>
      <c r="Y434" s="4">
        <v>1667.44</v>
      </c>
      <c r="Z434" s="4">
        <f t="shared" si="87"/>
        <v>24161.205600000001</v>
      </c>
      <c r="AA434" s="4">
        <f>Table1[[#This Row],[ScenarioQuanity]]*Table1[[#This Row],[UnitPrice]]*(1-Table1[[#This Row],[ScenarioDiscPct]])</f>
        <v>26577.326160000001</v>
      </c>
      <c r="AB434" s="4">
        <f t="shared" si="88"/>
        <v>14126.6556</v>
      </c>
      <c r="AC434" s="4">
        <f>Table1[[#This Row],[ScenarioRev]] - Table1[[#This Row],[ScenarioCostOfGoods]]</f>
        <v>702.41849999999977</v>
      </c>
      <c r="AD434" s="6">
        <v>3.4000000000000002E-2</v>
      </c>
      <c r="AE434" s="6">
        <f>MIN(Table1[[#This Row],[DiscountPct]], WhatIf!$B$2)</f>
        <v>3.4000000000000002E-2</v>
      </c>
      <c r="AF434" s="6">
        <f>IF(Table1[[#This Row],[DiscountPct]]&gt;0.2, 1, 0)</f>
        <v>0</v>
      </c>
      <c r="AG434" s="6" t="str">
        <f t="shared" si="89"/>
        <v>High</v>
      </c>
      <c r="AH434" s="6">
        <f t="shared" si="90"/>
        <v>0.58468339013679016</v>
      </c>
      <c r="AI434" s="5">
        <v>15</v>
      </c>
      <c r="AJ434" s="6">
        <f>Table1[[#This Row],[Quantity]]*(1+WhatIf!$B$4)</f>
        <v>16.5</v>
      </c>
    </row>
    <row r="435" spans="1:36" x14ac:dyDescent="0.3">
      <c r="A435" t="s">
        <v>57</v>
      </c>
      <c r="B435" s="3">
        <v>45590</v>
      </c>
      <c r="C435" s="3">
        <v>45610</v>
      </c>
      <c r="D435" s="3">
        <f t="shared" si="79"/>
        <v>45610</v>
      </c>
      <c r="E435" s="4">
        <f t="shared" si="78"/>
        <v>20</v>
      </c>
      <c r="F435" s="4">
        <f t="shared" si="80"/>
        <v>20</v>
      </c>
      <c r="G435" s="4">
        <f>IF(Table1[[#This Row],[CorrectedLeadTimeDays]]&lt;=7, 1, 0)</f>
        <v>0</v>
      </c>
      <c r="H435" s="4" t="str">
        <f t="shared" si="81"/>
        <v>October</v>
      </c>
      <c r="I435" s="4" t="str">
        <f t="shared" si="82"/>
        <v>Q4-2024</v>
      </c>
      <c r="J435" s="4" t="str">
        <f t="shared" si="83"/>
        <v>2023-01</v>
      </c>
      <c r="K435" s="3">
        <f t="shared" si="84"/>
        <v>44946</v>
      </c>
      <c r="L435" t="s">
        <v>646</v>
      </c>
      <c r="M435" t="s">
        <v>650</v>
      </c>
      <c r="N435" t="s">
        <v>675</v>
      </c>
      <c r="O435" t="s">
        <v>701</v>
      </c>
      <c r="P435" t="s">
        <v>711</v>
      </c>
      <c r="Q435" t="s">
        <v>722</v>
      </c>
      <c r="R435">
        <f t="shared" si="85"/>
        <v>21</v>
      </c>
      <c r="S435" t="s">
        <v>728</v>
      </c>
      <c r="T435" t="s">
        <v>776</v>
      </c>
      <c r="U435" s="4">
        <v>1396.48</v>
      </c>
      <c r="V435" s="4">
        <f>Table1[[#This Row],[UnitCost]]*(1+WhatIf!$B$3)</f>
        <v>1466.3040000000001</v>
      </c>
      <c r="W435" s="4">
        <f t="shared" si="86"/>
        <v>19550.72</v>
      </c>
      <c r="X435" s="4">
        <f>Table1[[#This Row],[ScenarioRev]]-Table1[[#This Row],[ScenarioUnitCost]]</f>
        <v>38013.136000000013</v>
      </c>
      <c r="Y435" s="4">
        <v>3204.5</v>
      </c>
      <c r="Z435" s="4">
        <f t="shared" si="87"/>
        <v>30596.565999999999</v>
      </c>
      <c r="AA435" s="4">
        <f>Table1[[#This Row],[ScenarioQuanity]]*Table1[[#This Row],[UnitPrice]]*(1-Table1[[#This Row],[ScenarioDiscPct]])</f>
        <v>39479.44000000001</v>
      </c>
      <c r="AB435" s="4">
        <f t="shared" si="88"/>
        <v>11045.845999999998</v>
      </c>
      <c r="AC435" s="4">
        <f>Table1[[#This Row],[ScenarioRev]] - Table1[[#This Row],[ScenarioCostOfGoods]]</f>
        <v>1466.3039999999964</v>
      </c>
      <c r="AD435" s="6">
        <v>0.318</v>
      </c>
      <c r="AE435" s="6">
        <f>MIN(Table1[[#This Row],[DiscountPct]], WhatIf!$B$2)</f>
        <v>0.2</v>
      </c>
      <c r="AF435" s="6">
        <f>IF(Table1[[#This Row],[DiscountPct]]&gt;0.2, 1, 0)</f>
        <v>1</v>
      </c>
      <c r="AG435" s="6" t="str">
        <f t="shared" si="89"/>
        <v>High</v>
      </c>
      <c r="AH435" s="6">
        <f t="shared" si="90"/>
        <v>0.36101587348070363</v>
      </c>
      <c r="AI435" s="5">
        <v>14</v>
      </c>
      <c r="AJ435" s="6">
        <f>Table1[[#This Row],[Quantity]]*(1+WhatIf!$B$4)</f>
        <v>15.400000000000002</v>
      </c>
    </row>
    <row r="436" spans="1:36" x14ac:dyDescent="0.3">
      <c r="A436" t="s">
        <v>174</v>
      </c>
      <c r="B436" s="3">
        <v>45870</v>
      </c>
      <c r="C436" s="3">
        <v>45890</v>
      </c>
      <c r="D436" s="3">
        <f t="shared" si="79"/>
        <v>45890</v>
      </c>
      <c r="E436" s="4">
        <f t="shared" si="78"/>
        <v>20</v>
      </c>
      <c r="F436" s="4">
        <f t="shared" si="80"/>
        <v>20</v>
      </c>
      <c r="G436" s="4">
        <f>IF(Table1[[#This Row],[CorrectedLeadTimeDays]]&lt;=7, 1, 0)</f>
        <v>0</v>
      </c>
      <c r="H436" s="4" t="str">
        <f t="shared" si="81"/>
        <v>August</v>
      </c>
      <c r="I436" s="4" t="str">
        <f t="shared" si="82"/>
        <v>Q3-2025</v>
      </c>
      <c r="J436" s="4" t="str">
        <f t="shared" si="83"/>
        <v>2023-01</v>
      </c>
      <c r="K436" s="3">
        <f t="shared" si="84"/>
        <v>44938</v>
      </c>
      <c r="L436" t="s">
        <v>647</v>
      </c>
      <c r="M436" t="s">
        <v>659</v>
      </c>
      <c r="N436" t="s">
        <v>685</v>
      </c>
      <c r="O436" t="s">
        <v>701</v>
      </c>
      <c r="P436" t="s">
        <v>711</v>
      </c>
      <c r="Q436" t="s">
        <v>714</v>
      </c>
      <c r="R436">
        <f t="shared" si="85"/>
        <v>30</v>
      </c>
      <c r="S436" t="s">
        <v>730</v>
      </c>
      <c r="T436" t="s">
        <v>893</v>
      </c>
      <c r="U436" s="4">
        <v>1220.4100000000001</v>
      </c>
      <c r="V436" s="4">
        <f>Table1[[#This Row],[UnitCost]]*(1+WhatIf!$B$3)</f>
        <v>1281.4305000000002</v>
      </c>
      <c r="W436" s="4">
        <f t="shared" si="86"/>
        <v>17085.740000000002</v>
      </c>
      <c r="X436" s="4">
        <f>Table1[[#This Row],[ScenarioRev]]-Table1[[#This Row],[ScenarioUnitCost]]</f>
        <v>30908.699472</v>
      </c>
      <c r="Y436" s="4">
        <v>2552.2199999999998</v>
      </c>
      <c r="Z436" s="4">
        <f t="shared" si="87"/>
        <v>29263.754519999995</v>
      </c>
      <c r="AA436" s="4">
        <f>Table1[[#This Row],[ScenarioQuanity]]*Table1[[#This Row],[UnitPrice]]*(1-Table1[[#This Row],[ScenarioDiscPct]])</f>
        <v>32190.129971999999</v>
      </c>
      <c r="AB436" s="4">
        <f t="shared" si="88"/>
        <v>12178.014519999993</v>
      </c>
      <c r="AC436" s="4">
        <f>Table1[[#This Row],[ScenarioRev]] - Table1[[#This Row],[ScenarioCostOfGoods]]</f>
        <v>1281.4304999999986</v>
      </c>
      <c r="AD436" s="6">
        <v>0.18099999999999999</v>
      </c>
      <c r="AE436" s="6">
        <f>MIN(Table1[[#This Row],[DiscountPct]], WhatIf!$B$2)</f>
        <v>0.18099999999999999</v>
      </c>
      <c r="AF436" s="6">
        <f>IF(Table1[[#This Row],[DiscountPct]]&gt;0.2, 1, 0)</f>
        <v>0</v>
      </c>
      <c r="AG436" s="6" t="str">
        <f t="shared" si="89"/>
        <v>High</v>
      </c>
      <c r="AH436" s="6">
        <f t="shared" si="90"/>
        <v>0.41614668793360271</v>
      </c>
      <c r="AI436" s="5">
        <v>14</v>
      </c>
      <c r="AJ436" s="6">
        <f>Table1[[#This Row],[Quantity]]*(1+WhatIf!$B$4)</f>
        <v>15.400000000000002</v>
      </c>
    </row>
    <row r="437" spans="1:36" x14ac:dyDescent="0.3">
      <c r="A437" t="s">
        <v>162</v>
      </c>
      <c r="B437" s="3">
        <v>45386</v>
      </c>
      <c r="C437" s="3">
        <v>45406</v>
      </c>
      <c r="D437" s="3">
        <f t="shared" si="79"/>
        <v>45406</v>
      </c>
      <c r="E437" s="4">
        <f t="shared" si="78"/>
        <v>20</v>
      </c>
      <c r="F437" s="4">
        <f t="shared" si="80"/>
        <v>20</v>
      </c>
      <c r="G437" s="4">
        <f>IF(Table1[[#This Row],[CorrectedLeadTimeDays]]&lt;=7, 1, 0)</f>
        <v>0</v>
      </c>
      <c r="H437" s="4" t="str">
        <f t="shared" si="81"/>
        <v>April</v>
      </c>
      <c r="I437" s="4" t="str">
        <f t="shared" si="82"/>
        <v>Q2-2024</v>
      </c>
      <c r="J437" s="4" t="str">
        <f t="shared" si="83"/>
        <v>2023-01</v>
      </c>
      <c r="K437" s="3">
        <f t="shared" si="84"/>
        <v>44948</v>
      </c>
      <c r="L437" t="s">
        <v>649</v>
      </c>
      <c r="M437" t="s">
        <v>656</v>
      </c>
      <c r="N437" t="s">
        <v>698</v>
      </c>
      <c r="O437" t="s">
        <v>703</v>
      </c>
      <c r="P437" t="s">
        <v>711</v>
      </c>
      <c r="Q437" t="s">
        <v>719</v>
      </c>
      <c r="R437">
        <f t="shared" si="85"/>
        <v>14</v>
      </c>
      <c r="S437" t="s">
        <v>733</v>
      </c>
      <c r="T437" t="s">
        <v>881</v>
      </c>
      <c r="U437" s="4">
        <v>683.42</v>
      </c>
      <c r="V437" s="4">
        <f>Table1[[#This Row],[UnitCost]]*(1+WhatIf!$B$3)</f>
        <v>717.59100000000001</v>
      </c>
      <c r="W437" s="4">
        <f t="shared" si="86"/>
        <v>9567.8799999999992</v>
      </c>
      <c r="X437" s="4">
        <f>Table1[[#This Row],[ScenarioRev]]-Table1[[#This Row],[ScenarioUnitCost]]</f>
        <v>13935.663000000002</v>
      </c>
      <c r="Y437" s="4">
        <v>951.51</v>
      </c>
      <c r="Z437" s="4">
        <f t="shared" si="87"/>
        <v>13321.14</v>
      </c>
      <c r="AA437" s="4">
        <f>Table1[[#This Row],[ScenarioQuanity]]*Table1[[#This Row],[UnitPrice]]*(1-Table1[[#This Row],[ScenarioDiscPct]])</f>
        <v>14653.254000000003</v>
      </c>
      <c r="AB437" s="4">
        <f t="shared" si="88"/>
        <v>3753.26</v>
      </c>
      <c r="AC437" s="4">
        <f>Table1[[#This Row],[ScenarioRev]] - Table1[[#This Row],[ScenarioCostOfGoods]]</f>
        <v>717.59100000000035</v>
      </c>
      <c r="AD437" s="6">
        <v>0</v>
      </c>
      <c r="AE437" s="6">
        <f>MIN(Table1[[#This Row],[DiscountPct]], WhatIf!$B$2)</f>
        <v>0</v>
      </c>
      <c r="AF437" s="6">
        <f>IF(Table1[[#This Row],[DiscountPct]]&gt;0.2, 1, 0)</f>
        <v>0</v>
      </c>
      <c r="AG437" s="6" t="str">
        <f t="shared" si="89"/>
        <v>High</v>
      </c>
      <c r="AH437" s="6">
        <f t="shared" si="90"/>
        <v>0.28175216235247136</v>
      </c>
      <c r="AI437" s="5">
        <v>14</v>
      </c>
      <c r="AJ437" s="6">
        <f>Table1[[#This Row],[Quantity]]*(1+WhatIf!$B$4)</f>
        <v>15.400000000000002</v>
      </c>
    </row>
    <row r="438" spans="1:36" x14ac:dyDescent="0.3">
      <c r="A438" t="s">
        <v>242</v>
      </c>
      <c r="B438" s="3">
        <v>45879</v>
      </c>
      <c r="C438" s="3">
        <v>45899</v>
      </c>
      <c r="D438" s="3">
        <f t="shared" si="79"/>
        <v>45899</v>
      </c>
      <c r="E438" s="4">
        <f t="shared" si="78"/>
        <v>20</v>
      </c>
      <c r="F438" s="4">
        <f t="shared" si="80"/>
        <v>20</v>
      </c>
      <c r="G438" s="4">
        <f>IF(Table1[[#This Row],[CorrectedLeadTimeDays]]&lt;=7, 1, 0)</f>
        <v>0</v>
      </c>
      <c r="H438" s="4" t="str">
        <f t="shared" si="81"/>
        <v>August</v>
      </c>
      <c r="I438" s="4" t="str">
        <f t="shared" si="82"/>
        <v>Q3-2025</v>
      </c>
      <c r="J438" s="4" t="str">
        <f t="shared" si="83"/>
        <v>2023-01</v>
      </c>
      <c r="K438" s="3">
        <f t="shared" si="84"/>
        <v>44939</v>
      </c>
      <c r="L438" t="s">
        <v>648</v>
      </c>
      <c r="M438" t="s">
        <v>660</v>
      </c>
      <c r="N438" t="s">
        <v>686</v>
      </c>
      <c r="O438" t="s">
        <v>701</v>
      </c>
      <c r="P438" t="s">
        <v>709</v>
      </c>
      <c r="Q438" t="s">
        <v>723</v>
      </c>
      <c r="R438">
        <f t="shared" si="85"/>
        <v>30</v>
      </c>
      <c r="S438" t="s">
        <v>728</v>
      </c>
      <c r="T438" t="s">
        <v>962</v>
      </c>
      <c r="U438" s="4">
        <v>933.29</v>
      </c>
      <c r="V438" s="4">
        <f>Table1[[#This Row],[UnitCost]]*(1+WhatIf!$B$3)</f>
        <v>979.95450000000005</v>
      </c>
      <c r="W438" s="4">
        <f t="shared" si="86"/>
        <v>12132.77</v>
      </c>
      <c r="X438" s="4">
        <f>Table1[[#This Row],[ScenarioRev]]-Table1[[#This Row],[ScenarioUnitCost]]</f>
        <v>17290.045391000003</v>
      </c>
      <c r="Y438" s="4">
        <v>1456.81</v>
      </c>
      <c r="Z438" s="4">
        <f t="shared" si="87"/>
        <v>16609.090809999998</v>
      </c>
      <c r="AA438" s="4">
        <f>Table1[[#This Row],[ScenarioQuanity]]*Table1[[#This Row],[UnitPrice]]*(1-Table1[[#This Row],[ScenarioDiscPct]])</f>
        <v>18269.999891000003</v>
      </c>
      <c r="AB438" s="4">
        <f t="shared" si="88"/>
        <v>4476.3208099999974</v>
      </c>
      <c r="AC438" s="4">
        <f>Table1[[#This Row],[ScenarioRev]] - Table1[[#This Row],[ScenarioCostOfGoods]]</f>
        <v>979.95449999999983</v>
      </c>
      <c r="AD438" s="6">
        <v>0.123</v>
      </c>
      <c r="AE438" s="6">
        <f>MIN(Table1[[#This Row],[DiscountPct]], WhatIf!$B$2)</f>
        <v>0.123</v>
      </c>
      <c r="AF438" s="6">
        <f>IF(Table1[[#This Row],[DiscountPct]]&gt;0.2, 1, 0)</f>
        <v>0</v>
      </c>
      <c r="AG438" s="6" t="str">
        <f t="shared" si="89"/>
        <v>High</v>
      </c>
      <c r="AH438" s="6">
        <f t="shared" si="90"/>
        <v>0.26951028573489977</v>
      </c>
      <c r="AI438" s="5">
        <v>13</v>
      </c>
      <c r="AJ438" s="6">
        <f>Table1[[#This Row],[Quantity]]*(1+WhatIf!$B$4)</f>
        <v>14.3</v>
      </c>
    </row>
    <row r="439" spans="1:36" x14ac:dyDescent="0.3">
      <c r="A439" t="s">
        <v>486</v>
      </c>
      <c r="B439" s="3">
        <v>45841</v>
      </c>
      <c r="C439" s="3">
        <v>45861</v>
      </c>
      <c r="D439" s="3">
        <f t="shared" si="79"/>
        <v>45861</v>
      </c>
      <c r="E439" s="4">
        <f t="shared" si="78"/>
        <v>20</v>
      </c>
      <c r="F439" s="4">
        <f t="shared" si="80"/>
        <v>20</v>
      </c>
      <c r="G439" s="4">
        <f>IF(Table1[[#This Row],[CorrectedLeadTimeDays]]&lt;=7, 1, 0)</f>
        <v>0</v>
      </c>
      <c r="H439" s="4" t="str">
        <f t="shared" si="81"/>
        <v>July</v>
      </c>
      <c r="I439" s="4" t="str">
        <f t="shared" si="82"/>
        <v>Q3-2025</v>
      </c>
      <c r="J439" s="4" t="str">
        <f t="shared" si="83"/>
        <v>2023-01</v>
      </c>
      <c r="K439" s="3">
        <f t="shared" si="84"/>
        <v>44938</v>
      </c>
      <c r="L439" t="s">
        <v>647</v>
      </c>
      <c r="M439" t="s">
        <v>659</v>
      </c>
      <c r="N439" t="s">
        <v>699</v>
      </c>
      <c r="O439" t="s">
        <v>705</v>
      </c>
      <c r="P439" t="s">
        <v>708</v>
      </c>
      <c r="Q439" t="s">
        <v>724</v>
      </c>
      <c r="R439">
        <f t="shared" si="85"/>
        <v>29</v>
      </c>
      <c r="S439" t="s">
        <v>727</v>
      </c>
      <c r="T439" t="s">
        <v>1205</v>
      </c>
      <c r="U439" s="4">
        <v>647.36</v>
      </c>
      <c r="V439" s="4">
        <f>Table1[[#This Row],[UnitCost]]*(1+WhatIf!$B$3)</f>
        <v>679.72800000000007</v>
      </c>
      <c r="W439" s="4">
        <f t="shared" si="86"/>
        <v>7768.32</v>
      </c>
      <c r="X439" s="4">
        <f>Table1[[#This Row],[ScenarioRev]]-Table1[[#This Row],[ScenarioUnitCost]]</f>
        <v>16232.291520000002</v>
      </c>
      <c r="Y439" s="4">
        <v>1383.6</v>
      </c>
      <c r="Z439" s="4">
        <f t="shared" si="87"/>
        <v>15374.563199999999</v>
      </c>
      <c r="AA439" s="4">
        <f>Table1[[#This Row],[ScenarioQuanity]]*Table1[[#This Row],[UnitPrice]]*(1-Table1[[#This Row],[ScenarioDiscPct]])</f>
        <v>16912.019520000002</v>
      </c>
      <c r="AB439" s="4">
        <f t="shared" si="88"/>
        <v>7606.243199999999</v>
      </c>
      <c r="AC439" s="4">
        <f>Table1[[#This Row],[ScenarioRev]] - Table1[[#This Row],[ScenarioCostOfGoods]]</f>
        <v>679.72799999999916</v>
      </c>
      <c r="AD439" s="6">
        <v>7.3999999999999996E-2</v>
      </c>
      <c r="AE439" s="6">
        <f>MIN(Table1[[#This Row],[DiscountPct]], WhatIf!$B$2)</f>
        <v>7.3999999999999996E-2</v>
      </c>
      <c r="AF439" s="6">
        <f>IF(Table1[[#This Row],[DiscountPct]]&gt;0.2, 1, 0)</f>
        <v>0</v>
      </c>
      <c r="AG439" s="6" t="str">
        <f t="shared" si="89"/>
        <v>High</v>
      </c>
      <c r="AH439" s="6">
        <f t="shared" si="90"/>
        <v>0.49472906000997802</v>
      </c>
      <c r="AI439" s="5">
        <v>12</v>
      </c>
      <c r="AJ439" s="6">
        <f>Table1[[#This Row],[Quantity]]*(1+WhatIf!$B$4)</f>
        <v>13.200000000000001</v>
      </c>
    </row>
    <row r="440" spans="1:36" x14ac:dyDescent="0.3">
      <c r="A440" t="s">
        <v>71</v>
      </c>
      <c r="B440" s="3">
        <v>45697</v>
      </c>
      <c r="C440" s="3">
        <v>45717</v>
      </c>
      <c r="D440" s="3">
        <f t="shared" si="79"/>
        <v>45717</v>
      </c>
      <c r="E440" s="4">
        <f t="shared" si="78"/>
        <v>20</v>
      </c>
      <c r="F440" s="4">
        <f t="shared" si="80"/>
        <v>20</v>
      </c>
      <c r="G440" s="4">
        <f>IF(Table1[[#This Row],[CorrectedLeadTimeDays]]&lt;=7, 1, 0)</f>
        <v>0</v>
      </c>
      <c r="H440" s="4" t="str">
        <f t="shared" si="81"/>
        <v>February</v>
      </c>
      <c r="I440" s="4" t="str">
        <f t="shared" si="82"/>
        <v>Q1-2025</v>
      </c>
      <c r="J440" s="4" t="str">
        <f t="shared" si="83"/>
        <v>2023-01</v>
      </c>
      <c r="K440" s="3">
        <f t="shared" si="84"/>
        <v>44955</v>
      </c>
      <c r="L440" t="s">
        <v>648</v>
      </c>
      <c r="M440" t="s">
        <v>655</v>
      </c>
      <c r="N440" t="s">
        <v>670</v>
      </c>
      <c r="O440" t="s">
        <v>701</v>
      </c>
      <c r="P440" t="s">
        <v>710</v>
      </c>
      <c r="Q440" t="s">
        <v>717</v>
      </c>
      <c r="R440">
        <f t="shared" si="85"/>
        <v>24</v>
      </c>
      <c r="S440" t="s">
        <v>731</v>
      </c>
      <c r="T440" t="s">
        <v>790</v>
      </c>
      <c r="U440" s="4">
        <v>1154.6400000000001</v>
      </c>
      <c r="V440" s="4">
        <f>Table1[[#This Row],[UnitCost]]*(1+WhatIf!$B$3)</f>
        <v>1212.3720000000001</v>
      </c>
      <c r="W440" s="4">
        <f t="shared" si="86"/>
        <v>12701.04</v>
      </c>
      <c r="X440" s="4">
        <f>Table1[[#This Row],[ScenarioRev]]-Table1[[#This Row],[ScenarioUnitCost]]</f>
        <v>31413.286945000003</v>
      </c>
      <c r="Y440" s="4">
        <v>2794.13</v>
      </c>
      <c r="Z440" s="4">
        <f t="shared" si="87"/>
        <v>29659.68995</v>
      </c>
      <c r="AA440" s="4">
        <f>Table1[[#This Row],[ScenarioQuanity]]*Table1[[#This Row],[UnitPrice]]*(1-Table1[[#This Row],[ScenarioDiscPct]])</f>
        <v>32625.658945000003</v>
      </c>
      <c r="AB440" s="4">
        <f t="shared" si="88"/>
        <v>16958.649949999999</v>
      </c>
      <c r="AC440" s="4">
        <f>Table1[[#This Row],[ScenarioRev]] - Table1[[#This Row],[ScenarioCostOfGoods]]</f>
        <v>1212.3719999999994</v>
      </c>
      <c r="AD440" s="6">
        <v>3.5000000000000003E-2</v>
      </c>
      <c r="AE440" s="6">
        <f>MIN(Table1[[#This Row],[DiscountPct]], WhatIf!$B$2)</f>
        <v>3.5000000000000003E-2</v>
      </c>
      <c r="AF440" s="6">
        <f>IF(Table1[[#This Row],[DiscountPct]]&gt;0.2, 1, 0)</f>
        <v>0</v>
      </c>
      <c r="AG440" s="6" t="str">
        <f t="shared" si="89"/>
        <v>High</v>
      </c>
      <c r="AH440" s="6">
        <f t="shared" si="90"/>
        <v>0.57177435025749479</v>
      </c>
      <c r="AI440" s="5">
        <v>11</v>
      </c>
      <c r="AJ440" s="6">
        <f>Table1[[#This Row],[Quantity]]*(1+WhatIf!$B$4)</f>
        <v>12.100000000000001</v>
      </c>
    </row>
    <row r="441" spans="1:36" x14ac:dyDescent="0.3">
      <c r="A441" t="s">
        <v>48</v>
      </c>
      <c r="B441" s="3">
        <v>45400</v>
      </c>
      <c r="C441" s="3">
        <v>45420</v>
      </c>
      <c r="D441" s="3">
        <f t="shared" si="79"/>
        <v>45420</v>
      </c>
      <c r="E441" s="4">
        <f t="shared" si="78"/>
        <v>20</v>
      </c>
      <c r="F441" s="4">
        <f t="shared" si="80"/>
        <v>20</v>
      </c>
      <c r="G441" s="4">
        <f>IF(Table1[[#This Row],[CorrectedLeadTimeDays]]&lt;=7, 1, 0)</f>
        <v>0</v>
      </c>
      <c r="H441" s="4" t="str">
        <f t="shared" si="81"/>
        <v>April</v>
      </c>
      <c r="I441" s="4" t="str">
        <f t="shared" si="82"/>
        <v>Q2-2024</v>
      </c>
      <c r="J441" s="4" t="str">
        <f t="shared" si="83"/>
        <v>2023-01</v>
      </c>
      <c r="K441" s="3">
        <f t="shared" si="84"/>
        <v>44945</v>
      </c>
      <c r="L441" t="s">
        <v>649</v>
      </c>
      <c r="M441" t="s">
        <v>658</v>
      </c>
      <c r="N441" t="s">
        <v>683</v>
      </c>
      <c r="O441" t="s">
        <v>703</v>
      </c>
      <c r="Q441" t="s">
        <v>726</v>
      </c>
      <c r="R441">
        <f t="shared" si="85"/>
        <v>14</v>
      </c>
      <c r="S441" t="s">
        <v>731</v>
      </c>
      <c r="T441" t="s">
        <v>767</v>
      </c>
      <c r="U441" s="4">
        <v>645.33000000000004</v>
      </c>
      <c r="V441" s="4">
        <f>Table1[[#This Row],[UnitCost]]*(1+WhatIf!$B$3)</f>
        <v>677.59650000000011</v>
      </c>
      <c r="W441" s="4">
        <f t="shared" si="86"/>
        <v>6453.3</v>
      </c>
      <c r="X441" s="4">
        <f>Table1[[#This Row],[ScenarioRev]]-Table1[[#This Row],[ScenarioUnitCost]]</f>
        <v>13862.753499999999</v>
      </c>
      <c r="Y441" s="4">
        <v>1321.85</v>
      </c>
      <c r="Z441" s="4">
        <f t="shared" si="87"/>
        <v>13218.5</v>
      </c>
      <c r="AA441" s="4">
        <f>Table1[[#This Row],[ScenarioQuanity]]*Table1[[#This Row],[UnitPrice]]*(1-Table1[[#This Row],[ScenarioDiscPct]])</f>
        <v>14540.349999999999</v>
      </c>
      <c r="AB441" s="4">
        <f t="shared" si="88"/>
        <v>6765.2</v>
      </c>
      <c r="AC441" s="4">
        <f>Table1[[#This Row],[ScenarioRev]] - Table1[[#This Row],[ScenarioCostOfGoods]]</f>
        <v>677.59649999999965</v>
      </c>
      <c r="AD441" s="6">
        <v>0</v>
      </c>
      <c r="AE441" s="6">
        <f>MIN(Table1[[#This Row],[DiscountPct]], WhatIf!$B$2)</f>
        <v>0</v>
      </c>
      <c r="AF441" s="6">
        <f>IF(Table1[[#This Row],[DiscountPct]]&gt;0.2, 1, 0)</f>
        <v>0</v>
      </c>
      <c r="AG441" s="6" t="str">
        <f t="shared" si="89"/>
        <v>High</v>
      </c>
      <c r="AH441" s="6">
        <f t="shared" si="90"/>
        <v>0.51179785906116426</v>
      </c>
      <c r="AI441" s="5">
        <v>10</v>
      </c>
      <c r="AJ441" s="6">
        <f>Table1[[#This Row],[Quantity]]*(1+WhatIf!$B$4)</f>
        <v>11</v>
      </c>
    </row>
    <row r="442" spans="1:36" x14ac:dyDescent="0.3">
      <c r="A442" t="s">
        <v>276</v>
      </c>
      <c r="B442" s="3">
        <v>45142</v>
      </c>
      <c r="C442" s="3">
        <v>45162</v>
      </c>
      <c r="D442" s="3">
        <f t="shared" si="79"/>
        <v>45162</v>
      </c>
      <c r="E442" s="4">
        <f t="shared" si="78"/>
        <v>20</v>
      </c>
      <c r="F442" s="4">
        <f t="shared" si="80"/>
        <v>20</v>
      </c>
      <c r="G442" s="4">
        <f>IF(Table1[[#This Row],[CorrectedLeadTimeDays]]&lt;=7, 1, 0)</f>
        <v>0</v>
      </c>
      <c r="H442" s="4" t="str">
        <f t="shared" si="81"/>
        <v>August</v>
      </c>
      <c r="I442" s="4" t="str">
        <f t="shared" si="82"/>
        <v>Q3-2023</v>
      </c>
      <c r="J442" s="4" t="str">
        <f t="shared" si="83"/>
        <v>2023-01</v>
      </c>
      <c r="K442" s="3">
        <f t="shared" si="84"/>
        <v>44955</v>
      </c>
      <c r="L442" t="s">
        <v>648</v>
      </c>
      <c r="M442" t="s">
        <v>655</v>
      </c>
      <c r="N442" t="s">
        <v>672</v>
      </c>
      <c r="O442" t="s">
        <v>703</v>
      </c>
      <c r="P442" t="s">
        <v>711</v>
      </c>
      <c r="R442">
        <f t="shared" si="85"/>
        <v>6</v>
      </c>
      <c r="S442" t="s">
        <v>729</v>
      </c>
      <c r="T442" t="s">
        <v>996</v>
      </c>
      <c r="U442" s="4">
        <v>582.88</v>
      </c>
      <c r="V442" s="4">
        <f>Table1[[#This Row],[UnitCost]]*(1+WhatIf!$B$3)</f>
        <v>612.024</v>
      </c>
      <c r="W442" s="4">
        <f t="shared" si="86"/>
        <v>5828.8</v>
      </c>
      <c r="X442" s="4">
        <f>Table1[[#This Row],[ScenarioRev]]-Table1[[#This Row],[ScenarioUnitCost]]</f>
        <v>8576.4080000000013</v>
      </c>
      <c r="Y442" s="4">
        <v>1044.1400000000001</v>
      </c>
      <c r="Z442" s="4">
        <f t="shared" si="87"/>
        <v>8186.057600000001</v>
      </c>
      <c r="AA442" s="4">
        <f>Table1[[#This Row],[ScenarioQuanity]]*Table1[[#This Row],[UnitPrice]]*(1-Table1[[#This Row],[ScenarioDiscPct]])</f>
        <v>9188.4320000000007</v>
      </c>
      <c r="AB442" s="4">
        <f t="shared" si="88"/>
        <v>2357.2576000000008</v>
      </c>
      <c r="AC442" s="4">
        <f>Table1[[#This Row],[ScenarioRev]] - Table1[[#This Row],[ScenarioCostOfGoods]]</f>
        <v>612.02399999999943</v>
      </c>
      <c r="AD442" s="6">
        <v>0.216</v>
      </c>
      <c r="AE442" s="6">
        <f>MIN(Table1[[#This Row],[DiscountPct]], WhatIf!$B$2)</f>
        <v>0.2</v>
      </c>
      <c r="AF442" s="6">
        <f>IF(Table1[[#This Row],[DiscountPct]]&gt;0.2, 1, 0)</f>
        <v>1</v>
      </c>
      <c r="AG442" s="6" t="str">
        <f t="shared" si="89"/>
        <v>High</v>
      </c>
      <c r="AH442" s="6">
        <f t="shared" si="90"/>
        <v>0.28796005539956138</v>
      </c>
      <c r="AI442" s="5">
        <v>10</v>
      </c>
      <c r="AJ442" s="6">
        <f>Table1[[#This Row],[Quantity]]*(1+WhatIf!$B$4)</f>
        <v>11</v>
      </c>
    </row>
    <row r="443" spans="1:36" x14ac:dyDescent="0.3">
      <c r="A443" t="s">
        <v>554</v>
      </c>
      <c r="B443" s="3">
        <v>44952</v>
      </c>
      <c r="C443" s="3">
        <v>44972</v>
      </c>
      <c r="D443" s="3">
        <f t="shared" si="79"/>
        <v>44972</v>
      </c>
      <c r="E443" s="4">
        <f t="shared" si="78"/>
        <v>20</v>
      </c>
      <c r="F443" s="4">
        <f t="shared" si="80"/>
        <v>20</v>
      </c>
      <c r="G443" s="4">
        <f>IF(Table1[[#This Row],[CorrectedLeadTimeDays]]&lt;=7, 1, 0)</f>
        <v>0</v>
      </c>
      <c r="H443" s="4" t="str">
        <f t="shared" si="81"/>
        <v>January</v>
      </c>
      <c r="I443" s="4" t="str">
        <f t="shared" si="82"/>
        <v>Q1-2023</v>
      </c>
      <c r="J443" s="4" t="str">
        <f t="shared" si="83"/>
        <v>2023-01</v>
      </c>
      <c r="K443" s="3">
        <f t="shared" si="84"/>
        <v>44948</v>
      </c>
      <c r="L443" t="s">
        <v>649</v>
      </c>
      <c r="M443" t="s">
        <v>656</v>
      </c>
      <c r="N443" t="s">
        <v>671</v>
      </c>
      <c r="O443" t="s">
        <v>705</v>
      </c>
      <c r="P443" t="s">
        <v>708</v>
      </c>
      <c r="Q443" t="s">
        <v>719</v>
      </c>
      <c r="R443">
        <f t="shared" si="85"/>
        <v>0</v>
      </c>
      <c r="S443" t="s">
        <v>729</v>
      </c>
      <c r="T443" t="s">
        <v>1272</v>
      </c>
      <c r="U443" s="4">
        <v>492.62</v>
      </c>
      <c r="V443" s="4">
        <f>Table1[[#This Row],[UnitCost]]*(1+WhatIf!$B$3)</f>
        <v>517.25099999999998</v>
      </c>
      <c r="W443" s="4">
        <f t="shared" si="86"/>
        <v>4926.2</v>
      </c>
      <c r="X443" s="4">
        <f>Table1[[#This Row],[ScenarioRev]]-Table1[[#This Row],[ScenarioUnitCost]]</f>
        <v>3157.4497000000001</v>
      </c>
      <c r="Y443" s="4">
        <v>366.7</v>
      </c>
      <c r="Z443" s="4">
        <f t="shared" si="87"/>
        <v>3340.6370000000002</v>
      </c>
      <c r="AA443" s="4">
        <f>Table1[[#This Row],[ScenarioQuanity]]*Table1[[#This Row],[UnitPrice]]*(1-Table1[[#This Row],[ScenarioDiscPct]])</f>
        <v>3674.7006999999999</v>
      </c>
      <c r="AB443" s="4">
        <f t="shared" si="88"/>
        <v>-1585.5629999999996</v>
      </c>
      <c r="AC443" s="4">
        <f>Table1[[#This Row],[ScenarioRev]] - Table1[[#This Row],[ScenarioCostOfGoods]]</f>
        <v>517.25099999999975</v>
      </c>
      <c r="AD443" s="6">
        <v>8.8999999999999996E-2</v>
      </c>
      <c r="AE443" s="6">
        <f>MIN(Table1[[#This Row],[DiscountPct]], WhatIf!$B$2)</f>
        <v>8.8999999999999996E-2</v>
      </c>
      <c r="AF443" s="6">
        <f>IF(Table1[[#This Row],[DiscountPct]]&gt;0.2, 1, 0)</f>
        <v>0</v>
      </c>
      <c r="AG443" s="6" t="str">
        <f t="shared" si="89"/>
        <v>Low</v>
      </c>
      <c r="AH443" s="6">
        <f t="shared" si="90"/>
        <v>-0.47462894052840809</v>
      </c>
      <c r="AI443" s="5">
        <v>10</v>
      </c>
      <c r="AJ443" s="6">
        <f>Table1[[#This Row],[Quantity]]*(1+WhatIf!$B$4)</f>
        <v>11</v>
      </c>
    </row>
    <row r="444" spans="1:36" x14ac:dyDescent="0.3">
      <c r="A444" t="s">
        <v>546</v>
      </c>
      <c r="B444" s="3">
        <v>45769</v>
      </c>
      <c r="C444" s="3">
        <v>45789</v>
      </c>
      <c r="D444" s="3">
        <f t="shared" si="79"/>
        <v>45789</v>
      </c>
      <c r="E444" s="4">
        <f t="shared" si="78"/>
        <v>20</v>
      </c>
      <c r="F444" s="4">
        <f t="shared" si="80"/>
        <v>20</v>
      </c>
      <c r="G444" s="4">
        <f>IF(Table1[[#This Row],[CorrectedLeadTimeDays]]&lt;=7, 1, 0)</f>
        <v>0</v>
      </c>
      <c r="H444" s="4" t="str">
        <f t="shared" si="81"/>
        <v>April</v>
      </c>
      <c r="I444" s="4" t="str">
        <f t="shared" si="82"/>
        <v>Q2-2025</v>
      </c>
      <c r="J444" s="4" t="str">
        <f t="shared" si="83"/>
        <v>2023-01</v>
      </c>
      <c r="K444" s="3">
        <f t="shared" si="84"/>
        <v>44936</v>
      </c>
      <c r="L444" t="s">
        <v>649</v>
      </c>
      <c r="M444" t="s">
        <v>657</v>
      </c>
      <c r="N444" t="s">
        <v>679</v>
      </c>
      <c r="O444" t="s">
        <v>706</v>
      </c>
      <c r="P444" t="s">
        <v>709</v>
      </c>
      <c r="Q444" t="s">
        <v>723</v>
      </c>
      <c r="R444">
        <f t="shared" si="85"/>
        <v>27</v>
      </c>
      <c r="S444" t="s">
        <v>732</v>
      </c>
      <c r="T444" t="s">
        <v>1265</v>
      </c>
      <c r="U444" s="4">
        <v>59.51</v>
      </c>
      <c r="V444" s="4">
        <f>Table1[[#This Row],[UnitCost]]*(1+WhatIf!$B$3)</f>
        <v>62.485500000000002</v>
      </c>
      <c r="W444" s="4">
        <f t="shared" si="86"/>
        <v>535.59</v>
      </c>
      <c r="X444" s="4">
        <f>Table1[[#This Row],[ScenarioRev]]-Table1[[#This Row],[ScenarioUnitCost]]</f>
        <v>525.54915600000015</v>
      </c>
      <c r="Y444" s="4">
        <v>67.040000000000006</v>
      </c>
      <c r="Z444" s="4">
        <f t="shared" si="87"/>
        <v>534.57695999999999</v>
      </c>
      <c r="AA444" s="4">
        <f>Table1[[#This Row],[ScenarioQuanity]]*Table1[[#This Row],[UnitPrice]]*(1-Table1[[#This Row],[ScenarioDiscPct]])</f>
        <v>588.03465600000015</v>
      </c>
      <c r="AB444" s="4">
        <f t="shared" si="88"/>
        <v>-1.0130400000000463</v>
      </c>
      <c r="AC444" s="4">
        <f>Table1[[#This Row],[ScenarioRev]] - Table1[[#This Row],[ScenarioCostOfGoods]]</f>
        <v>62.485500000000002</v>
      </c>
      <c r="AD444" s="6">
        <v>0.114</v>
      </c>
      <c r="AE444" s="6">
        <f>MIN(Table1[[#This Row],[DiscountPct]], WhatIf!$B$2)</f>
        <v>0.114</v>
      </c>
      <c r="AF444" s="6">
        <f>IF(Table1[[#This Row],[DiscountPct]]&gt;0.2, 1, 0)</f>
        <v>0</v>
      </c>
      <c r="AG444" s="6" t="str">
        <f t="shared" si="89"/>
        <v>Low</v>
      </c>
      <c r="AH444" s="6">
        <f t="shared" si="90"/>
        <v>-1.8950311663264469E-3</v>
      </c>
      <c r="AI444" s="5">
        <v>9</v>
      </c>
      <c r="AJ444" s="6">
        <f>Table1[[#This Row],[Quantity]]*(1+WhatIf!$B$4)</f>
        <v>9.9</v>
      </c>
    </row>
    <row r="445" spans="1:36" x14ac:dyDescent="0.3">
      <c r="A445" t="s">
        <v>628</v>
      </c>
      <c r="B445" s="3">
        <v>45137</v>
      </c>
      <c r="C445" s="3">
        <v>45157</v>
      </c>
      <c r="D445" s="3">
        <f t="shared" si="79"/>
        <v>45157</v>
      </c>
      <c r="E445" s="4">
        <f t="shared" si="78"/>
        <v>20</v>
      </c>
      <c r="F445" s="4">
        <f t="shared" si="80"/>
        <v>20</v>
      </c>
      <c r="G445" s="4">
        <f>IF(Table1[[#This Row],[CorrectedLeadTimeDays]]&lt;=7, 1, 0)</f>
        <v>0</v>
      </c>
      <c r="H445" s="4" t="str">
        <f t="shared" si="81"/>
        <v>July</v>
      </c>
      <c r="I445" s="4" t="str">
        <f t="shared" si="82"/>
        <v>Q3-2023</v>
      </c>
      <c r="J445" s="4" t="str">
        <f t="shared" si="83"/>
        <v>2023-01</v>
      </c>
      <c r="K445" s="3">
        <f t="shared" si="84"/>
        <v>44936</v>
      </c>
      <c r="L445" t="s">
        <v>649</v>
      </c>
      <c r="M445" t="s">
        <v>657</v>
      </c>
      <c r="N445" t="s">
        <v>690</v>
      </c>
      <c r="O445" t="s">
        <v>706</v>
      </c>
      <c r="P445" t="s">
        <v>709</v>
      </c>
      <c r="Q445" t="s">
        <v>715</v>
      </c>
      <c r="R445">
        <f t="shared" si="85"/>
        <v>6</v>
      </c>
      <c r="S445" t="s">
        <v>729</v>
      </c>
      <c r="T445" t="s">
        <v>1346</v>
      </c>
      <c r="U445" s="4">
        <v>1418.51</v>
      </c>
      <c r="V445" s="4">
        <f>Table1[[#This Row],[UnitCost]]*(1+WhatIf!$B$3)</f>
        <v>1489.4355</v>
      </c>
      <c r="W445" s="4">
        <f t="shared" si="86"/>
        <v>11348.08</v>
      </c>
      <c r="X445" s="4">
        <f>Table1[[#This Row],[ScenarioRev]]-Table1[[#This Row],[ScenarioUnitCost]]</f>
        <v>18861.327372000003</v>
      </c>
      <c r="Y445" s="4">
        <v>2789.61</v>
      </c>
      <c r="Z445" s="4">
        <f t="shared" si="87"/>
        <v>18500.693520000001</v>
      </c>
      <c r="AA445" s="4">
        <f>Table1[[#This Row],[ScenarioQuanity]]*Table1[[#This Row],[UnitPrice]]*(1-Table1[[#This Row],[ScenarioDiscPct]])</f>
        <v>20350.762872000003</v>
      </c>
      <c r="AB445" s="4">
        <f t="shared" si="88"/>
        <v>7152.6135200000008</v>
      </c>
      <c r="AC445" s="4">
        <f>Table1[[#This Row],[ScenarioRev]] - Table1[[#This Row],[ScenarioCostOfGoods]]</f>
        <v>1489.4354999999996</v>
      </c>
      <c r="AD445" s="6">
        <v>0.17100000000000001</v>
      </c>
      <c r="AE445" s="6">
        <f>MIN(Table1[[#This Row],[DiscountPct]], WhatIf!$B$2)</f>
        <v>0.17100000000000001</v>
      </c>
      <c r="AF445" s="6">
        <f>IF(Table1[[#This Row],[DiscountPct]]&gt;0.2, 1, 0)</f>
        <v>0</v>
      </c>
      <c r="AG445" s="6" t="str">
        <f t="shared" si="89"/>
        <v>High</v>
      </c>
      <c r="AH445" s="6">
        <f t="shared" si="90"/>
        <v>0.38661326464695689</v>
      </c>
      <c r="AI445" s="5">
        <v>8</v>
      </c>
      <c r="AJ445" s="6">
        <f>Table1[[#This Row],[Quantity]]*(1+WhatIf!$B$4)</f>
        <v>8.8000000000000007</v>
      </c>
    </row>
    <row r="446" spans="1:36" x14ac:dyDescent="0.3">
      <c r="A446" t="s">
        <v>460</v>
      </c>
      <c r="B446" s="3">
        <v>45284</v>
      </c>
      <c r="C446" s="3">
        <v>45304</v>
      </c>
      <c r="D446" s="3">
        <f t="shared" si="79"/>
        <v>45304</v>
      </c>
      <c r="E446" s="4">
        <f t="shared" si="78"/>
        <v>20</v>
      </c>
      <c r="F446" s="4">
        <f t="shared" si="80"/>
        <v>20</v>
      </c>
      <c r="G446" s="4">
        <f>IF(Table1[[#This Row],[CorrectedLeadTimeDays]]&lt;=7, 1, 0)</f>
        <v>0</v>
      </c>
      <c r="H446" s="4" t="str">
        <f t="shared" si="81"/>
        <v>December</v>
      </c>
      <c r="I446" s="4" t="str">
        <f t="shared" si="82"/>
        <v>Q4-2023</v>
      </c>
      <c r="J446" s="4" t="str">
        <f t="shared" si="83"/>
        <v>2023-03</v>
      </c>
      <c r="K446" s="3">
        <f t="shared" si="84"/>
        <v>44988</v>
      </c>
      <c r="L446" t="s">
        <v>647</v>
      </c>
      <c r="M446" t="s">
        <v>652</v>
      </c>
      <c r="N446" t="s">
        <v>694</v>
      </c>
      <c r="O446" t="s">
        <v>702</v>
      </c>
      <c r="P446" t="s">
        <v>711</v>
      </c>
      <c r="Q446" t="s">
        <v>717</v>
      </c>
      <c r="R446">
        <f t="shared" si="85"/>
        <v>9</v>
      </c>
      <c r="S446" t="s">
        <v>731</v>
      </c>
      <c r="T446" t="s">
        <v>1179</v>
      </c>
      <c r="U446" s="4">
        <v>625.37</v>
      </c>
      <c r="V446" s="4">
        <f>Table1[[#This Row],[UnitCost]]*(1+WhatIf!$B$3)</f>
        <v>656.63850000000002</v>
      </c>
      <c r="W446" s="4">
        <f t="shared" si="86"/>
        <v>5002.96</v>
      </c>
      <c r="X446" s="4">
        <f>Table1[[#This Row],[ScenarioRev]]-Table1[[#This Row],[ScenarioUnitCost]]</f>
        <v>10091.954652</v>
      </c>
      <c r="Y446" s="4">
        <v>1319.04</v>
      </c>
      <c r="Z446" s="4">
        <f t="shared" si="87"/>
        <v>9771.4483199999995</v>
      </c>
      <c r="AA446" s="4">
        <f>Table1[[#This Row],[ScenarioQuanity]]*Table1[[#This Row],[UnitPrice]]*(1-Table1[[#This Row],[ScenarioDiscPct]])</f>
        <v>10748.593152000001</v>
      </c>
      <c r="AB446" s="4">
        <f t="shared" si="88"/>
        <v>4768.4883199999995</v>
      </c>
      <c r="AC446" s="4">
        <f>Table1[[#This Row],[ScenarioRev]] - Table1[[#This Row],[ScenarioCostOfGoods]]</f>
        <v>656.63850000000093</v>
      </c>
      <c r="AD446" s="6">
        <v>7.3999999999999996E-2</v>
      </c>
      <c r="AE446" s="6">
        <f>MIN(Table1[[#This Row],[DiscountPct]], WhatIf!$B$2)</f>
        <v>7.3999999999999996E-2</v>
      </c>
      <c r="AF446" s="6">
        <f>IF(Table1[[#This Row],[DiscountPct]]&gt;0.2, 1, 0)</f>
        <v>0</v>
      </c>
      <c r="AG446" s="6" t="str">
        <f t="shared" si="89"/>
        <v>High</v>
      </c>
      <c r="AH446" s="6">
        <f t="shared" si="90"/>
        <v>0.48800220436513547</v>
      </c>
      <c r="AI446" s="5">
        <v>8</v>
      </c>
      <c r="AJ446" s="6">
        <f>Table1[[#This Row],[Quantity]]*(1+WhatIf!$B$4)</f>
        <v>8.8000000000000007</v>
      </c>
    </row>
    <row r="447" spans="1:36" x14ac:dyDescent="0.3">
      <c r="A447" t="s">
        <v>291</v>
      </c>
      <c r="B447" s="3">
        <v>45832</v>
      </c>
      <c r="C447" s="3">
        <v>45852</v>
      </c>
      <c r="D447" s="3">
        <f t="shared" si="79"/>
        <v>45852</v>
      </c>
      <c r="E447" s="4">
        <f t="shared" si="78"/>
        <v>20</v>
      </c>
      <c r="F447" s="4">
        <f t="shared" si="80"/>
        <v>20</v>
      </c>
      <c r="G447" s="4">
        <f>IF(Table1[[#This Row],[CorrectedLeadTimeDays]]&lt;=7, 1, 0)</f>
        <v>0</v>
      </c>
      <c r="H447" s="4" t="str">
        <f t="shared" si="81"/>
        <v>June</v>
      </c>
      <c r="I447" s="4" t="str">
        <f t="shared" si="82"/>
        <v>Q2-2025</v>
      </c>
      <c r="J447" s="4" t="str">
        <f t="shared" si="83"/>
        <v>2023-01</v>
      </c>
      <c r="K447" s="3">
        <f t="shared" si="84"/>
        <v>44948</v>
      </c>
      <c r="L447" t="s">
        <v>649</v>
      </c>
      <c r="M447" t="s">
        <v>656</v>
      </c>
      <c r="N447" t="s">
        <v>671</v>
      </c>
      <c r="O447" t="s">
        <v>701</v>
      </c>
      <c r="P447" t="s">
        <v>711</v>
      </c>
      <c r="Q447" t="s">
        <v>719</v>
      </c>
      <c r="R447">
        <f t="shared" si="85"/>
        <v>29</v>
      </c>
      <c r="S447" t="s">
        <v>733</v>
      </c>
      <c r="T447" t="s">
        <v>1011</v>
      </c>
      <c r="U447" s="4">
        <v>385.08</v>
      </c>
      <c r="V447" s="4">
        <f>Table1[[#This Row],[UnitCost]]*(1+WhatIf!$B$3)</f>
        <v>404.334</v>
      </c>
      <c r="W447" s="4">
        <f t="shared" si="86"/>
        <v>3080.64</v>
      </c>
      <c r="X447" s="4">
        <f>Table1[[#This Row],[ScenarioRev]]-Table1[[#This Row],[ScenarioUnitCost]]</f>
        <v>6268.8671280000008</v>
      </c>
      <c r="Y447" s="4">
        <v>893.19</v>
      </c>
      <c r="Z447" s="4">
        <f t="shared" si="87"/>
        <v>6066.54648</v>
      </c>
      <c r="AA447" s="4">
        <f>Table1[[#This Row],[ScenarioQuanity]]*Table1[[#This Row],[UnitPrice]]*(1-Table1[[#This Row],[ScenarioDiscPct]])</f>
        <v>6673.2011280000006</v>
      </c>
      <c r="AB447" s="4">
        <f t="shared" si="88"/>
        <v>2985.9064800000001</v>
      </c>
      <c r="AC447" s="4">
        <f>Table1[[#This Row],[ScenarioRev]] - Table1[[#This Row],[ScenarioCostOfGoods]]</f>
        <v>404.33399999999983</v>
      </c>
      <c r="AD447" s="6">
        <v>0.151</v>
      </c>
      <c r="AE447" s="6">
        <f>MIN(Table1[[#This Row],[DiscountPct]], WhatIf!$B$2)</f>
        <v>0.151</v>
      </c>
      <c r="AF447" s="6">
        <f>IF(Table1[[#This Row],[DiscountPct]]&gt;0.2, 1, 0)</f>
        <v>0</v>
      </c>
      <c r="AG447" s="6" t="str">
        <f t="shared" si="89"/>
        <v>High</v>
      </c>
      <c r="AH447" s="6">
        <f t="shared" si="90"/>
        <v>0.49219213762621666</v>
      </c>
      <c r="AI447" s="5">
        <v>8</v>
      </c>
      <c r="AJ447" s="6">
        <f>Table1[[#This Row],[Quantity]]*(1+WhatIf!$B$4)</f>
        <v>8.8000000000000007</v>
      </c>
    </row>
    <row r="448" spans="1:36" x14ac:dyDescent="0.3">
      <c r="A448" t="s">
        <v>66</v>
      </c>
      <c r="B448" s="3">
        <v>45582</v>
      </c>
      <c r="C448" s="3">
        <v>45602</v>
      </c>
      <c r="D448" s="3">
        <f t="shared" si="79"/>
        <v>45602</v>
      </c>
      <c r="E448" s="4">
        <f t="shared" si="78"/>
        <v>20</v>
      </c>
      <c r="F448" s="4">
        <f t="shared" si="80"/>
        <v>20</v>
      </c>
      <c r="G448" s="4">
        <f>IF(Table1[[#This Row],[CorrectedLeadTimeDays]]&lt;=7, 1, 0)</f>
        <v>0</v>
      </c>
      <c r="H448" s="4" t="str">
        <f t="shared" si="81"/>
        <v>October</v>
      </c>
      <c r="I448" s="4" t="str">
        <f t="shared" si="82"/>
        <v>Q4-2024</v>
      </c>
      <c r="J448" s="4" t="str">
        <f t="shared" si="83"/>
        <v>2023-01</v>
      </c>
      <c r="K448" s="3">
        <f t="shared" si="84"/>
        <v>44955</v>
      </c>
      <c r="L448" t="s">
        <v>647</v>
      </c>
      <c r="M448" t="s">
        <v>654</v>
      </c>
      <c r="N448" t="s">
        <v>668</v>
      </c>
      <c r="O448" t="s">
        <v>706</v>
      </c>
      <c r="P448" t="s">
        <v>710</v>
      </c>
      <c r="Q448" t="s">
        <v>719</v>
      </c>
      <c r="R448">
        <f t="shared" si="85"/>
        <v>20</v>
      </c>
      <c r="S448" t="s">
        <v>732</v>
      </c>
      <c r="T448" t="s">
        <v>785</v>
      </c>
      <c r="U448" s="4">
        <v>72.94</v>
      </c>
      <c r="V448" s="4">
        <f>Table1[[#This Row],[UnitCost]]*(1+WhatIf!$B$3)</f>
        <v>76.587000000000003</v>
      </c>
      <c r="W448" s="4">
        <f t="shared" si="86"/>
        <v>583.52</v>
      </c>
      <c r="X448" s="4">
        <f>Table1[[#This Row],[ScenarioRev]]-Table1[[#This Row],[ScenarioUnitCost]]</f>
        <v>671.7650000000001</v>
      </c>
      <c r="Y448" s="4">
        <v>106.3</v>
      </c>
      <c r="Z448" s="4">
        <f t="shared" si="87"/>
        <v>599.53200000000004</v>
      </c>
      <c r="AA448" s="4">
        <f>Table1[[#This Row],[ScenarioQuanity]]*Table1[[#This Row],[UnitPrice]]*(1-Table1[[#This Row],[ScenarioDiscPct]])</f>
        <v>748.35200000000009</v>
      </c>
      <c r="AB448" s="4">
        <f t="shared" si="88"/>
        <v>16.012000000000057</v>
      </c>
      <c r="AC448" s="4">
        <f>Table1[[#This Row],[ScenarioRev]] - Table1[[#This Row],[ScenarioCostOfGoods]]</f>
        <v>76.586999999999989</v>
      </c>
      <c r="AD448" s="6">
        <v>0.29499999999999998</v>
      </c>
      <c r="AE448" s="6">
        <f>MIN(Table1[[#This Row],[DiscountPct]], WhatIf!$B$2)</f>
        <v>0.2</v>
      </c>
      <c r="AF448" s="6">
        <f>IF(Table1[[#This Row],[DiscountPct]]&gt;0.2, 1, 0)</f>
        <v>1</v>
      </c>
      <c r="AG448" s="6" t="str">
        <f t="shared" si="89"/>
        <v>Low</v>
      </c>
      <c r="AH448" s="6">
        <f t="shared" si="90"/>
        <v>2.6707498515508857E-2</v>
      </c>
      <c r="AI448" s="5">
        <v>8</v>
      </c>
      <c r="AJ448" s="6">
        <f>Table1[[#This Row],[Quantity]]*(1+WhatIf!$B$4)</f>
        <v>8.8000000000000007</v>
      </c>
    </row>
    <row r="449" spans="1:36" x14ac:dyDescent="0.3">
      <c r="A449" t="s">
        <v>203</v>
      </c>
      <c r="B449" s="3">
        <v>45431</v>
      </c>
      <c r="C449" s="3">
        <v>45451</v>
      </c>
      <c r="D449" s="3">
        <f t="shared" si="79"/>
        <v>45451</v>
      </c>
      <c r="E449" s="4">
        <f t="shared" si="78"/>
        <v>20</v>
      </c>
      <c r="F449" s="4">
        <f t="shared" si="80"/>
        <v>20</v>
      </c>
      <c r="G449" s="4">
        <f>IF(Table1[[#This Row],[CorrectedLeadTimeDays]]&lt;=7, 1, 0)</f>
        <v>0</v>
      </c>
      <c r="H449" s="4" t="str">
        <f t="shared" si="81"/>
        <v>May</v>
      </c>
      <c r="I449" s="4" t="str">
        <f t="shared" si="82"/>
        <v>Q2-2024</v>
      </c>
      <c r="J449" s="4" t="str">
        <f t="shared" si="83"/>
        <v>2023-01</v>
      </c>
      <c r="K449" s="3">
        <f t="shared" si="84"/>
        <v>44955</v>
      </c>
      <c r="L449" t="s">
        <v>648</v>
      </c>
      <c r="M449" t="s">
        <v>655</v>
      </c>
      <c r="N449" t="s">
        <v>672</v>
      </c>
      <c r="O449" t="s">
        <v>705</v>
      </c>
      <c r="P449" t="s">
        <v>707</v>
      </c>
      <c r="Q449" t="s">
        <v>718</v>
      </c>
      <c r="R449">
        <f t="shared" si="85"/>
        <v>15</v>
      </c>
      <c r="S449" t="s">
        <v>732</v>
      </c>
      <c r="T449" t="s">
        <v>923</v>
      </c>
      <c r="U449" s="4">
        <v>1075.9000000000001</v>
      </c>
      <c r="V449" s="4">
        <f>Table1[[#This Row],[UnitCost]]*(1+WhatIf!$B$3)</f>
        <v>1129.6950000000002</v>
      </c>
      <c r="W449" s="4">
        <f t="shared" si="86"/>
        <v>7531.3000000000011</v>
      </c>
      <c r="X449" s="4">
        <f>Table1[[#This Row],[ScenarioRev]]-Table1[[#This Row],[ScenarioUnitCost]]</f>
        <v>8320.0853400000015</v>
      </c>
      <c r="Y449" s="4">
        <v>1242.1500000000001</v>
      </c>
      <c r="Z449" s="4">
        <f t="shared" si="87"/>
        <v>8590.7094000000016</v>
      </c>
      <c r="AA449" s="4">
        <f>Table1[[#This Row],[ScenarioQuanity]]*Table1[[#This Row],[UnitPrice]]*(1-Table1[[#This Row],[ScenarioDiscPct]])</f>
        <v>9449.7803400000012</v>
      </c>
      <c r="AB449" s="4">
        <f t="shared" si="88"/>
        <v>1059.4094000000005</v>
      </c>
      <c r="AC449" s="4">
        <f>Table1[[#This Row],[ScenarioRev]] - Table1[[#This Row],[ScenarioCostOfGoods]]</f>
        <v>1129.6949999999997</v>
      </c>
      <c r="AD449" s="6">
        <v>1.2E-2</v>
      </c>
      <c r="AE449" s="6">
        <f>MIN(Table1[[#This Row],[DiscountPct]], WhatIf!$B$2)</f>
        <v>1.2E-2</v>
      </c>
      <c r="AF449" s="6">
        <f>IF(Table1[[#This Row],[DiscountPct]]&gt;0.2, 1, 0)</f>
        <v>0</v>
      </c>
      <c r="AG449" s="6" t="str">
        <f t="shared" si="89"/>
        <v>High</v>
      </c>
      <c r="AH449" s="6">
        <f t="shared" si="90"/>
        <v>0.12332036280961853</v>
      </c>
      <c r="AI449" s="5">
        <v>7</v>
      </c>
      <c r="AJ449" s="6">
        <f>Table1[[#This Row],[Quantity]]*(1+WhatIf!$B$4)</f>
        <v>7.7000000000000011</v>
      </c>
    </row>
    <row r="450" spans="1:36" x14ac:dyDescent="0.3">
      <c r="A450" t="s">
        <v>90</v>
      </c>
      <c r="B450" s="3">
        <v>45187</v>
      </c>
      <c r="C450" s="3">
        <v>45207</v>
      </c>
      <c r="D450" s="3">
        <f t="shared" si="79"/>
        <v>45207</v>
      </c>
      <c r="E450" s="4">
        <f t="shared" ref="E450:E513" si="91">C450-B450</f>
        <v>20</v>
      </c>
      <c r="F450" s="4">
        <f t="shared" si="80"/>
        <v>20</v>
      </c>
      <c r="G450" s="4">
        <f>IF(Table1[[#This Row],[CorrectedLeadTimeDays]]&lt;=7, 1, 0)</f>
        <v>0</v>
      </c>
      <c r="H450" s="4" t="str">
        <f t="shared" si="81"/>
        <v>September</v>
      </c>
      <c r="I450" s="4" t="str">
        <f t="shared" si="82"/>
        <v>Q3-2023</v>
      </c>
      <c r="J450" s="4" t="str">
        <f t="shared" si="83"/>
        <v>2023-01</v>
      </c>
      <c r="K450" s="3">
        <f t="shared" si="84"/>
        <v>44955</v>
      </c>
      <c r="L450" t="s">
        <v>647</v>
      </c>
      <c r="M450" t="s">
        <v>654</v>
      </c>
      <c r="N450" t="s">
        <v>680</v>
      </c>
      <c r="O450" t="s">
        <v>705</v>
      </c>
      <c r="P450" t="s">
        <v>711</v>
      </c>
      <c r="Q450" t="s">
        <v>717</v>
      </c>
      <c r="R450">
        <f t="shared" si="85"/>
        <v>7</v>
      </c>
      <c r="S450" t="s">
        <v>727</v>
      </c>
      <c r="T450" t="s">
        <v>809</v>
      </c>
      <c r="U450" s="4">
        <v>825.64</v>
      </c>
      <c r="V450" s="4">
        <f>Table1[[#This Row],[UnitCost]]*(1+WhatIf!$B$3)</f>
        <v>866.92200000000003</v>
      </c>
      <c r="W450" s="4">
        <f t="shared" si="86"/>
        <v>5779.48</v>
      </c>
      <c r="X450" s="4">
        <f>Table1[[#This Row],[ScenarioRev]]-Table1[[#This Row],[ScenarioUnitCost]]</f>
        <v>6695.0091460000021</v>
      </c>
      <c r="Y450" s="4">
        <v>1108.43</v>
      </c>
      <c r="Z450" s="4">
        <f t="shared" si="87"/>
        <v>6874.4828600000001</v>
      </c>
      <c r="AA450" s="4">
        <f>Table1[[#This Row],[ScenarioQuanity]]*Table1[[#This Row],[UnitPrice]]*(1-Table1[[#This Row],[ScenarioDiscPct]])</f>
        <v>7561.9311460000017</v>
      </c>
      <c r="AB450" s="4">
        <f t="shared" si="88"/>
        <v>1095.0028600000005</v>
      </c>
      <c r="AC450" s="4">
        <f>Table1[[#This Row],[ScenarioRev]] - Table1[[#This Row],[ScenarioCostOfGoods]]</f>
        <v>866.92199999999957</v>
      </c>
      <c r="AD450" s="6">
        <v>0.114</v>
      </c>
      <c r="AE450" s="6">
        <f>MIN(Table1[[#This Row],[DiscountPct]], WhatIf!$B$2)</f>
        <v>0.114</v>
      </c>
      <c r="AF450" s="6">
        <f>IF(Table1[[#This Row],[DiscountPct]]&gt;0.2, 1, 0)</f>
        <v>0</v>
      </c>
      <c r="AG450" s="6" t="str">
        <f t="shared" si="89"/>
        <v>High</v>
      </c>
      <c r="AH450" s="6">
        <f t="shared" si="90"/>
        <v>0.15928512475773349</v>
      </c>
      <c r="AI450" s="5">
        <v>7</v>
      </c>
      <c r="AJ450" s="6">
        <f>Table1[[#This Row],[Quantity]]*(1+WhatIf!$B$4)</f>
        <v>7.7000000000000011</v>
      </c>
    </row>
    <row r="451" spans="1:36" x14ac:dyDescent="0.3">
      <c r="A451" t="s">
        <v>435</v>
      </c>
      <c r="B451" s="3">
        <v>45713</v>
      </c>
      <c r="C451" s="3">
        <v>45733</v>
      </c>
      <c r="D451" s="3">
        <f t="shared" ref="D451:D514" si="92">IF(C451&lt;B451, B451+14, C451)</f>
        <v>45733</v>
      </c>
      <c r="E451" s="4">
        <f t="shared" si="91"/>
        <v>20</v>
      </c>
      <c r="F451" s="4">
        <f t="shared" ref="F451:F514" si="93">D451-B451</f>
        <v>20</v>
      </c>
      <c r="G451" s="4">
        <f>IF(Table1[[#This Row],[CorrectedLeadTimeDays]]&lt;=7, 1, 0)</f>
        <v>0</v>
      </c>
      <c r="H451" s="4" t="str">
        <f t="shared" ref="H451:H514" si="94">TEXT(B451, "mmmm")</f>
        <v>February</v>
      </c>
      <c r="I451" s="4" t="str">
        <f t="shared" ref="I451:I514" si="95">"Q"&amp;ROUNDUP(MONTH(B451)/3,0)&amp;"-"&amp;YEAR(B451)</f>
        <v>Q1-2025</v>
      </c>
      <c r="J451" s="4" t="str">
        <f t="shared" ref="J451:J514" si="96">TEXT(K451, "yyyy-mm")</f>
        <v>2023-01</v>
      </c>
      <c r="K451" s="3">
        <f t="shared" ref="K451:K514" si="97">_xlfn.MINIFS($B:$B,$M:$M,M451)</f>
        <v>44939</v>
      </c>
      <c r="L451" t="s">
        <v>648</v>
      </c>
      <c r="M451" t="s">
        <v>660</v>
      </c>
      <c r="N451" t="s">
        <v>686</v>
      </c>
      <c r="O451" t="s">
        <v>703</v>
      </c>
      <c r="P451" t="s">
        <v>709</v>
      </c>
      <c r="Q451" t="s">
        <v>722</v>
      </c>
      <c r="R451">
        <f t="shared" ref="R451:R514" si="98">DATEDIF(K451,B451,"m")</f>
        <v>25</v>
      </c>
      <c r="S451" t="s">
        <v>730</v>
      </c>
      <c r="T451" t="s">
        <v>1154</v>
      </c>
      <c r="U451" s="4">
        <v>1205.26</v>
      </c>
      <c r="V451" s="4">
        <f>Table1[[#This Row],[UnitCost]]*(1+WhatIf!$B$3)</f>
        <v>1265.5230000000001</v>
      </c>
      <c r="W451" s="4">
        <f t="shared" ref="W451:W514" si="99">U451*AI451</f>
        <v>7231.5599999999995</v>
      </c>
      <c r="X451" s="4">
        <f>Table1[[#This Row],[ScenarioRev]]-Table1[[#This Row],[ScenarioUnitCost]]</f>
        <v>9717.6647100000009</v>
      </c>
      <c r="Y451" s="4">
        <v>1696.35</v>
      </c>
      <c r="Z451" s="4">
        <f t="shared" ref="Z451:Z514" si="100">Y451*AI451*(1-AD451)</f>
        <v>9984.7160999999978</v>
      </c>
      <c r="AA451" s="4">
        <f>Table1[[#This Row],[ScenarioQuanity]]*Table1[[#This Row],[UnitPrice]]*(1-Table1[[#This Row],[ScenarioDiscPct]])</f>
        <v>10983.18771</v>
      </c>
      <c r="AB451" s="4">
        <f t="shared" ref="AB451:AB514" si="101">Z451-W451</f>
        <v>2753.1560999999983</v>
      </c>
      <c r="AC451" s="4">
        <f>Table1[[#This Row],[ScenarioRev]] - Table1[[#This Row],[ScenarioCostOfGoods]]</f>
        <v>1265.5229999999992</v>
      </c>
      <c r="AD451" s="6">
        <v>1.9E-2</v>
      </c>
      <c r="AE451" s="6">
        <f>MIN(Table1[[#This Row],[DiscountPct]], WhatIf!$B$2)</f>
        <v>1.9E-2</v>
      </c>
      <c r="AF451" s="6">
        <f>IF(Table1[[#This Row],[DiscountPct]]&gt;0.2, 1, 0)</f>
        <v>0</v>
      </c>
      <c r="AG451" s="6" t="str">
        <f t="shared" ref="AG451:AG514" si="102">IF(Y451&lt;=_xlfn.PERCENTILE.INC($Y:$Y,0.33),"Low",
 IF(D451&lt;=_xlfn.PERCENTILE.INC($Y:$Y,0.66),"Medium",
 "High"))</f>
        <v>High</v>
      </c>
      <c r="AH451" s="6">
        <f t="shared" ref="AH451:AH514" si="103">IF(Z451=0, 0, AB451/Z451)</f>
        <v>0.27573704374028213</v>
      </c>
      <c r="AI451" s="5">
        <v>6</v>
      </c>
      <c r="AJ451" s="6">
        <f>Table1[[#This Row],[Quantity]]*(1+WhatIf!$B$4)</f>
        <v>6.6000000000000005</v>
      </c>
    </row>
    <row r="452" spans="1:36" x14ac:dyDescent="0.3">
      <c r="A452" t="s">
        <v>109</v>
      </c>
      <c r="B452" s="3">
        <v>45910</v>
      </c>
      <c r="C452" s="3">
        <v>45930</v>
      </c>
      <c r="D452" s="3">
        <f t="shared" si="92"/>
        <v>45930</v>
      </c>
      <c r="E452" s="4">
        <f t="shared" si="91"/>
        <v>20</v>
      </c>
      <c r="F452" s="4">
        <f t="shared" si="93"/>
        <v>20</v>
      </c>
      <c r="G452" s="4">
        <f>IF(Table1[[#This Row],[CorrectedLeadTimeDays]]&lt;=7, 1, 0)</f>
        <v>0</v>
      </c>
      <c r="H452" s="4" t="str">
        <f t="shared" si="94"/>
        <v>September</v>
      </c>
      <c r="I452" s="4" t="str">
        <f t="shared" si="95"/>
        <v>Q3-2025</v>
      </c>
      <c r="J452" s="4" t="str">
        <f t="shared" si="96"/>
        <v>2023-01</v>
      </c>
      <c r="K452" s="3">
        <f t="shared" si="97"/>
        <v>44946</v>
      </c>
      <c r="L452" t="s">
        <v>646</v>
      </c>
      <c r="M452" t="s">
        <v>650</v>
      </c>
      <c r="N452" t="s">
        <v>675</v>
      </c>
      <c r="O452" t="s">
        <v>701</v>
      </c>
      <c r="P452" t="s">
        <v>711</v>
      </c>
      <c r="Q452" t="s">
        <v>716</v>
      </c>
      <c r="R452">
        <f t="shared" si="98"/>
        <v>31</v>
      </c>
      <c r="S452" t="s">
        <v>730</v>
      </c>
      <c r="T452" t="s">
        <v>828</v>
      </c>
      <c r="U452" s="4">
        <v>1009.48</v>
      </c>
      <c r="V452" s="4">
        <f>Table1[[#This Row],[UnitCost]]*(1+WhatIf!$B$3)</f>
        <v>1059.954</v>
      </c>
      <c r="W452" s="4">
        <f t="shared" si="99"/>
        <v>6056.88</v>
      </c>
      <c r="X452" s="4">
        <f>Table1[[#This Row],[ScenarioRev]]-Table1[[#This Row],[ScenarioUnitCost]]</f>
        <v>4976.4086400000006</v>
      </c>
      <c r="Y452" s="4">
        <v>1088.81</v>
      </c>
      <c r="Z452" s="4">
        <f t="shared" si="100"/>
        <v>5487.6023999999998</v>
      </c>
      <c r="AA452" s="4">
        <f>Table1[[#This Row],[ScenarioQuanity]]*Table1[[#This Row],[UnitPrice]]*(1-Table1[[#This Row],[ScenarioDiscPct]])</f>
        <v>6036.3626400000003</v>
      </c>
      <c r="AB452" s="4">
        <f t="shared" si="101"/>
        <v>-569.27760000000035</v>
      </c>
      <c r="AC452" s="4">
        <f>Table1[[#This Row],[ScenarioRev]] - Table1[[#This Row],[ScenarioCostOfGoods]]</f>
        <v>1059.9539999999997</v>
      </c>
      <c r="AD452" s="6">
        <v>0.16</v>
      </c>
      <c r="AE452" s="6">
        <f>MIN(Table1[[#This Row],[DiscountPct]], WhatIf!$B$2)</f>
        <v>0.16</v>
      </c>
      <c r="AF452" s="6">
        <f>IF(Table1[[#This Row],[DiscountPct]]&gt;0.2, 1, 0)</f>
        <v>0</v>
      </c>
      <c r="AG452" s="6" t="str">
        <f t="shared" si="102"/>
        <v>High</v>
      </c>
      <c r="AH452" s="6">
        <f t="shared" si="103"/>
        <v>-0.10373885688219693</v>
      </c>
      <c r="AI452" s="5">
        <v>6</v>
      </c>
      <c r="AJ452" s="6">
        <f>Table1[[#This Row],[Quantity]]*(1+WhatIf!$B$4)</f>
        <v>6.6000000000000005</v>
      </c>
    </row>
    <row r="453" spans="1:36" x14ac:dyDescent="0.3">
      <c r="A453" t="s">
        <v>171</v>
      </c>
      <c r="B453" s="3">
        <v>45323</v>
      </c>
      <c r="C453" s="3">
        <v>45343</v>
      </c>
      <c r="D453" s="3">
        <f t="shared" si="92"/>
        <v>45343</v>
      </c>
      <c r="E453" s="4">
        <f t="shared" si="91"/>
        <v>20</v>
      </c>
      <c r="F453" s="4">
        <f t="shared" si="93"/>
        <v>20</v>
      </c>
      <c r="G453" s="4">
        <f>IF(Table1[[#This Row],[CorrectedLeadTimeDays]]&lt;=7, 1, 0)</f>
        <v>0</v>
      </c>
      <c r="H453" s="4" t="str">
        <f t="shared" si="94"/>
        <v>February</v>
      </c>
      <c r="I453" s="4" t="str">
        <f t="shared" si="95"/>
        <v>Q1-2024</v>
      </c>
      <c r="J453" s="4" t="str">
        <f t="shared" si="96"/>
        <v>2023-01</v>
      </c>
      <c r="K453" s="3">
        <f t="shared" si="97"/>
        <v>44936</v>
      </c>
      <c r="L453" t="s">
        <v>649</v>
      </c>
      <c r="M453" t="s">
        <v>657</v>
      </c>
      <c r="N453" t="s">
        <v>690</v>
      </c>
      <c r="O453" t="s">
        <v>705</v>
      </c>
      <c r="P453" t="s">
        <v>709</v>
      </c>
      <c r="Q453" t="s">
        <v>720</v>
      </c>
      <c r="R453">
        <f t="shared" si="98"/>
        <v>12</v>
      </c>
      <c r="S453" t="s">
        <v>729</v>
      </c>
      <c r="T453" t="s">
        <v>890</v>
      </c>
      <c r="U453" s="4">
        <v>656.2</v>
      </c>
      <c r="V453" s="4">
        <f>Table1[[#This Row],[UnitCost]]*(1+WhatIf!$B$3)</f>
        <v>689.0100000000001</v>
      </c>
      <c r="W453" s="4">
        <f t="shared" si="99"/>
        <v>3281</v>
      </c>
      <c r="X453" s="4">
        <f>Table1[[#This Row],[ScenarioRev]]-Table1[[#This Row],[ScenarioUnitCost]]</f>
        <v>7235.1751700000004</v>
      </c>
      <c r="Y453" s="4">
        <v>1467.17</v>
      </c>
      <c r="Z453" s="4">
        <f t="shared" si="100"/>
        <v>7203.8047000000006</v>
      </c>
      <c r="AA453" s="4">
        <f>Table1[[#This Row],[ScenarioQuanity]]*Table1[[#This Row],[UnitPrice]]*(1-Table1[[#This Row],[ScenarioDiscPct]])</f>
        <v>7924.1851700000007</v>
      </c>
      <c r="AB453" s="4">
        <f t="shared" si="101"/>
        <v>3922.8047000000006</v>
      </c>
      <c r="AC453" s="4">
        <f>Table1[[#This Row],[ScenarioRev]] - Table1[[#This Row],[ScenarioCostOfGoods]]</f>
        <v>689.01000000000022</v>
      </c>
      <c r="AD453" s="6">
        <v>1.7999999999999999E-2</v>
      </c>
      <c r="AE453" s="6">
        <f>MIN(Table1[[#This Row],[DiscountPct]], WhatIf!$B$2)</f>
        <v>1.7999999999999999E-2</v>
      </c>
      <c r="AF453" s="6">
        <f>IF(Table1[[#This Row],[DiscountPct]]&gt;0.2, 1, 0)</f>
        <v>0</v>
      </c>
      <c r="AG453" s="6" t="str">
        <f t="shared" si="102"/>
        <v>High</v>
      </c>
      <c r="AH453" s="6">
        <f t="shared" si="103"/>
        <v>0.54454623124360946</v>
      </c>
      <c r="AI453" s="5">
        <v>5</v>
      </c>
      <c r="AJ453" s="6">
        <f>Table1[[#This Row],[Quantity]]*(1+WhatIf!$B$4)</f>
        <v>5.5</v>
      </c>
    </row>
    <row r="454" spans="1:36" x14ac:dyDescent="0.3">
      <c r="A454" t="s">
        <v>426</v>
      </c>
      <c r="B454" s="3">
        <v>45002</v>
      </c>
      <c r="C454" s="3">
        <v>45022</v>
      </c>
      <c r="D454" s="3">
        <f t="shared" si="92"/>
        <v>45022</v>
      </c>
      <c r="E454" s="4">
        <f t="shared" si="91"/>
        <v>20</v>
      </c>
      <c r="F454" s="4">
        <f t="shared" si="93"/>
        <v>20</v>
      </c>
      <c r="G454" s="4">
        <f>IF(Table1[[#This Row],[CorrectedLeadTimeDays]]&lt;=7, 1, 0)</f>
        <v>0</v>
      </c>
      <c r="H454" s="4" t="str">
        <f t="shared" si="94"/>
        <v>March</v>
      </c>
      <c r="I454" s="4" t="str">
        <f t="shared" si="95"/>
        <v>Q1-2023</v>
      </c>
      <c r="J454" s="4" t="str">
        <f t="shared" si="96"/>
        <v>2023-01</v>
      </c>
      <c r="K454" s="3">
        <f t="shared" si="97"/>
        <v>44948</v>
      </c>
      <c r="L454" t="s">
        <v>649</v>
      </c>
      <c r="M454" t="s">
        <v>656</v>
      </c>
      <c r="N454" t="s">
        <v>684</v>
      </c>
      <c r="O454" t="s">
        <v>704</v>
      </c>
      <c r="P454" t="s">
        <v>707</v>
      </c>
      <c r="Q454" t="s">
        <v>719</v>
      </c>
      <c r="R454">
        <f t="shared" si="98"/>
        <v>1</v>
      </c>
      <c r="S454" t="s">
        <v>730</v>
      </c>
      <c r="T454" t="s">
        <v>1145</v>
      </c>
      <c r="U454" s="4">
        <v>692.18</v>
      </c>
      <c r="V454" s="4">
        <f>Table1[[#This Row],[UnitCost]]*(1+WhatIf!$B$3)</f>
        <v>726.78899999999999</v>
      </c>
      <c r="W454" s="4">
        <f t="shared" si="99"/>
        <v>1384.36</v>
      </c>
      <c r="X454" s="4">
        <f>Table1[[#This Row],[ScenarioRev]]-Table1[[#This Row],[ScenarioUnitCost]]</f>
        <v>1538.11716</v>
      </c>
      <c r="Y454" s="4">
        <v>1159.3499999999999</v>
      </c>
      <c r="Z454" s="4">
        <f t="shared" si="100"/>
        <v>2059.0056</v>
      </c>
      <c r="AA454" s="4">
        <f>Table1[[#This Row],[ScenarioQuanity]]*Table1[[#This Row],[UnitPrice]]*(1-Table1[[#This Row],[ScenarioDiscPct]])</f>
        <v>2264.90616</v>
      </c>
      <c r="AB454" s="4">
        <f t="shared" si="101"/>
        <v>674.64560000000006</v>
      </c>
      <c r="AC454" s="4">
        <f>Table1[[#This Row],[ScenarioRev]] - Table1[[#This Row],[ScenarioCostOfGoods]]</f>
        <v>726.78899999999999</v>
      </c>
      <c r="AD454" s="6">
        <v>0.112</v>
      </c>
      <c r="AE454" s="6">
        <f>MIN(Table1[[#This Row],[DiscountPct]], WhatIf!$B$2)</f>
        <v>0.112</v>
      </c>
      <c r="AF454" s="6">
        <f>IF(Table1[[#This Row],[DiscountPct]]&gt;0.2, 1, 0)</f>
        <v>0</v>
      </c>
      <c r="AG454" s="6" t="str">
        <f t="shared" si="102"/>
        <v>High</v>
      </c>
      <c r="AH454" s="6">
        <f t="shared" si="103"/>
        <v>0.32765602968734037</v>
      </c>
      <c r="AI454" s="5">
        <v>2</v>
      </c>
      <c r="AJ454" s="6">
        <f>Table1[[#This Row],[Quantity]]*(1+WhatIf!$B$4)</f>
        <v>2.2000000000000002</v>
      </c>
    </row>
    <row r="455" spans="1:36" x14ac:dyDescent="0.3">
      <c r="A455" t="s">
        <v>180</v>
      </c>
      <c r="B455" s="3">
        <v>44976</v>
      </c>
      <c r="C455" s="3">
        <v>44997</v>
      </c>
      <c r="D455" s="3">
        <f t="shared" si="92"/>
        <v>44997</v>
      </c>
      <c r="E455" s="4">
        <f t="shared" si="91"/>
        <v>21</v>
      </c>
      <c r="F455" s="4">
        <f t="shared" si="93"/>
        <v>21</v>
      </c>
      <c r="G455" s="4">
        <f>IF(Table1[[#This Row],[CorrectedLeadTimeDays]]&lt;=7, 1, 0)</f>
        <v>0</v>
      </c>
      <c r="H455" s="4" t="str">
        <f t="shared" si="94"/>
        <v>February</v>
      </c>
      <c r="I455" s="4" t="str">
        <f t="shared" si="95"/>
        <v>Q1-2023</v>
      </c>
      <c r="J455" s="4" t="str">
        <f t="shared" si="96"/>
        <v>2023-01</v>
      </c>
      <c r="K455" s="3">
        <f t="shared" si="97"/>
        <v>44948</v>
      </c>
      <c r="L455" t="s">
        <v>649</v>
      </c>
      <c r="M455" t="s">
        <v>656</v>
      </c>
      <c r="N455" t="s">
        <v>671</v>
      </c>
      <c r="O455" t="s">
        <v>705</v>
      </c>
      <c r="P455" t="s">
        <v>711</v>
      </c>
      <c r="Q455" t="s">
        <v>716</v>
      </c>
      <c r="R455">
        <f t="shared" si="98"/>
        <v>0</v>
      </c>
      <c r="S455" t="s">
        <v>732</v>
      </c>
      <c r="T455" t="s">
        <v>899</v>
      </c>
      <c r="U455" s="4">
        <v>1234.81</v>
      </c>
      <c r="V455" s="4">
        <f>Table1[[#This Row],[UnitCost]]*(1+WhatIf!$B$3)</f>
        <v>1296.5505000000001</v>
      </c>
      <c r="W455" s="4">
        <f t="shared" si="99"/>
        <v>54331.64</v>
      </c>
      <c r="X455" s="4">
        <f>Table1[[#This Row],[ScenarioRev]]-Table1[[#This Row],[ScenarioUnitCost]]</f>
        <v>92904.963851999986</v>
      </c>
      <c r="Y455" s="4">
        <v>2055.2399999999998</v>
      </c>
      <c r="Z455" s="4">
        <f t="shared" si="100"/>
        <v>85637.740319999997</v>
      </c>
      <c r="AA455" s="4">
        <f>Table1[[#This Row],[ScenarioQuanity]]*Table1[[#This Row],[UnitPrice]]*(1-Table1[[#This Row],[ScenarioDiscPct]])</f>
        <v>94201.514351999984</v>
      </c>
      <c r="AB455" s="4">
        <f t="shared" si="101"/>
        <v>31306.100319999998</v>
      </c>
      <c r="AC455" s="4">
        <f>Table1[[#This Row],[ScenarioRev]] - Table1[[#This Row],[ScenarioCostOfGoods]]</f>
        <v>1296.5504999999976</v>
      </c>
      <c r="AD455" s="6">
        <v>5.2999999999999999E-2</v>
      </c>
      <c r="AE455" s="6">
        <f>MIN(Table1[[#This Row],[DiscountPct]], WhatIf!$B$2)</f>
        <v>5.2999999999999999E-2</v>
      </c>
      <c r="AF455" s="6">
        <f>IF(Table1[[#This Row],[DiscountPct]]&gt;0.2, 1, 0)</f>
        <v>0</v>
      </c>
      <c r="AG455" s="6" t="str">
        <f t="shared" si="102"/>
        <v>High</v>
      </c>
      <c r="AH455" s="6">
        <f t="shared" si="103"/>
        <v>0.36556429680441616</v>
      </c>
      <c r="AI455" s="5">
        <v>44</v>
      </c>
      <c r="AJ455" s="6">
        <f>Table1[[#This Row],[Quantity]]*(1+WhatIf!$B$4)</f>
        <v>48.400000000000006</v>
      </c>
    </row>
    <row r="456" spans="1:36" x14ac:dyDescent="0.3">
      <c r="A456" t="s">
        <v>462</v>
      </c>
      <c r="B456" s="3">
        <v>45446</v>
      </c>
      <c r="C456" s="3">
        <v>45467</v>
      </c>
      <c r="D456" s="3">
        <f t="shared" si="92"/>
        <v>45467</v>
      </c>
      <c r="E456" s="4">
        <f t="shared" si="91"/>
        <v>21</v>
      </c>
      <c r="F456" s="4">
        <f t="shared" si="93"/>
        <v>21</v>
      </c>
      <c r="G456" s="4">
        <f>IF(Table1[[#This Row],[CorrectedLeadTimeDays]]&lt;=7, 1, 0)</f>
        <v>0</v>
      </c>
      <c r="H456" s="4" t="str">
        <f t="shared" si="94"/>
        <v>June</v>
      </c>
      <c r="I456" s="4" t="str">
        <f t="shared" si="95"/>
        <v>Q2-2024</v>
      </c>
      <c r="J456" s="4" t="str">
        <f t="shared" si="96"/>
        <v>2023-01</v>
      </c>
      <c r="K456" s="3">
        <f t="shared" si="97"/>
        <v>44928</v>
      </c>
      <c r="L456" t="s">
        <v>648</v>
      </c>
      <c r="M456" t="s">
        <v>653</v>
      </c>
      <c r="N456" t="s">
        <v>667</v>
      </c>
      <c r="O456" t="s">
        <v>705</v>
      </c>
      <c r="P456" t="s">
        <v>711</v>
      </c>
      <c r="Q456" t="s">
        <v>715</v>
      </c>
      <c r="R456">
        <f t="shared" si="98"/>
        <v>17</v>
      </c>
      <c r="S456" t="s">
        <v>732</v>
      </c>
      <c r="T456" t="s">
        <v>1181</v>
      </c>
      <c r="U456" s="4">
        <v>1205.5</v>
      </c>
      <c r="V456" s="4">
        <f>Table1[[#This Row],[UnitCost]]*(1+WhatIf!$B$3)</f>
        <v>1265.7750000000001</v>
      </c>
      <c r="W456" s="4">
        <f t="shared" si="99"/>
        <v>27726.5</v>
      </c>
      <c r="X456" s="4">
        <f>Table1[[#This Row],[ScenarioRev]]-Table1[[#This Row],[ScenarioUnitCost]]</f>
        <v>48836.126696000007</v>
      </c>
      <c r="Y456" s="4">
        <v>2210.17</v>
      </c>
      <c r="Z456" s="4">
        <f t="shared" si="100"/>
        <v>45547.183360000003</v>
      </c>
      <c r="AA456" s="4">
        <f>Table1[[#This Row],[ScenarioQuanity]]*Table1[[#This Row],[UnitPrice]]*(1-Table1[[#This Row],[ScenarioDiscPct]])</f>
        <v>50101.901696000008</v>
      </c>
      <c r="AB456" s="4">
        <f t="shared" si="101"/>
        <v>17820.683360000003</v>
      </c>
      <c r="AC456" s="4">
        <f>Table1[[#This Row],[ScenarioRev]] - Table1[[#This Row],[ScenarioCostOfGoods]]</f>
        <v>1265.7750000000015</v>
      </c>
      <c r="AD456" s="6">
        <v>0.104</v>
      </c>
      <c r="AE456" s="6">
        <f>MIN(Table1[[#This Row],[DiscountPct]], WhatIf!$B$2)</f>
        <v>0.104</v>
      </c>
      <c r="AF456" s="6">
        <f>IF(Table1[[#This Row],[DiscountPct]]&gt;0.2, 1, 0)</f>
        <v>0</v>
      </c>
      <c r="AG456" s="6" t="str">
        <f t="shared" si="102"/>
        <v>High</v>
      </c>
      <c r="AH456" s="6">
        <f t="shared" si="103"/>
        <v>0.39125763758314652</v>
      </c>
      <c r="AI456" s="5">
        <v>23</v>
      </c>
      <c r="AJ456" s="6">
        <f>Table1[[#This Row],[Quantity]]*(1+WhatIf!$B$4)</f>
        <v>25.3</v>
      </c>
    </row>
    <row r="457" spans="1:36" x14ac:dyDescent="0.3">
      <c r="A457" t="s">
        <v>485</v>
      </c>
      <c r="B457" s="3">
        <v>45167</v>
      </c>
      <c r="C457" s="3">
        <v>45188</v>
      </c>
      <c r="D457" s="3">
        <f t="shared" si="92"/>
        <v>45188</v>
      </c>
      <c r="E457" s="4">
        <f t="shared" si="91"/>
        <v>21</v>
      </c>
      <c r="F457" s="4">
        <f t="shared" si="93"/>
        <v>21</v>
      </c>
      <c r="G457" s="4">
        <f>IF(Table1[[#This Row],[CorrectedLeadTimeDays]]&lt;=7, 1, 0)</f>
        <v>0</v>
      </c>
      <c r="H457" s="4" t="str">
        <f t="shared" si="94"/>
        <v>August</v>
      </c>
      <c r="I457" s="4" t="str">
        <f t="shared" si="95"/>
        <v>Q3-2023</v>
      </c>
      <c r="J457" s="4" t="str">
        <f t="shared" si="96"/>
        <v>2023-01</v>
      </c>
      <c r="K457" s="3">
        <f t="shared" si="97"/>
        <v>44936</v>
      </c>
      <c r="L457" t="s">
        <v>649</v>
      </c>
      <c r="M457" t="s">
        <v>657</v>
      </c>
      <c r="N457" t="s">
        <v>679</v>
      </c>
      <c r="O457" t="s">
        <v>705</v>
      </c>
      <c r="P457" t="s">
        <v>711</v>
      </c>
      <c r="Q457" t="s">
        <v>717</v>
      </c>
      <c r="R457">
        <f t="shared" si="98"/>
        <v>7</v>
      </c>
      <c r="S457" t="s">
        <v>728</v>
      </c>
      <c r="T457" t="s">
        <v>1204</v>
      </c>
      <c r="U457" s="4">
        <v>784.46</v>
      </c>
      <c r="V457" s="4">
        <f>Table1[[#This Row],[UnitCost]]*(1+WhatIf!$B$3)</f>
        <v>823.68300000000011</v>
      </c>
      <c r="W457" s="4">
        <f t="shared" si="99"/>
        <v>18042.580000000002</v>
      </c>
      <c r="X457" s="4">
        <f>Table1[[#This Row],[ScenarioRev]]-Table1[[#This Row],[ScenarioUnitCost]]</f>
        <v>39380.689186000003</v>
      </c>
      <c r="Y457" s="4">
        <v>1843.51</v>
      </c>
      <c r="Z457" s="4">
        <f t="shared" si="100"/>
        <v>36549.429260000004</v>
      </c>
      <c r="AA457" s="4">
        <f>Table1[[#This Row],[ScenarioQuanity]]*Table1[[#This Row],[UnitPrice]]*(1-Table1[[#This Row],[ScenarioDiscPct]])</f>
        <v>40204.372186000001</v>
      </c>
      <c r="AB457" s="4">
        <f t="shared" si="101"/>
        <v>18506.849260000003</v>
      </c>
      <c r="AC457" s="4">
        <f>Table1[[#This Row],[ScenarioRev]] - Table1[[#This Row],[ScenarioCostOfGoods]]</f>
        <v>823.68299999999726</v>
      </c>
      <c r="AD457" s="6">
        <v>0.13800000000000001</v>
      </c>
      <c r="AE457" s="6">
        <f>MIN(Table1[[#This Row],[DiscountPct]], WhatIf!$B$2)</f>
        <v>0.13800000000000001</v>
      </c>
      <c r="AF457" s="6">
        <f>IF(Table1[[#This Row],[DiscountPct]]&gt;0.2, 1, 0)</f>
        <v>0</v>
      </c>
      <c r="AG457" s="6" t="str">
        <f t="shared" si="102"/>
        <v>High</v>
      </c>
      <c r="AH457" s="6">
        <f t="shared" si="103"/>
        <v>0.50635125184441798</v>
      </c>
      <c r="AI457" s="5">
        <v>23</v>
      </c>
      <c r="AJ457" s="6">
        <f>Table1[[#This Row],[Quantity]]*(1+WhatIf!$B$4)</f>
        <v>25.3</v>
      </c>
    </row>
    <row r="458" spans="1:36" x14ac:dyDescent="0.3">
      <c r="A458" t="s">
        <v>508</v>
      </c>
      <c r="B458" s="3">
        <v>45439</v>
      </c>
      <c r="C458" s="3">
        <v>45460</v>
      </c>
      <c r="D458" s="3">
        <f t="shared" si="92"/>
        <v>45460</v>
      </c>
      <c r="E458" s="4">
        <f t="shared" si="91"/>
        <v>21</v>
      </c>
      <c r="F458" s="4">
        <f t="shared" si="93"/>
        <v>21</v>
      </c>
      <c r="G458" s="4">
        <f>IF(Table1[[#This Row],[CorrectedLeadTimeDays]]&lt;=7, 1, 0)</f>
        <v>0</v>
      </c>
      <c r="H458" s="4" t="str">
        <f t="shared" si="94"/>
        <v>May</v>
      </c>
      <c r="I458" s="4" t="str">
        <f t="shared" si="95"/>
        <v>Q2-2024</v>
      </c>
      <c r="J458" s="4" t="str">
        <f t="shared" si="96"/>
        <v>2023-01</v>
      </c>
      <c r="K458" s="3">
        <f t="shared" si="97"/>
        <v>44955</v>
      </c>
      <c r="L458" t="s">
        <v>647</v>
      </c>
      <c r="M458" t="s">
        <v>654</v>
      </c>
      <c r="N458" t="s">
        <v>680</v>
      </c>
      <c r="O458" t="s">
        <v>705</v>
      </c>
      <c r="P458" t="s">
        <v>708</v>
      </c>
      <c r="Q458" t="s">
        <v>722</v>
      </c>
      <c r="R458">
        <f t="shared" si="98"/>
        <v>15</v>
      </c>
      <c r="S458" t="s">
        <v>733</v>
      </c>
      <c r="T458" t="s">
        <v>1227</v>
      </c>
      <c r="U458" s="4">
        <v>465.02</v>
      </c>
      <c r="V458" s="4">
        <f>Table1[[#This Row],[UnitCost]]*(1+WhatIf!$B$3)</f>
        <v>488.27100000000002</v>
      </c>
      <c r="W458" s="4">
        <f t="shared" si="99"/>
        <v>8835.3799999999992</v>
      </c>
      <c r="X458" s="4">
        <f>Table1[[#This Row],[ScenarioRev]]-Table1[[#This Row],[ScenarioUnitCost]]</f>
        <v>12557.393631999998</v>
      </c>
      <c r="Y458" s="4">
        <v>651.55999999999995</v>
      </c>
      <c r="Z458" s="4">
        <f t="shared" si="100"/>
        <v>11859.695119999998</v>
      </c>
      <c r="AA458" s="4">
        <f>Table1[[#This Row],[ScenarioQuanity]]*Table1[[#This Row],[UnitPrice]]*(1-Table1[[#This Row],[ScenarioDiscPct]])</f>
        <v>13045.664631999998</v>
      </c>
      <c r="AB458" s="4">
        <f t="shared" si="101"/>
        <v>3024.3151199999993</v>
      </c>
      <c r="AC458" s="4">
        <f>Table1[[#This Row],[ScenarioRev]] - Table1[[#This Row],[ScenarioCostOfGoods]]</f>
        <v>488.27100000000064</v>
      </c>
      <c r="AD458" s="6">
        <v>4.2000000000000003E-2</v>
      </c>
      <c r="AE458" s="6">
        <f>MIN(Table1[[#This Row],[DiscountPct]], WhatIf!$B$2)</f>
        <v>4.2000000000000003E-2</v>
      </c>
      <c r="AF458" s="6">
        <f>IF(Table1[[#This Row],[DiscountPct]]&gt;0.2, 1, 0)</f>
        <v>0</v>
      </c>
      <c r="AG458" s="6" t="str">
        <f t="shared" si="102"/>
        <v>Low</v>
      </c>
      <c r="AH458" s="6">
        <f t="shared" si="103"/>
        <v>0.25500783025187918</v>
      </c>
      <c r="AI458" s="5">
        <v>19</v>
      </c>
      <c r="AJ458" s="6">
        <f>Table1[[#This Row],[Quantity]]*(1+WhatIf!$B$4)</f>
        <v>20.900000000000002</v>
      </c>
    </row>
    <row r="459" spans="1:36" x14ac:dyDescent="0.3">
      <c r="A459" t="s">
        <v>110</v>
      </c>
      <c r="B459" s="3">
        <v>45022</v>
      </c>
      <c r="C459" s="3">
        <v>45043</v>
      </c>
      <c r="D459" s="3">
        <f t="shared" si="92"/>
        <v>45043</v>
      </c>
      <c r="E459" s="4">
        <f t="shared" si="91"/>
        <v>21</v>
      </c>
      <c r="F459" s="4">
        <f t="shared" si="93"/>
        <v>21</v>
      </c>
      <c r="G459" s="4">
        <f>IF(Table1[[#This Row],[CorrectedLeadTimeDays]]&lt;=7, 1, 0)</f>
        <v>0</v>
      </c>
      <c r="H459" s="4" t="str">
        <f t="shared" si="94"/>
        <v>April</v>
      </c>
      <c r="I459" s="4" t="str">
        <f t="shared" si="95"/>
        <v>Q2-2023</v>
      </c>
      <c r="J459" s="4" t="str">
        <f t="shared" si="96"/>
        <v>2023-01</v>
      </c>
      <c r="K459" s="3">
        <f t="shared" si="97"/>
        <v>44945</v>
      </c>
      <c r="L459" t="s">
        <v>649</v>
      </c>
      <c r="M459" t="s">
        <v>658</v>
      </c>
      <c r="N459" t="s">
        <v>693</v>
      </c>
      <c r="O459" t="s">
        <v>706</v>
      </c>
      <c r="P459" t="s">
        <v>710</v>
      </c>
      <c r="Q459" t="s">
        <v>714</v>
      </c>
      <c r="R459">
        <f t="shared" si="98"/>
        <v>2</v>
      </c>
      <c r="S459" t="s">
        <v>728</v>
      </c>
      <c r="T459" t="s">
        <v>829</v>
      </c>
      <c r="U459" s="4">
        <v>1084.79</v>
      </c>
      <c r="V459" s="4">
        <f>Table1[[#This Row],[UnitCost]]*(1+WhatIf!$B$3)</f>
        <v>1139.0295000000001</v>
      </c>
      <c r="W459" s="4">
        <f t="shared" si="99"/>
        <v>19526.22</v>
      </c>
      <c r="X459" s="4">
        <f>Table1[[#This Row],[ScenarioRev]]-Table1[[#This Row],[ScenarioUnitCost]]</f>
        <v>46390.877231999999</v>
      </c>
      <c r="Y459" s="4">
        <v>2484.9899999999998</v>
      </c>
      <c r="Z459" s="4">
        <f t="shared" si="100"/>
        <v>43209.006119999991</v>
      </c>
      <c r="AA459" s="4">
        <f>Table1[[#This Row],[ScenarioQuanity]]*Table1[[#This Row],[UnitPrice]]*(1-Table1[[#This Row],[ScenarioDiscPct]])</f>
        <v>47529.906731999996</v>
      </c>
      <c r="AB459" s="4">
        <f t="shared" si="101"/>
        <v>23682.78611999999</v>
      </c>
      <c r="AC459" s="4">
        <f>Table1[[#This Row],[ScenarioRev]] - Table1[[#This Row],[ScenarioCostOfGoods]]</f>
        <v>1139.0294999999969</v>
      </c>
      <c r="AD459" s="6">
        <v>3.4000000000000002E-2</v>
      </c>
      <c r="AE459" s="6">
        <f>MIN(Table1[[#This Row],[DiscountPct]], WhatIf!$B$2)</f>
        <v>3.4000000000000002E-2</v>
      </c>
      <c r="AF459" s="6">
        <f>IF(Table1[[#This Row],[DiscountPct]]&gt;0.2, 1, 0)</f>
        <v>0</v>
      </c>
      <c r="AG459" s="6" t="str">
        <f t="shared" si="102"/>
        <v>High</v>
      </c>
      <c r="AH459" s="6">
        <f t="shared" si="103"/>
        <v>0.54809837685755114</v>
      </c>
      <c r="AI459" s="5">
        <v>18</v>
      </c>
      <c r="AJ459" s="6">
        <f>Table1[[#This Row],[Quantity]]*(1+WhatIf!$B$4)</f>
        <v>19.8</v>
      </c>
    </row>
    <row r="460" spans="1:36" x14ac:dyDescent="0.3">
      <c r="A460" t="s">
        <v>488</v>
      </c>
      <c r="B460" s="3">
        <v>45882</v>
      </c>
      <c r="C460" s="3">
        <v>45903</v>
      </c>
      <c r="D460" s="3">
        <f t="shared" si="92"/>
        <v>45903</v>
      </c>
      <c r="E460" s="4">
        <f t="shared" si="91"/>
        <v>21</v>
      </c>
      <c r="F460" s="4">
        <f t="shared" si="93"/>
        <v>21</v>
      </c>
      <c r="G460" s="4">
        <f>IF(Table1[[#This Row],[CorrectedLeadTimeDays]]&lt;=7, 1, 0)</f>
        <v>0</v>
      </c>
      <c r="H460" s="4" t="str">
        <f t="shared" si="94"/>
        <v>August</v>
      </c>
      <c r="I460" s="4" t="str">
        <f t="shared" si="95"/>
        <v>Q3-2025</v>
      </c>
      <c r="J460" s="4" t="str">
        <f t="shared" si="96"/>
        <v>2023-01</v>
      </c>
      <c r="K460" s="3">
        <f t="shared" si="97"/>
        <v>44936</v>
      </c>
      <c r="L460" t="s">
        <v>649</v>
      </c>
      <c r="M460" t="s">
        <v>657</v>
      </c>
      <c r="N460" t="s">
        <v>690</v>
      </c>
      <c r="O460" t="s">
        <v>702</v>
      </c>
      <c r="P460" t="s">
        <v>707</v>
      </c>
      <c r="Q460" t="s">
        <v>714</v>
      </c>
      <c r="R460">
        <f t="shared" si="98"/>
        <v>31</v>
      </c>
      <c r="S460" t="s">
        <v>730</v>
      </c>
      <c r="T460" t="s">
        <v>1207</v>
      </c>
      <c r="U460" s="4">
        <v>603.47</v>
      </c>
      <c r="V460" s="4">
        <f>Table1[[#This Row],[UnitCost]]*(1+WhatIf!$B$3)</f>
        <v>633.64350000000002</v>
      </c>
      <c r="W460" s="4">
        <f t="shared" si="99"/>
        <v>10862.460000000001</v>
      </c>
      <c r="X460" s="4">
        <f>Table1[[#This Row],[ScenarioRev]]-Table1[[#This Row],[ScenarioUnitCost]]</f>
        <v>20656.108500000002</v>
      </c>
      <c r="Y460" s="4">
        <v>1344.05</v>
      </c>
      <c r="Z460" s="4">
        <f t="shared" si="100"/>
        <v>19233.355499999998</v>
      </c>
      <c r="AA460" s="4">
        <f>Table1[[#This Row],[ScenarioQuanity]]*Table1[[#This Row],[UnitPrice]]*(1-Table1[[#This Row],[ScenarioDiscPct]])</f>
        <v>21289.752</v>
      </c>
      <c r="AB460" s="4">
        <f t="shared" si="101"/>
        <v>8370.8954999999969</v>
      </c>
      <c r="AC460" s="4">
        <f>Table1[[#This Row],[ScenarioRev]] - Table1[[#This Row],[ScenarioCostOfGoods]]</f>
        <v>633.64349999999831</v>
      </c>
      <c r="AD460" s="6">
        <v>0.20499999999999999</v>
      </c>
      <c r="AE460" s="6">
        <f>MIN(Table1[[#This Row],[DiscountPct]], WhatIf!$B$2)</f>
        <v>0.2</v>
      </c>
      <c r="AF460" s="6">
        <f>IF(Table1[[#This Row],[DiscountPct]]&gt;0.2, 1, 0)</f>
        <v>1</v>
      </c>
      <c r="AG460" s="6" t="str">
        <f t="shared" si="102"/>
        <v>High</v>
      </c>
      <c r="AH460" s="6">
        <f t="shared" si="103"/>
        <v>0.43522803392262976</v>
      </c>
      <c r="AI460" s="5">
        <v>18</v>
      </c>
      <c r="AJ460" s="6">
        <f>Table1[[#This Row],[Quantity]]*(1+WhatIf!$B$4)</f>
        <v>19.8</v>
      </c>
    </row>
    <row r="461" spans="1:36" x14ac:dyDescent="0.3">
      <c r="A461" t="s">
        <v>81</v>
      </c>
      <c r="B461" s="3">
        <v>45004</v>
      </c>
      <c r="C461" s="3">
        <v>45025</v>
      </c>
      <c r="D461" s="3">
        <f t="shared" si="92"/>
        <v>45025</v>
      </c>
      <c r="E461" s="4">
        <f t="shared" si="91"/>
        <v>21</v>
      </c>
      <c r="F461" s="4">
        <f t="shared" si="93"/>
        <v>21</v>
      </c>
      <c r="G461" s="4">
        <f>IF(Table1[[#This Row],[CorrectedLeadTimeDays]]&lt;=7, 1, 0)</f>
        <v>0</v>
      </c>
      <c r="H461" s="4" t="str">
        <f t="shared" si="94"/>
        <v>March</v>
      </c>
      <c r="I461" s="4" t="str">
        <f t="shared" si="95"/>
        <v>Q1-2023</v>
      </c>
      <c r="J461" s="4" t="str">
        <f t="shared" si="96"/>
        <v>2023-01</v>
      </c>
      <c r="K461" s="3">
        <f t="shared" si="97"/>
        <v>44945</v>
      </c>
      <c r="L461" t="s">
        <v>649</v>
      </c>
      <c r="M461" t="s">
        <v>658</v>
      </c>
      <c r="N461" t="s">
        <v>693</v>
      </c>
      <c r="O461" t="s">
        <v>704</v>
      </c>
      <c r="P461" t="s">
        <v>707</v>
      </c>
      <c r="Q461" t="s">
        <v>716</v>
      </c>
      <c r="R461">
        <f t="shared" si="98"/>
        <v>2</v>
      </c>
      <c r="S461" t="s">
        <v>733</v>
      </c>
      <c r="T461" t="s">
        <v>800</v>
      </c>
      <c r="U461" s="4">
        <v>1082.17</v>
      </c>
      <c r="V461" s="4">
        <f>Table1[[#This Row],[UnitCost]]*(1+WhatIf!$B$3)</f>
        <v>1136.2785000000001</v>
      </c>
      <c r="W461" s="4">
        <f t="shared" si="99"/>
        <v>17314.72</v>
      </c>
      <c r="X461" s="4">
        <f>Table1[[#This Row],[ScenarioRev]]-Table1[[#This Row],[ScenarioUnitCost]]</f>
        <v>16478.771259999998</v>
      </c>
      <c r="Y461" s="4">
        <v>1234.0999999999999</v>
      </c>
      <c r="Z461" s="4">
        <f t="shared" si="100"/>
        <v>16013.681599999998</v>
      </c>
      <c r="AA461" s="4">
        <f>Table1[[#This Row],[ScenarioQuanity]]*Table1[[#This Row],[UnitPrice]]*(1-Table1[[#This Row],[ScenarioDiscPct]])</f>
        <v>17615.049759999998</v>
      </c>
      <c r="AB461" s="4">
        <f t="shared" si="101"/>
        <v>-1301.0384000000031</v>
      </c>
      <c r="AC461" s="4">
        <f>Table1[[#This Row],[ScenarioRev]] - Table1[[#This Row],[ScenarioCostOfGoods]]</f>
        <v>1136.2785000000003</v>
      </c>
      <c r="AD461" s="6">
        <v>0.189</v>
      </c>
      <c r="AE461" s="6">
        <f>MIN(Table1[[#This Row],[DiscountPct]], WhatIf!$B$2)</f>
        <v>0.189</v>
      </c>
      <c r="AF461" s="6">
        <f>IF(Table1[[#This Row],[DiscountPct]]&gt;0.2, 1, 0)</f>
        <v>0</v>
      </c>
      <c r="AG461" s="6" t="str">
        <f t="shared" si="102"/>
        <v>High</v>
      </c>
      <c r="AH461" s="6">
        <f t="shared" si="103"/>
        <v>-8.124542703534228E-2</v>
      </c>
      <c r="AI461" s="5">
        <v>16</v>
      </c>
      <c r="AJ461" s="6">
        <f>Table1[[#This Row],[Quantity]]*(1+WhatIf!$B$4)</f>
        <v>17.600000000000001</v>
      </c>
    </row>
    <row r="462" spans="1:36" x14ac:dyDescent="0.3">
      <c r="A462" t="s">
        <v>225</v>
      </c>
      <c r="B462" s="3">
        <v>45852</v>
      </c>
      <c r="C462" s="3">
        <v>45873</v>
      </c>
      <c r="D462" s="3">
        <f t="shared" si="92"/>
        <v>45873</v>
      </c>
      <c r="E462" s="4">
        <f t="shared" si="91"/>
        <v>21</v>
      </c>
      <c r="F462" s="4">
        <f t="shared" si="93"/>
        <v>21</v>
      </c>
      <c r="G462" s="4">
        <f>IF(Table1[[#This Row],[CorrectedLeadTimeDays]]&lt;=7, 1, 0)</f>
        <v>0</v>
      </c>
      <c r="H462" s="4" t="str">
        <f t="shared" si="94"/>
        <v>July</v>
      </c>
      <c r="I462" s="4" t="str">
        <f t="shared" si="95"/>
        <v>Q3-2025</v>
      </c>
      <c r="J462" s="4" t="str">
        <f t="shared" si="96"/>
        <v>2023-01</v>
      </c>
      <c r="K462" s="3">
        <f t="shared" si="97"/>
        <v>44928</v>
      </c>
      <c r="L462" t="s">
        <v>648</v>
      </c>
      <c r="M462" t="s">
        <v>653</v>
      </c>
      <c r="N462" t="s">
        <v>681</v>
      </c>
      <c r="O462" t="s">
        <v>704</v>
      </c>
      <c r="P462" t="s">
        <v>708</v>
      </c>
      <c r="Q462" t="s">
        <v>722</v>
      </c>
      <c r="R462">
        <f t="shared" si="98"/>
        <v>30</v>
      </c>
      <c r="S462" t="s">
        <v>732</v>
      </c>
      <c r="T462" t="s">
        <v>945</v>
      </c>
      <c r="U462" s="4">
        <v>90.3</v>
      </c>
      <c r="V462" s="4">
        <f>Table1[[#This Row],[UnitCost]]*(1+WhatIf!$B$3)</f>
        <v>94.814999999999998</v>
      </c>
      <c r="W462" s="4">
        <f t="shared" si="99"/>
        <v>1354.5</v>
      </c>
      <c r="X462" s="4">
        <f>Table1[[#This Row],[ScenarioRev]]-Table1[[#This Row],[ScenarioUnitCost]]</f>
        <v>1857.4729199999999</v>
      </c>
      <c r="Y462" s="4">
        <v>131.76</v>
      </c>
      <c r="Z462" s="4">
        <f t="shared" si="100"/>
        <v>1774.8072</v>
      </c>
      <c r="AA462" s="4">
        <f>Table1[[#This Row],[ScenarioQuanity]]*Table1[[#This Row],[UnitPrice]]*(1-Table1[[#This Row],[ScenarioDiscPct]])</f>
        <v>1952.28792</v>
      </c>
      <c r="AB462" s="4">
        <f t="shared" si="101"/>
        <v>420.30719999999997</v>
      </c>
      <c r="AC462" s="4">
        <f>Table1[[#This Row],[ScenarioRev]] - Table1[[#This Row],[ScenarioCostOfGoods]]</f>
        <v>94.815000000000055</v>
      </c>
      <c r="AD462" s="6">
        <v>0.10199999999999999</v>
      </c>
      <c r="AE462" s="6">
        <f>MIN(Table1[[#This Row],[DiscountPct]], WhatIf!$B$2)</f>
        <v>0.10199999999999999</v>
      </c>
      <c r="AF462" s="6">
        <f>IF(Table1[[#This Row],[DiscountPct]]&gt;0.2, 1, 0)</f>
        <v>0</v>
      </c>
      <c r="AG462" s="6" t="str">
        <f t="shared" si="102"/>
        <v>Low</v>
      </c>
      <c r="AH462" s="6">
        <f t="shared" si="103"/>
        <v>0.23681851189244668</v>
      </c>
      <c r="AI462" s="5">
        <v>15</v>
      </c>
      <c r="AJ462" s="6">
        <f>Table1[[#This Row],[Quantity]]*(1+WhatIf!$B$4)</f>
        <v>16.5</v>
      </c>
    </row>
    <row r="463" spans="1:36" x14ac:dyDescent="0.3">
      <c r="A463" t="s">
        <v>211</v>
      </c>
      <c r="B463" s="3">
        <v>45333</v>
      </c>
      <c r="C463" s="3">
        <v>45354</v>
      </c>
      <c r="D463" s="3">
        <f t="shared" si="92"/>
        <v>45354</v>
      </c>
      <c r="E463" s="4">
        <f t="shared" si="91"/>
        <v>21</v>
      </c>
      <c r="F463" s="4">
        <f t="shared" si="93"/>
        <v>21</v>
      </c>
      <c r="G463" s="4">
        <f>IF(Table1[[#This Row],[CorrectedLeadTimeDays]]&lt;=7, 1, 0)</f>
        <v>0</v>
      </c>
      <c r="H463" s="4" t="str">
        <f t="shared" si="94"/>
        <v>February</v>
      </c>
      <c r="I463" s="4" t="str">
        <f t="shared" si="95"/>
        <v>Q1-2024</v>
      </c>
      <c r="J463" s="4" t="str">
        <f t="shared" si="96"/>
        <v>2023-01</v>
      </c>
      <c r="K463" s="3">
        <f t="shared" si="97"/>
        <v>44946</v>
      </c>
      <c r="L463" t="s">
        <v>646</v>
      </c>
      <c r="M463" t="s">
        <v>650</v>
      </c>
      <c r="N463" t="s">
        <v>662</v>
      </c>
      <c r="O463" t="s">
        <v>706</v>
      </c>
      <c r="P463" t="s">
        <v>708</v>
      </c>
      <c r="Q463" t="s">
        <v>717</v>
      </c>
      <c r="R463">
        <f t="shared" si="98"/>
        <v>12</v>
      </c>
      <c r="S463" t="s">
        <v>730</v>
      </c>
      <c r="T463" t="s">
        <v>931</v>
      </c>
      <c r="U463" s="4">
        <v>516.86</v>
      </c>
      <c r="V463" s="4">
        <f>Table1[[#This Row],[UnitCost]]*(1+WhatIf!$B$3)</f>
        <v>542.70300000000009</v>
      </c>
      <c r="W463" s="4">
        <f t="shared" si="99"/>
        <v>7236.04</v>
      </c>
      <c r="X463" s="4">
        <f>Table1[[#This Row],[ScenarioRev]]-Table1[[#This Row],[ScenarioUnitCost]]</f>
        <v>11916.828084000002</v>
      </c>
      <c r="Y463" s="4">
        <v>852.54</v>
      </c>
      <c r="Z463" s="4">
        <f t="shared" si="100"/>
        <v>11326.846439999999</v>
      </c>
      <c r="AA463" s="4">
        <f>Table1[[#This Row],[ScenarioQuanity]]*Table1[[#This Row],[UnitPrice]]*(1-Table1[[#This Row],[ScenarioDiscPct]])</f>
        <v>12459.531084000002</v>
      </c>
      <c r="AB463" s="4">
        <f t="shared" si="101"/>
        <v>4090.8064399999994</v>
      </c>
      <c r="AC463" s="4">
        <f>Table1[[#This Row],[ScenarioRev]] - Table1[[#This Row],[ScenarioCostOfGoods]]</f>
        <v>542.70299999999952</v>
      </c>
      <c r="AD463" s="6">
        <v>5.0999999999999997E-2</v>
      </c>
      <c r="AE463" s="6">
        <f>MIN(Table1[[#This Row],[DiscountPct]], WhatIf!$B$2)</f>
        <v>5.0999999999999997E-2</v>
      </c>
      <c r="AF463" s="6">
        <f>IF(Table1[[#This Row],[DiscountPct]]&gt;0.2, 1, 0)</f>
        <v>0</v>
      </c>
      <c r="AG463" s="6" t="str">
        <f t="shared" si="102"/>
        <v>High</v>
      </c>
      <c r="AH463" s="6">
        <f t="shared" si="103"/>
        <v>0.36116022775355994</v>
      </c>
      <c r="AI463" s="5">
        <v>14</v>
      </c>
      <c r="AJ463" s="6">
        <f>Table1[[#This Row],[Quantity]]*(1+WhatIf!$B$4)</f>
        <v>15.400000000000002</v>
      </c>
    </row>
    <row r="464" spans="1:36" x14ac:dyDescent="0.3">
      <c r="A464" t="s">
        <v>122</v>
      </c>
      <c r="B464" s="3">
        <v>45518</v>
      </c>
      <c r="C464" s="3">
        <v>45539</v>
      </c>
      <c r="D464" s="3">
        <f t="shared" si="92"/>
        <v>45539</v>
      </c>
      <c r="E464" s="4">
        <f t="shared" si="91"/>
        <v>21</v>
      </c>
      <c r="F464" s="4">
        <f t="shared" si="93"/>
        <v>21</v>
      </c>
      <c r="G464" s="4">
        <f>IF(Table1[[#This Row],[CorrectedLeadTimeDays]]&lt;=7, 1, 0)</f>
        <v>0</v>
      </c>
      <c r="H464" s="4" t="str">
        <f t="shared" si="94"/>
        <v>August</v>
      </c>
      <c r="I464" s="4" t="str">
        <f t="shared" si="95"/>
        <v>Q3-2024</v>
      </c>
      <c r="J464" s="4" t="str">
        <f t="shared" si="96"/>
        <v>2023-01</v>
      </c>
      <c r="K464" s="3">
        <f t="shared" si="97"/>
        <v>44945</v>
      </c>
      <c r="L464" t="s">
        <v>649</v>
      </c>
      <c r="M464" t="s">
        <v>658</v>
      </c>
      <c r="N464" t="s">
        <v>693</v>
      </c>
      <c r="O464" t="s">
        <v>703</v>
      </c>
      <c r="P464" t="s">
        <v>708</v>
      </c>
      <c r="Q464" t="s">
        <v>713</v>
      </c>
      <c r="R464">
        <f t="shared" si="98"/>
        <v>18</v>
      </c>
      <c r="S464" t="s">
        <v>730</v>
      </c>
      <c r="T464" t="s">
        <v>841</v>
      </c>
      <c r="U464" s="4">
        <v>1138.8</v>
      </c>
      <c r="V464" s="4">
        <f>Table1[[#This Row],[UnitCost]]*(1+WhatIf!$B$3)</f>
        <v>1195.74</v>
      </c>
      <c r="W464" s="4">
        <f t="shared" si="99"/>
        <v>13665.599999999999</v>
      </c>
      <c r="X464" s="4">
        <f>Table1[[#This Row],[ScenarioRev]]-Table1[[#This Row],[ScenarioUnitCost]]</f>
        <v>24860.536884000001</v>
      </c>
      <c r="Y464" s="4">
        <v>2250.81</v>
      </c>
      <c r="Z464" s="4">
        <f t="shared" si="100"/>
        <v>23687.524440000001</v>
      </c>
      <c r="AA464" s="4">
        <f>Table1[[#This Row],[ScenarioQuanity]]*Table1[[#This Row],[UnitPrice]]*(1-Table1[[#This Row],[ScenarioDiscPct]])</f>
        <v>26056.276884000003</v>
      </c>
      <c r="AB464" s="4">
        <f t="shared" si="101"/>
        <v>10021.924440000003</v>
      </c>
      <c r="AC464" s="4">
        <f>Table1[[#This Row],[ScenarioRev]] - Table1[[#This Row],[ScenarioCostOfGoods]]</f>
        <v>1195.7400000000016</v>
      </c>
      <c r="AD464" s="6">
        <v>0.123</v>
      </c>
      <c r="AE464" s="6">
        <f>MIN(Table1[[#This Row],[DiscountPct]], WhatIf!$B$2)</f>
        <v>0.123</v>
      </c>
      <c r="AF464" s="6">
        <f>IF(Table1[[#This Row],[DiscountPct]]&gt;0.2, 1, 0)</f>
        <v>0</v>
      </c>
      <c r="AG464" s="6" t="str">
        <f t="shared" si="102"/>
        <v>High</v>
      </c>
      <c r="AH464" s="6">
        <f t="shared" si="103"/>
        <v>0.42308872188756258</v>
      </c>
      <c r="AI464" s="5">
        <v>12</v>
      </c>
      <c r="AJ464" s="6">
        <f>Table1[[#This Row],[Quantity]]*(1+WhatIf!$B$4)</f>
        <v>13.200000000000001</v>
      </c>
    </row>
    <row r="465" spans="1:36" x14ac:dyDescent="0.3">
      <c r="A465" t="s">
        <v>218</v>
      </c>
      <c r="B465" s="3">
        <v>45692</v>
      </c>
      <c r="C465" s="3">
        <v>45713</v>
      </c>
      <c r="D465" s="3">
        <f t="shared" si="92"/>
        <v>45713</v>
      </c>
      <c r="E465" s="4">
        <f t="shared" si="91"/>
        <v>21</v>
      </c>
      <c r="F465" s="4">
        <f t="shared" si="93"/>
        <v>21</v>
      </c>
      <c r="G465" s="4">
        <f>IF(Table1[[#This Row],[CorrectedLeadTimeDays]]&lt;=7, 1, 0)</f>
        <v>0</v>
      </c>
      <c r="H465" s="4" t="str">
        <f t="shared" si="94"/>
        <v>February</v>
      </c>
      <c r="I465" s="4" t="str">
        <f t="shared" si="95"/>
        <v>Q1-2025</v>
      </c>
      <c r="J465" s="4" t="str">
        <f t="shared" si="96"/>
        <v>2023-01</v>
      </c>
      <c r="K465" s="3">
        <f t="shared" si="97"/>
        <v>44945</v>
      </c>
      <c r="L465" t="s">
        <v>649</v>
      </c>
      <c r="M465" t="s">
        <v>658</v>
      </c>
      <c r="N465" t="s">
        <v>674</v>
      </c>
      <c r="O465" t="s">
        <v>701</v>
      </c>
      <c r="P465" t="s">
        <v>709</v>
      </c>
      <c r="Q465" t="s">
        <v>726</v>
      </c>
      <c r="R465">
        <f t="shared" si="98"/>
        <v>24</v>
      </c>
      <c r="S465" t="s">
        <v>732</v>
      </c>
      <c r="T465" t="s">
        <v>938</v>
      </c>
      <c r="U465" s="4">
        <v>1016.32</v>
      </c>
      <c r="V465" s="4">
        <f>Table1[[#This Row],[UnitCost]]*(1+WhatIf!$B$3)</f>
        <v>1067.1360000000002</v>
      </c>
      <c r="W465" s="4">
        <f t="shared" si="99"/>
        <v>12195.84</v>
      </c>
      <c r="X465" s="4">
        <f>Table1[[#This Row],[ScenarioRev]]-Table1[[#This Row],[ScenarioUnitCost]]</f>
        <v>27042.025080000003</v>
      </c>
      <c r="Y465" s="4">
        <v>2253.42</v>
      </c>
      <c r="Z465" s="4">
        <f t="shared" si="100"/>
        <v>25553.782800000001</v>
      </c>
      <c r="AA465" s="4">
        <f>Table1[[#This Row],[ScenarioQuanity]]*Table1[[#This Row],[UnitPrice]]*(1-Table1[[#This Row],[ScenarioDiscPct]])</f>
        <v>28109.161080000002</v>
      </c>
      <c r="AB465" s="4">
        <f t="shared" si="101"/>
        <v>13357.942800000001</v>
      </c>
      <c r="AC465" s="4">
        <f>Table1[[#This Row],[ScenarioRev]] - Table1[[#This Row],[ScenarioCostOfGoods]]</f>
        <v>1067.1359999999986</v>
      </c>
      <c r="AD465" s="6">
        <v>5.5E-2</v>
      </c>
      <c r="AE465" s="6">
        <f>MIN(Table1[[#This Row],[DiscountPct]], WhatIf!$B$2)</f>
        <v>5.5E-2</v>
      </c>
      <c r="AF465" s="6">
        <f>IF(Table1[[#This Row],[DiscountPct]]&gt;0.2, 1, 0)</f>
        <v>0</v>
      </c>
      <c r="AG465" s="6" t="str">
        <f t="shared" si="102"/>
        <v>High</v>
      </c>
      <c r="AH465" s="6">
        <f t="shared" si="103"/>
        <v>0.52273837124419797</v>
      </c>
      <c r="AI465" s="5">
        <v>12</v>
      </c>
      <c r="AJ465" s="6">
        <f>Table1[[#This Row],[Quantity]]*(1+WhatIf!$B$4)</f>
        <v>13.200000000000001</v>
      </c>
    </row>
    <row r="466" spans="1:36" x14ac:dyDescent="0.3">
      <c r="A466" t="s">
        <v>563</v>
      </c>
      <c r="B466" s="3">
        <v>45486</v>
      </c>
      <c r="C466" s="3">
        <v>45507</v>
      </c>
      <c r="D466" s="3">
        <f t="shared" si="92"/>
        <v>45507</v>
      </c>
      <c r="E466" s="4">
        <f t="shared" si="91"/>
        <v>21</v>
      </c>
      <c r="F466" s="4">
        <f t="shared" si="93"/>
        <v>21</v>
      </c>
      <c r="G466" s="4">
        <f>IF(Table1[[#This Row],[CorrectedLeadTimeDays]]&lt;=7, 1, 0)</f>
        <v>0</v>
      </c>
      <c r="H466" s="4" t="str">
        <f t="shared" si="94"/>
        <v>July</v>
      </c>
      <c r="I466" s="4" t="str">
        <f t="shared" si="95"/>
        <v>Q3-2024</v>
      </c>
      <c r="J466" s="4" t="str">
        <f t="shared" si="96"/>
        <v>2023-01</v>
      </c>
      <c r="K466" s="3">
        <f t="shared" si="97"/>
        <v>44955</v>
      </c>
      <c r="L466" t="s">
        <v>648</v>
      </c>
      <c r="M466" t="s">
        <v>655</v>
      </c>
      <c r="N466" t="s">
        <v>692</v>
      </c>
      <c r="O466" t="s">
        <v>701</v>
      </c>
      <c r="P466" t="s">
        <v>709</v>
      </c>
      <c r="Q466" t="s">
        <v>724</v>
      </c>
      <c r="R466">
        <f t="shared" si="98"/>
        <v>17</v>
      </c>
      <c r="S466" t="s">
        <v>732</v>
      </c>
      <c r="T466" t="s">
        <v>1281</v>
      </c>
      <c r="U466" s="4">
        <v>702.98</v>
      </c>
      <c r="V466" s="4">
        <f>Table1[[#This Row],[UnitCost]]*(1+WhatIf!$B$3)</f>
        <v>738.12900000000002</v>
      </c>
      <c r="W466" s="4">
        <f t="shared" si="99"/>
        <v>8435.76</v>
      </c>
      <c r="X466" s="4">
        <f>Table1[[#This Row],[ScenarioRev]]-Table1[[#This Row],[ScenarioUnitCost]]</f>
        <v>11293.142999999998</v>
      </c>
      <c r="Y466" s="4">
        <v>1104.8</v>
      </c>
      <c r="Z466" s="4">
        <f t="shared" si="100"/>
        <v>10937.519999999999</v>
      </c>
      <c r="AA466" s="4">
        <f>Table1[[#This Row],[ScenarioQuanity]]*Table1[[#This Row],[UnitPrice]]*(1-Table1[[#This Row],[ScenarioDiscPct]])</f>
        <v>12031.271999999999</v>
      </c>
      <c r="AB466" s="4">
        <f t="shared" si="101"/>
        <v>2501.7599999999984</v>
      </c>
      <c r="AC466" s="4">
        <f>Table1[[#This Row],[ScenarioRev]] - Table1[[#This Row],[ScenarioCostOfGoods]]</f>
        <v>738.12900000000081</v>
      </c>
      <c r="AD466" s="6">
        <v>0.17499999999999999</v>
      </c>
      <c r="AE466" s="6">
        <f>MIN(Table1[[#This Row],[DiscountPct]], WhatIf!$B$2)</f>
        <v>0.17499999999999999</v>
      </c>
      <c r="AF466" s="6">
        <f>IF(Table1[[#This Row],[DiscountPct]]&gt;0.2, 1, 0)</f>
        <v>0</v>
      </c>
      <c r="AG466" s="6" t="str">
        <f t="shared" si="102"/>
        <v>High</v>
      </c>
      <c r="AH466" s="6">
        <f t="shared" si="103"/>
        <v>0.22873192460448061</v>
      </c>
      <c r="AI466" s="5">
        <v>12</v>
      </c>
      <c r="AJ466" s="6">
        <f>Table1[[#This Row],[Quantity]]*(1+WhatIf!$B$4)</f>
        <v>13.200000000000001</v>
      </c>
    </row>
    <row r="467" spans="1:36" x14ac:dyDescent="0.3">
      <c r="A467" t="s">
        <v>525</v>
      </c>
      <c r="B467" s="3">
        <v>45353</v>
      </c>
      <c r="C467" s="3">
        <v>45374</v>
      </c>
      <c r="D467" s="3">
        <f t="shared" si="92"/>
        <v>45374</v>
      </c>
      <c r="E467" s="4">
        <f t="shared" si="91"/>
        <v>21</v>
      </c>
      <c r="F467" s="4">
        <f t="shared" si="93"/>
        <v>21</v>
      </c>
      <c r="G467" s="4">
        <f>IF(Table1[[#This Row],[CorrectedLeadTimeDays]]&lt;=7, 1, 0)</f>
        <v>0</v>
      </c>
      <c r="H467" s="4" t="str">
        <f t="shared" si="94"/>
        <v>March</v>
      </c>
      <c r="I467" s="4" t="str">
        <f t="shared" si="95"/>
        <v>Q1-2024</v>
      </c>
      <c r="J467" s="4" t="str">
        <f t="shared" si="96"/>
        <v>2023-01</v>
      </c>
      <c r="K467" s="3">
        <f t="shared" si="97"/>
        <v>44939</v>
      </c>
      <c r="L467" t="s">
        <v>648</v>
      </c>
      <c r="M467" t="s">
        <v>660</v>
      </c>
      <c r="N467" t="s">
        <v>677</v>
      </c>
      <c r="O467" t="s">
        <v>705</v>
      </c>
      <c r="P467" t="s">
        <v>708</v>
      </c>
      <c r="Q467" t="s">
        <v>721</v>
      </c>
      <c r="R467">
        <f t="shared" si="98"/>
        <v>13</v>
      </c>
      <c r="S467" t="s">
        <v>727</v>
      </c>
      <c r="T467" t="s">
        <v>1244</v>
      </c>
      <c r="U467" s="4">
        <v>225.01</v>
      </c>
      <c r="V467" s="4">
        <f>Table1[[#This Row],[UnitCost]]*(1+WhatIf!$B$3)</f>
        <v>236.26050000000001</v>
      </c>
      <c r="W467" s="4">
        <f t="shared" si="99"/>
        <v>2700.12</v>
      </c>
      <c r="X467" s="4">
        <f>Table1[[#This Row],[ScenarioRev]]-Table1[[#This Row],[ScenarioUnitCost]]</f>
        <v>3641.8451160000009</v>
      </c>
      <c r="Y467" s="4">
        <v>333.48</v>
      </c>
      <c r="Z467" s="4">
        <f t="shared" si="100"/>
        <v>3525.5505600000001</v>
      </c>
      <c r="AA467" s="4">
        <f>Table1[[#This Row],[ScenarioQuanity]]*Table1[[#This Row],[UnitPrice]]*(1-Table1[[#This Row],[ScenarioDiscPct]])</f>
        <v>3878.1056160000007</v>
      </c>
      <c r="AB467" s="4">
        <f t="shared" si="101"/>
        <v>825.43056000000024</v>
      </c>
      <c r="AC467" s="4">
        <f>Table1[[#This Row],[ScenarioRev]] - Table1[[#This Row],[ScenarioCostOfGoods]]</f>
        <v>236.26049999999987</v>
      </c>
      <c r="AD467" s="6">
        <v>0.11899999999999999</v>
      </c>
      <c r="AE467" s="6">
        <f>MIN(Table1[[#This Row],[DiscountPct]], WhatIf!$B$2)</f>
        <v>0.11899999999999999</v>
      </c>
      <c r="AF467" s="6">
        <f>IF(Table1[[#This Row],[DiscountPct]]&gt;0.2, 1, 0)</f>
        <v>0</v>
      </c>
      <c r="AG467" s="6" t="str">
        <f t="shared" si="102"/>
        <v>Low</v>
      </c>
      <c r="AH467" s="6">
        <f t="shared" si="103"/>
        <v>0.23412813004729685</v>
      </c>
      <c r="AI467" s="5">
        <v>12</v>
      </c>
      <c r="AJ467" s="6">
        <f>Table1[[#This Row],[Quantity]]*(1+WhatIf!$B$4)</f>
        <v>13.200000000000001</v>
      </c>
    </row>
    <row r="468" spans="1:36" x14ac:dyDescent="0.3">
      <c r="A468" t="s">
        <v>146</v>
      </c>
      <c r="B468" s="3">
        <v>45719</v>
      </c>
      <c r="C468" s="3">
        <v>45740</v>
      </c>
      <c r="D468" s="3">
        <f t="shared" si="92"/>
        <v>45740</v>
      </c>
      <c r="E468" s="4">
        <f t="shared" si="91"/>
        <v>21</v>
      </c>
      <c r="F468" s="4">
        <f t="shared" si="93"/>
        <v>21</v>
      </c>
      <c r="G468" s="4">
        <f>IF(Table1[[#This Row],[CorrectedLeadTimeDays]]&lt;=7, 1, 0)</f>
        <v>0</v>
      </c>
      <c r="H468" s="4" t="str">
        <f t="shared" si="94"/>
        <v>March</v>
      </c>
      <c r="I468" s="4" t="str">
        <f t="shared" si="95"/>
        <v>Q1-2025</v>
      </c>
      <c r="J468" s="4" t="str">
        <f t="shared" si="96"/>
        <v>2023-01</v>
      </c>
      <c r="K468" s="3">
        <f t="shared" si="97"/>
        <v>44941</v>
      </c>
      <c r="L468" t="s">
        <v>646</v>
      </c>
      <c r="M468" t="s">
        <v>651</v>
      </c>
      <c r="N468" t="s">
        <v>669</v>
      </c>
      <c r="O468" t="s">
        <v>706</v>
      </c>
      <c r="P468" t="s">
        <v>711</v>
      </c>
      <c r="Q468" t="s">
        <v>722</v>
      </c>
      <c r="R468">
        <f t="shared" si="98"/>
        <v>25</v>
      </c>
      <c r="S468" t="s">
        <v>733</v>
      </c>
      <c r="T468" t="s">
        <v>865</v>
      </c>
      <c r="U468" s="4">
        <v>555.95000000000005</v>
      </c>
      <c r="V468" s="4">
        <f>Table1[[#This Row],[UnitCost]]*(1+WhatIf!$B$3)</f>
        <v>583.74750000000006</v>
      </c>
      <c r="W468" s="4">
        <f t="shared" si="99"/>
        <v>6115.4500000000007</v>
      </c>
      <c r="X468" s="4">
        <f>Table1[[#This Row],[ScenarioRev]]-Table1[[#This Row],[ScenarioUnitCost]]</f>
        <v>4275.8692619999993</v>
      </c>
      <c r="Y468" s="4">
        <v>468.09</v>
      </c>
      <c r="Z468" s="4">
        <f t="shared" si="100"/>
        <v>4417.8334199999999</v>
      </c>
      <c r="AA468" s="4">
        <f>Table1[[#This Row],[ScenarioQuanity]]*Table1[[#This Row],[UnitPrice]]*(1-Table1[[#This Row],[ScenarioDiscPct]])</f>
        <v>4859.6167619999997</v>
      </c>
      <c r="AB468" s="4">
        <f t="shared" si="101"/>
        <v>-1697.6165800000008</v>
      </c>
      <c r="AC468" s="4">
        <f>Table1[[#This Row],[ScenarioRev]] - Table1[[#This Row],[ScenarioCostOfGoods]]</f>
        <v>583.7475000000004</v>
      </c>
      <c r="AD468" s="6">
        <v>0.14199999999999999</v>
      </c>
      <c r="AE468" s="6">
        <f>MIN(Table1[[#This Row],[DiscountPct]], WhatIf!$B$2)</f>
        <v>0.14199999999999999</v>
      </c>
      <c r="AF468" s="6">
        <f>IF(Table1[[#This Row],[DiscountPct]]&gt;0.2, 1, 0)</f>
        <v>0</v>
      </c>
      <c r="AG468" s="6" t="str">
        <f t="shared" si="102"/>
        <v>Low</v>
      </c>
      <c r="AH468" s="6">
        <f t="shared" si="103"/>
        <v>-0.38426450674095375</v>
      </c>
      <c r="AI468" s="5">
        <v>11</v>
      </c>
      <c r="AJ468" s="6">
        <f>Table1[[#This Row],[Quantity]]*(1+WhatIf!$B$4)</f>
        <v>12.100000000000001</v>
      </c>
    </row>
    <row r="469" spans="1:36" x14ac:dyDescent="0.3">
      <c r="A469" t="s">
        <v>497</v>
      </c>
      <c r="B469" s="3">
        <v>45775</v>
      </c>
      <c r="C469" s="3">
        <v>45796</v>
      </c>
      <c r="D469" s="3">
        <f t="shared" si="92"/>
        <v>45796</v>
      </c>
      <c r="E469" s="4">
        <f t="shared" si="91"/>
        <v>21</v>
      </c>
      <c r="F469" s="4">
        <f t="shared" si="93"/>
        <v>21</v>
      </c>
      <c r="G469" s="4">
        <f>IF(Table1[[#This Row],[CorrectedLeadTimeDays]]&lt;=7, 1, 0)</f>
        <v>0</v>
      </c>
      <c r="H469" s="4" t="str">
        <f t="shared" si="94"/>
        <v>April</v>
      </c>
      <c r="I469" s="4" t="str">
        <f t="shared" si="95"/>
        <v>Q2-2025</v>
      </c>
      <c r="J469" s="4" t="str">
        <f t="shared" si="96"/>
        <v>2023-01</v>
      </c>
      <c r="K469" s="3">
        <f t="shared" si="97"/>
        <v>44948</v>
      </c>
      <c r="L469" t="s">
        <v>649</v>
      </c>
      <c r="M469" t="s">
        <v>656</v>
      </c>
      <c r="N469" t="s">
        <v>671</v>
      </c>
      <c r="O469" t="s">
        <v>701</v>
      </c>
      <c r="P469" t="s">
        <v>710</v>
      </c>
      <c r="Q469" t="s">
        <v>717</v>
      </c>
      <c r="R469">
        <f t="shared" si="98"/>
        <v>27</v>
      </c>
      <c r="S469" t="s">
        <v>730</v>
      </c>
      <c r="T469" t="s">
        <v>1216</v>
      </c>
      <c r="U469" s="4">
        <v>350.76</v>
      </c>
      <c r="V469" s="4">
        <f>Table1[[#This Row],[UnitCost]]*(1+WhatIf!$B$3)</f>
        <v>368.298</v>
      </c>
      <c r="W469" s="4">
        <f t="shared" si="99"/>
        <v>3858.3599999999997</v>
      </c>
      <c r="X469" s="4">
        <f>Table1[[#This Row],[ScenarioRev]]-Table1[[#This Row],[ScenarioUnitCost]]</f>
        <v>5271.4449660000009</v>
      </c>
      <c r="Y469" s="4">
        <v>492.18</v>
      </c>
      <c r="Z469" s="4">
        <f t="shared" si="100"/>
        <v>5127.0390600000001</v>
      </c>
      <c r="AA469" s="4">
        <f>Table1[[#This Row],[ScenarioQuanity]]*Table1[[#This Row],[UnitPrice]]*(1-Table1[[#This Row],[ScenarioDiscPct]])</f>
        <v>5639.7429660000007</v>
      </c>
      <c r="AB469" s="4">
        <f t="shared" si="101"/>
        <v>1268.6790600000004</v>
      </c>
      <c r="AC469" s="4">
        <f>Table1[[#This Row],[ScenarioRev]] - Table1[[#This Row],[ScenarioCostOfGoods]]</f>
        <v>368.29799999999977</v>
      </c>
      <c r="AD469" s="6">
        <v>5.2999999999999999E-2</v>
      </c>
      <c r="AE469" s="6">
        <f>MIN(Table1[[#This Row],[DiscountPct]], WhatIf!$B$2)</f>
        <v>5.2999999999999999E-2</v>
      </c>
      <c r="AF469" s="6">
        <f>IF(Table1[[#This Row],[DiscountPct]]&gt;0.2, 1, 0)</f>
        <v>0</v>
      </c>
      <c r="AG469" s="6" t="str">
        <f t="shared" si="102"/>
        <v>Low</v>
      </c>
      <c r="AH469" s="6">
        <f t="shared" si="103"/>
        <v>0.24744868239798437</v>
      </c>
      <c r="AI469" s="5">
        <v>11</v>
      </c>
      <c r="AJ469" s="6">
        <f>Table1[[#This Row],[Quantity]]*(1+WhatIf!$B$4)</f>
        <v>12.100000000000001</v>
      </c>
    </row>
    <row r="470" spans="1:36" x14ac:dyDescent="0.3">
      <c r="A470" t="s">
        <v>334</v>
      </c>
      <c r="B470" s="3">
        <v>45440</v>
      </c>
      <c r="C470" s="3">
        <v>45461</v>
      </c>
      <c r="D470" s="3">
        <f t="shared" si="92"/>
        <v>45461</v>
      </c>
      <c r="E470" s="4">
        <f t="shared" si="91"/>
        <v>21</v>
      </c>
      <c r="F470" s="4">
        <f t="shared" si="93"/>
        <v>21</v>
      </c>
      <c r="G470" s="4">
        <f>IF(Table1[[#This Row],[CorrectedLeadTimeDays]]&lt;=7, 1, 0)</f>
        <v>0</v>
      </c>
      <c r="H470" s="4" t="str">
        <f t="shared" si="94"/>
        <v>May</v>
      </c>
      <c r="I470" s="4" t="str">
        <f t="shared" si="95"/>
        <v>Q2-2024</v>
      </c>
      <c r="J470" s="4" t="str">
        <f t="shared" si="96"/>
        <v>2023-01</v>
      </c>
      <c r="K470" s="3">
        <f t="shared" si="97"/>
        <v>44948</v>
      </c>
      <c r="L470" t="s">
        <v>649</v>
      </c>
      <c r="M470" t="s">
        <v>656</v>
      </c>
      <c r="N470" t="s">
        <v>698</v>
      </c>
      <c r="O470" t="s">
        <v>705</v>
      </c>
      <c r="P470" t="s">
        <v>708</v>
      </c>
      <c r="Q470" t="s">
        <v>718</v>
      </c>
      <c r="R470">
        <f t="shared" si="98"/>
        <v>16</v>
      </c>
      <c r="S470" t="s">
        <v>730</v>
      </c>
      <c r="T470" t="s">
        <v>1054</v>
      </c>
      <c r="U470" s="4">
        <v>986.85</v>
      </c>
      <c r="V470" s="4">
        <f>Table1[[#This Row],[UnitCost]]*(1+WhatIf!$B$3)</f>
        <v>1036.1925000000001</v>
      </c>
      <c r="W470" s="4">
        <f t="shared" si="99"/>
        <v>9868.5</v>
      </c>
      <c r="X470" s="4">
        <f>Table1[[#This Row],[ScenarioRev]]-Table1[[#This Row],[ScenarioUnitCost]]</f>
        <v>23582.031899999998</v>
      </c>
      <c r="Y470" s="4">
        <v>2422.1</v>
      </c>
      <c r="Z470" s="4">
        <f t="shared" si="100"/>
        <v>22380.204000000002</v>
      </c>
      <c r="AA470" s="4">
        <f>Table1[[#This Row],[ScenarioQuanity]]*Table1[[#This Row],[UnitPrice]]*(1-Table1[[#This Row],[ScenarioDiscPct]])</f>
        <v>24618.224399999999</v>
      </c>
      <c r="AB470" s="4">
        <f t="shared" si="101"/>
        <v>12511.704000000002</v>
      </c>
      <c r="AC470" s="4">
        <f>Table1[[#This Row],[ScenarioRev]] - Table1[[#This Row],[ScenarioCostOfGoods]]</f>
        <v>1036.192500000001</v>
      </c>
      <c r="AD470" s="6">
        <v>7.5999999999999998E-2</v>
      </c>
      <c r="AE470" s="6">
        <f>MIN(Table1[[#This Row],[DiscountPct]], WhatIf!$B$2)</f>
        <v>7.5999999999999998E-2</v>
      </c>
      <c r="AF470" s="6">
        <f>IF(Table1[[#This Row],[DiscountPct]]&gt;0.2, 1, 0)</f>
        <v>0</v>
      </c>
      <c r="AG470" s="6" t="str">
        <f t="shared" si="102"/>
        <v>High</v>
      </c>
      <c r="AH470" s="6">
        <f t="shared" si="103"/>
        <v>0.55905227673527913</v>
      </c>
      <c r="AI470" s="5">
        <v>10</v>
      </c>
      <c r="AJ470" s="6">
        <f>Table1[[#This Row],[Quantity]]*(1+WhatIf!$B$4)</f>
        <v>11</v>
      </c>
    </row>
    <row r="471" spans="1:36" x14ac:dyDescent="0.3">
      <c r="A471" t="s">
        <v>224</v>
      </c>
      <c r="B471" s="3">
        <v>45567</v>
      </c>
      <c r="C471" s="3">
        <v>45588</v>
      </c>
      <c r="D471" s="3">
        <f t="shared" si="92"/>
        <v>45588</v>
      </c>
      <c r="E471" s="4">
        <f t="shared" si="91"/>
        <v>21</v>
      </c>
      <c r="F471" s="4">
        <f t="shared" si="93"/>
        <v>21</v>
      </c>
      <c r="G471" s="4">
        <f>IF(Table1[[#This Row],[CorrectedLeadTimeDays]]&lt;=7, 1, 0)</f>
        <v>0</v>
      </c>
      <c r="H471" s="4" t="str">
        <f t="shared" si="94"/>
        <v>October</v>
      </c>
      <c r="I471" s="4" t="str">
        <f t="shared" si="95"/>
        <v>Q4-2024</v>
      </c>
      <c r="J471" s="4" t="str">
        <f t="shared" si="96"/>
        <v>2023-01</v>
      </c>
      <c r="K471" s="3">
        <f t="shared" si="97"/>
        <v>44933</v>
      </c>
      <c r="L471" t="s">
        <v>646</v>
      </c>
      <c r="M471" t="s">
        <v>661</v>
      </c>
      <c r="N471" t="s">
        <v>687</v>
      </c>
      <c r="O471" t="s">
        <v>701</v>
      </c>
      <c r="P471" t="s">
        <v>709</v>
      </c>
      <c r="Q471" t="s">
        <v>720</v>
      </c>
      <c r="R471">
        <f t="shared" si="98"/>
        <v>20</v>
      </c>
      <c r="S471" t="s">
        <v>727</v>
      </c>
      <c r="T471" t="s">
        <v>944</v>
      </c>
      <c r="U471" s="4">
        <v>1095.6099999999999</v>
      </c>
      <c r="V471" s="4">
        <f>Table1[[#This Row],[UnitCost]]*(1+WhatIf!$B$3)</f>
        <v>1150.3905</v>
      </c>
      <c r="W471" s="4">
        <f t="shared" si="99"/>
        <v>9860.49</v>
      </c>
      <c r="X471" s="4">
        <f>Table1[[#This Row],[ScenarioRev]]-Table1[[#This Row],[ScenarioUnitCost]]</f>
        <v>18716.934252000003</v>
      </c>
      <c r="Y471" s="4">
        <v>2366.5100000000002</v>
      </c>
      <c r="Z471" s="4">
        <f t="shared" si="100"/>
        <v>18061.204320000004</v>
      </c>
      <c r="AA471" s="4">
        <f>Table1[[#This Row],[ScenarioQuanity]]*Table1[[#This Row],[UnitPrice]]*(1-Table1[[#This Row],[ScenarioDiscPct]])</f>
        <v>19867.324752000004</v>
      </c>
      <c r="AB471" s="4">
        <f t="shared" si="101"/>
        <v>8200.7143200000046</v>
      </c>
      <c r="AC471" s="4">
        <f>Table1[[#This Row],[ScenarioRev]] - Table1[[#This Row],[ScenarioCostOfGoods]]</f>
        <v>1150.3905000000013</v>
      </c>
      <c r="AD471" s="6">
        <v>0.152</v>
      </c>
      <c r="AE471" s="6">
        <f>MIN(Table1[[#This Row],[DiscountPct]], WhatIf!$B$2)</f>
        <v>0.152</v>
      </c>
      <c r="AF471" s="6">
        <f>IF(Table1[[#This Row],[DiscountPct]]&gt;0.2, 1, 0)</f>
        <v>0</v>
      </c>
      <c r="AG471" s="6" t="str">
        <f t="shared" si="102"/>
        <v>High</v>
      </c>
      <c r="AH471" s="6">
        <f t="shared" si="103"/>
        <v>0.4540513564158607</v>
      </c>
      <c r="AI471" s="5">
        <v>9</v>
      </c>
      <c r="AJ471" s="6">
        <f>Table1[[#This Row],[Quantity]]*(1+WhatIf!$B$4)</f>
        <v>9.9</v>
      </c>
    </row>
    <row r="472" spans="1:36" x14ac:dyDescent="0.3">
      <c r="A472" t="s">
        <v>158</v>
      </c>
      <c r="B472" s="3">
        <v>45458</v>
      </c>
      <c r="C472" s="3">
        <v>45479</v>
      </c>
      <c r="D472" s="3">
        <f t="shared" si="92"/>
        <v>45479</v>
      </c>
      <c r="E472" s="4">
        <f t="shared" si="91"/>
        <v>21</v>
      </c>
      <c r="F472" s="4">
        <f t="shared" si="93"/>
        <v>21</v>
      </c>
      <c r="G472" s="4">
        <f>IF(Table1[[#This Row],[CorrectedLeadTimeDays]]&lt;=7, 1, 0)</f>
        <v>0</v>
      </c>
      <c r="H472" s="4" t="str">
        <f t="shared" si="94"/>
        <v>June</v>
      </c>
      <c r="I472" s="4" t="str">
        <f t="shared" si="95"/>
        <v>Q2-2024</v>
      </c>
      <c r="J472" s="4" t="str">
        <f t="shared" si="96"/>
        <v>2023-01</v>
      </c>
      <c r="K472" s="3">
        <f t="shared" si="97"/>
        <v>44928</v>
      </c>
      <c r="L472" t="s">
        <v>648</v>
      </c>
      <c r="M472" t="s">
        <v>653</v>
      </c>
      <c r="N472" t="s">
        <v>667</v>
      </c>
      <c r="O472" t="s">
        <v>706</v>
      </c>
      <c r="P472" t="s">
        <v>710</v>
      </c>
      <c r="Q472" t="s">
        <v>716</v>
      </c>
      <c r="R472">
        <f t="shared" si="98"/>
        <v>17</v>
      </c>
      <c r="S472" t="s">
        <v>728</v>
      </c>
      <c r="T472" t="s">
        <v>877</v>
      </c>
      <c r="U472" s="4">
        <v>817.23</v>
      </c>
      <c r="V472" s="4">
        <f>Table1[[#This Row],[UnitCost]]*(1+WhatIf!$B$3)</f>
        <v>858.09150000000011</v>
      </c>
      <c r="W472" s="4">
        <f t="shared" si="99"/>
        <v>7355.07</v>
      </c>
      <c r="X472" s="4">
        <f>Table1[[#This Row],[ScenarioRev]]-Table1[[#This Row],[ScenarioUnitCost]]</f>
        <v>10761.894900000001</v>
      </c>
      <c r="Y472" s="4">
        <v>1467.17</v>
      </c>
      <c r="Z472" s="4">
        <f t="shared" si="100"/>
        <v>9969.4201499999999</v>
      </c>
      <c r="AA472" s="4">
        <f>Table1[[#This Row],[ScenarioQuanity]]*Table1[[#This Row],[UnitPrice]]*(1-Table1[[#This Row],[ScenarioDiscPct]])</f>
        <v>11619.986400000002</v>
      </c>
      <c r="AB472" s="4">
        <f t="shared" si="101"/>
        <v>2614.3501500000002</v>
      </c>
      <c r="AC472" s="4">
        <f>Table1[[#This Row],[ScenarioRev]] - Table1[[#This Row],[ScenarioCostOfGoods]]</f>
        <v>858.09150000000045</v>
      </c>
      <c r="AD472" s="6">
        <v>0.245</v>
      </c>
      <c r="AE472" s="6">
        <f>MIN(Table1[[#This Row],[DiscountPct]], WhatIf!$B$2)</f>
        <v>0.2</v>
      </c>
      <c r="AF472" s="6">
        <f>IF(Table1[[#This Row],[DiscountPct]]&gt;0.2, 1, 0)</f>
        <v>1</v>
      </c>
      <c r="AG472" s="6" t="str">
        <f t="shared" si="102"/>
        <v>High</v>
      </c>
      <c r="AH472" s="6">
        <f t="shared" si="103"/>
        <v>0.26223693160328893</v>
      </c>
      <c r="AI472" s="5">
        <v>9</v>
      </c>
      <c r="AJ472" s="6">
        <f>Table1[[#This Row],[Quantity]]*(1+WhatIf!$B$4)</f>
        <v>9.9</v>
      </c>
    </row>
    <row r="473" spans="1:36" x14ac:dyDescent="0.3">
      <c r="A473" t="s">
        <v>609</v>
      </c>
      <c r="B473" s="3">
        <v>45473</v>
      </c>
      <c r="C473" s="3">
        <v>45494</v>
      </c>
      <c r="D473" s="3">
        <f t="shared" si="92"/>
        <v>45494</v>
      </c>
      <c r="E473" s="4">
        <f t="shared" si="91"/>
        <v>21</v>
      </c>
      <c r="F473" s="4">
        <f t="shared" si="93"/>
        <v>21</v>
      </c>
      <c r="G473" s="4">
        <f>IF(Table1[[#This Row],[CorrectedLeadTimeDays]]&lt;=7, 1, 0)</f>
        <v>0</v>
      </c>
      <c r="H473" s="4" t="str">
        <f t="shared" si="94"/>
        <v>June</v>
      </c>
      <c r="I473" s="4" t="str">
        <f t="shared" si="95"/>
        <v>Q2-2024</v>
      </c>
      <c r="J473" s="4" t="str">
        <f t="shared" si="96"/>
        <v>2023-01</v>
      </c>
      <c r="K473" s="3">
        <f t="shared" si="97"/>
        <v>44946</v>
      </c>
      <c r="L473" t="s">
        <v>646</v>
      </c>
      <c r="M473" t="s">
        <v>650</v>
      </c>
      <c r="N473" t="s">
        <v>662</v>
      </c>
      <c r="O473" t="s">
        <v>705</v>
      </c>
      <c r="P473" t="s">
        <v>707</v>
      </c>
      <c r="Q473" t="s">
        <v>723</v>
      </c>
      <c r="R473">
        <f t="shared" si="98"/>
        <v>17</v>
      </c>
      <c r="S473" t="s">
        <v>731</v>
      </c>
      <c r="T473" t="s">
        <v>1327</v>
      </c>
      <c r="U473" s="4">
        <v>753.43</v>
      </c>
      <c r="V473" s="4">
        <f>Table1[[#This Row],[UnitCost]]*(1+WhatIf!$B$3)</f>
        <v>791.10149999999999</v>
      </c>
      <c r="W473" s="4">
        <f t="shared" si="99"/>
        <v>6780.87</v>
      </c>
      <c r="X473" s="4">
        <f>Table1[[#This Row],[ScenarioRev]]-Table1[[#This Row],[ScenarioUnitCost]]</f>
        <v>15610.569060000002</v>
      </c>
      <c r="Y473" s="4">
        <v>1787.2</v>
      </c>
      <c r="Z473" s="4">
        <f t="shared" si="100"/>
        <v>14910.609600000002</v>
      </c>
      <c r="AA473" s="4">
        <f>Table1[[#This Row],[ScenarioQuanity]]*Table1[[#This Row],[UnitPrice]]*(1-Table1[[#This Row],[ScenarioDiscPct]])</f>
        <v>16401.670560000002</v>
      </c>
      <c r="AB473" s="4">
        <f t="shared" si="101"/>
        <v>8129.7396000000017</v>
      </c>
      <c r="AC473" s="4">
        <f>Table1[[#This Row],[ScenarioRev]] - Table1[[#This Row],[ScenarioCostOfGoods]]</f>
        <v>791.10150000000067</v>
      </c>
      <c r="AD473" s="6">
        <v>7.2999999999999995E-2</v>
      </c>
      <c r="AE473" s="6">
        <f>MIN(Table1[[#This Row],[DiscountPct]], WhatIf!$B$2)</f>
        <v>7.2999999999999995E-2</v>
      </c>
      <c r="AF473" s="6">
        <f>IF(Table1[[#This Row],[DiscountPct]]&gt;0.2, 1, 0)</f>
        <v>0</v>
      </c>
      <c r="AG473" s="6" t="str">
        <f t="shared" si="102"/>
        <v>High</v>
      </c>
      <c r="AH473" s="6">
        <f t="shared" si="103"/>
        <v>0.54523187301476939</v>
      </c>
      <c r="AI473" s="5">
        <v>9</v>
      </c>
      <c r="AJ473" s="6">
        <f>Table1[[#This Row],[Quantity]]*(1+WhatIf!$B$4)</f>
        <v>9.9</v>
      </c>
    </row>
    <row r="474" spans="1:36" x14ac:dyDescent="0.3">
      <c r="A474" t="s">
        <v>119</v>
      </c>
      <c r="B474" s="3">
        <v>45549</v>
      </c>
      <c r="C474" s="3">
        <v>45570</v>
      </c>
      <c r="D474" s="3">
        <f t="shared" si="92"/>
        <v>45570</v>
      </c>
      <c r="E474" s="4">
        <f t="shared" si="91"/>
        <v>21</v>
      </c>
      <c r="F474" s="4">
        <f t="shared" si="93"/>
        <v>21</v>
      </c>
      <c r="G474" s="4">
        <f>IF(Table1[[#This Row],[CorrectedLeadTimeDays]]&lt;=7, 1, 0)</f>
        <v>0</v>
      </c>
      <c r="H474" s="4" t="str">
        <f t="shared" si="94"/>
        <v>September</v>
      </c>
      <c r="I474" s="4" t="str">
        <f t="shared" si="95"/>
        <v>Q3-2024</v>
      </c>
      <c r="J474" s="4" t="str">
        <f t="shared" si="96"/>
        <v>2023-01</v>
      </c>
      <c r="K474" s="3">
        <f t="shared" si="97"/>
        <v>44938</v>
      </c>
      <c r="L474" t="s">
        <v>647</v>
      </c>
      <c r="M474" t="s">
        <v>659</v>
      </c>
      <c r="N474" t="s">
        <v>685</v>
      </c>
      <c r="O474" t="s">
        <v>705</v>
      </c>
      <c r="P474" t="s">
        <v>708</v>
      </c>
      <c r="Q474" t="s">
        <v>722</v>
      </c>
      <c r="R474">
        <f t="shared" si="98"/>
        <v>20</v>
      </c>
      <c r="S474" t="s">
        <v>731</v>
      </c>
      <c r="T474" t="s">
        <v>838</v>
      </c>
      <c r="U474" s="4">
        <v>1405.56</v>
      </c>
      <c r="V474" s="4">
        <f>Table1[[#This Row],[UnitCost]]*(1+WhatIf!$B$3)</f>
        <v>1475.838</v>
      </c>
      <c r="W474" s="4">
        <f t="shared" si="99"/>
        <v>7027.7999999999993</v>
      </c>
      <c r="X474" s="4">
        <f>Table1[[#This Row],[ScenarioRev]]-Table1[[#This Row],[ScenarioUnitCost]]</f>
        <v>12093.382335</v>
      </c>
      <c r="Y474" s="4">
        <v>2968.87</v>
      </c>
      <c r="Z474" s="4">
        <f t="shared" si="100"/>
        <v>12335.654849999999</v>
      </c>
      <c r="AA474" s="4">
        <f>Table1[[#This Row],[ScenarioQuanity]]*Table1[[#This Row],[UnitPrice]]*(1-Table1[[#This Row],[ScenarioDiscPct]])</f>
        <v>13569.220335</v>
      </c>
      <c r="AB474" s="4">
        <f t="shared" si="101"/>
        <v>5307.8548499999997</v>
      </c>
      <c r="AC474" s="4">
        <f>Table1[[#This Row],[ScenarioRev]] - Table1[[#This Row],[ScenarioCostOfGoods]]</f>
        <v>1475.8379999999997</v>
      </c>
      <c r="AD474" s="6">
        <v>0.16900000000000001</v>
      </c>
      <c r="AE474" s="6">
        <f>MIN(Table1[[#This Row],[DiscountPct]], WhatIf!$B$2)</f>
        <v>0.16900000000000001</v>
      </c>
      <c r="AF474" s="6">
        <f>IF(Table1[[#This Row],[DiscountPct]]&gt;0.2, 1, 0)</f>
        <v>0</v>
      </c>
      <c r="AG474" s="6" t="str">
        <f t="shared" si="102"/>
        <v>High</v>
      </c>
      <c r="AH474" s="6">
        <f t="shared" si="103"/>
        <v>0.4302856163327235</v>
      </c>
      <c r="AI474" s="5">
        <v>5</v>
      </c>
      <c r="AJ474" s="6">
        <f>Table1[[#This Row],[Quantity]]*(1+WhatIf!$B$4)</f>
        <v>5.5</v>
      </c>
    </row>
    <row r="475" spans="1:36" x14ac:dyDescent="0.3">
      <c r="A475" t="s">
        <v>347</v>
      </c>
      <c r="B475" s="3">
        <v>45245</v>
      </c>
      <c r="C475" s="3">
        <v>45266</v>
      </c>
      <c r="D475" s="3">
        <f t="shared" si="92"/>
        <v>45266</v>
      </c>
      <c r="E475" s="4">
        <f t="shared" si="91"/>
        <v>21</v>
      </c>
      <c r="F475" s="4">
        <f t="shared" si="93"/>
        <v>21</v>
      </c>
      <c r="G475" s="4">
        <f>IF(Table1[[#This Row],[CorrectedLeadTimeDays]]&lt;=7, 1, 0)</f>
        <v>0</v>
      </c>
      <c r="H475" s="4" t="str">
        <f t="shared" si="94"/>
        <v>November</v>
      </c>
      <c r="I475" s="4" t="str">
        <f t="shared" si="95"/>
        <v>Q4-2023</v>
      </c>
      <c r="J475" s="4" t="str">
        <f t="shared" si="96"/>
        <v>2023-01</v>
      </c>
      <c r="K475" s="3">
        <f t="shared" si="97"/>
        <v>44945</v>
      </c>
      <c r="L475" t="s">
        <v>649</v>
      </c>
      <c r="M475" t="s">
        <v>658</v>
      </c>
      <c r="N475" t="s">
        <v>693</v>
      </c>
      <c r="O475" t="s">
        <v>702</v>
      </c>
      <c r="P475" t="s">
        <v>711</v>
      </c>
      <c r="Q475" t="s">
        <v>722</v>
      </c>
      <c r="R475">
        <f t="shared" si="98"/>
        <v>9</v>
      </c>
      <c r="S475" t="s">
        <v>733</v>
      </c>
      <c r="T475" t="s">
        <v>1067</v>
      </c>
      <c r="U475" s="4">
        <v>1184.99</v>
      </c>
      <c r="V475" s="4">
        <f>Table1[[#This Row],[UnitCost]]*(1+WhatIf!$B$3)</f>
        <v>1244.2395000000001</v>
      </c>
      <c r="W475" s="4">
        <f t="shared" si="99"/>
        <v>5924.95</v>
      </c>
      <c r="X475" s="4">
        <f>Table1[[#This Row],[ScenarioRev]]-Table1[[#This Row],[ScenarioUnitCost]]</f>
        <v>4926.8621399999993</v>
      </c>
      <c r="Y475" s="4">
        <v>1154.3399999999999</v>
      </c>
      <c r="Z475" s="4">
        <f t="shared" si="100"/>
        <v>5610.0923999999995</v>
      </c>
      <c r="AA475" s="4">
        <f>Table1[[#This Row],[ScenarioQuanity]]*Table1[[#This Row],[UnitPrice]]*(1-Table1[[#This Row],[ScenarioDiscPct]])</f>
        <v>6171.1016399999999</v>
      </c>
      <c r="AB475" s="4">
        <f t="shared" si="101"/>
        <v>-314.85760000000028</v>
      </c>
      <c r="AC475" s="4">
        <f>Table1[[#This Row],[ScenarioRev]] - Table1[[#This Row],[ScenarioCostOfGoods]]</f>
        <v>1244.2395000000006</v>
      </c>
      <c r="AD475" s="6">
        <v>2.8000000000000001E-2</v>
      </c>
      <c r="AE475" s="6">
        <f>MIN(Table1[[#This Row],[DiscountPct]], WhatIf!$B$2)</f>
        <v>2.8000000000000001E-2</v>
      </c>
      <c r="AF475" s="6">
        <f>IF(Table1[[#This Row],[DiscountPct]]&gt;0.2, 1, 0)</f>
        <v>0</v>
      </c>
      <c r="AG475" s="6" t="str">
        <f t="shared" si="102"/>
        <v>High</v>
      </c>
      <c r="AH475" s="6">
        <f t="shared" si="103"/>
        <v>-5.6123424990290764E-2</v>
      </c>
      <c r="AI475" s="5">
        <v>5</v>
      </c>
      <c r="AJ475" s="6">
        <f>Table1[[#This Row],[Quantity]]*(1+WhatIf!$B$4)</f>
        <v>5.5</v>
      </c>
    </row>
    <row r="476" spans="1:36" x14ac:dyDescent="0.3">
      <c r="A476" t="s">
        <v>503</v>
      </c>
      <c r="B476" s="3">
        <v>45792</v>
      </c>
      <c r="C476" s="3">
        <v>45813</v>
      </c>
      <c r="D476" s="3">
        <f t="shared" si="92"/>
        <v>45813</v>
      </c>
      <c r="E476" s="4">
        <f t="shared" si="91"/>
        <v>21</v>
      </c>
      <c r="F476" s="4">
        <f t="shared" si="93"/>
        <v>21</v>
      </c>
      <c r="G476" s="4">
        <f>IF(Table1[[#This Row],[CorrectedLeadTimeDays]]&lt;=7, 1, 0)</f>
        <v>0</v>
      </c>
      <c r="H476" s="4" t="str">
        <f t="shared" si="94"/>
        <v>May</v>
      </c>
      <c r="I476" s="4" t="str">
        <f t="shared" si="95"/>
        <v>Q2-2025</v>
      </c>
      <c r="J476" s="4" t="str">
        <f t="shared" si="96"/>
        <v>2023-03</v>
      </c>
      <c r="K476" s="3">
        <f t="shared" si="97"/>
        <v>44988</v>
      </c>
      <c r="L476" t="s">
        <v>647</v>
      </c>
      <c r="M476" t="s">
        <v>652</v>
      </c>
      <c r="N476" t="s">
        <v>666</v>
      </c>
      <c r="O476" t="s">
        <v>706</v>
      </c>
      <c r="P476" t="s">
        <v>711</v>
      </c>
      <c r="Q476" t="s">
        <v>722</v>
      </c>
      <c r="R476">
        <f t="shared" si="98"/>
        <v>26</v>
      </c>
      <c r="S476" t="s">
        <v>730</v>
      </c>
      <c r="T476" t="s">
        <v>1222</v>
      </c>
      <c r="U476" s="4">
        <v>1466.5</v>
      </c>
      <c r="V476" s="4">
        <f>Table1[[#This Row],[UnitCost]]*(1+WhatIf!$B$3)</f>
        <v>1539.825</v>
      </c>
      <c r="W476" s="4">
        <f t="shared" si="99"/>
        <v>5866</v>
      </c>
      <c r="X476" s="4">
        <f>Table1[[#This Row],[ScenarioRev]]-Table1[[#This Row],[ScenarioUnitCost]]</f>
        <v>9036.0594399999991</v>
      </c>
      <c r="Y476" s="4">
        <v>2778.74</v>
      </c>
      <c r="Z476" s="4">
        <f t="shared" si="100"/>
        <v>9614.4403999999995</v>
      </c>
      <c r="AA476" s="4">
        <f>Table1[[#This Row],[ScenarioQuanity]]*Table1[[#This Row],[UnitPrice]]*(1-Table1[[#This Row],[ScenarioDiscPct]])</f>
        <v>10575.88444</v>
      </c>
      <c r="AB476" s="4">
        <f t="shared" si="101"/>
        <v>3748.4403999999995</v>
      </c>
      <c r="AC476" s="4">
        <f>Table1[[#This Row],[ScenarioRev]] - Table1[[#This Row],[ScenarioCostOfGoods]]</f>
        <v>1539.8250000000007</v>
      </c>
      <c r="AD476" s="6">
        <v>0.13500000000000001</v>
      </c>
      <c r="AE476" s="6">
        <f>MIN(Table1[[#This Row],[DiscountPct]], WhatIf!$B$2)</f>
        <v>0.13500000000000001</v>
      </c>
      <c r="AF476" s="6">
        <f>IF(Table1[[#This Row],[DiscountPct]]&gt;0.2, 1, 0)</f>
        <v>0</v>
      </c>
      <c r="AG476" s="6" t="str">
        <f t="shared" si="102"/>
        <v>High</v>
      </c>
      <c r="AH476" s="6">
        <f t="shared" si="103"/>
        <v>0.38987608680792279</v>
      </c>
      <c r="AI476" s="5">
        <v>4</v>
      </c>
      <c r="AJ476" s="6">
        <f>Table1[[#This Row],[Quantity]]*(1+WhatIf!$B$4)</f>
        <v>4.4000000000000004</v>
      </c>
    </row>
    <row r="477" spans="1:36" x14ac:dyDescent="0.3">
      <c r="A477" t="s">
        <v>206</v>
      </c>
      <c r="B477" s="3">
        <v>45516</v>
      </c>
      <c r="C477" s="3">
        <v>45538</v>
      </c>
      <c r="D477" s="3">
        <f t="shared" si="92"/>
        <v>45538</v>
      </c>
      <c r="E477" s="4">
        <f t="shared" si="91"/>
        <v>22</v>
      </c>
      <c r="F477" s="4">
        <f t="shared" si="93"/>
        <v>22</v>
      </c>
      <c r="G477" s="4">
        <f>IF(Table1[[#This Row],[CorrectedLeadTimeDays]]&lt;=7, 1, 0)</f>
        <v>0</v>
      </c>
      <c r="H477" s="4" t="str">
        <f t="shared" si="94"/>
        <v>August</v>
      </c>
      <c r="I477" s="4" t="str">
        <f t="shared" si="95"/>
        <v>Q3-2024</v>
      </c>
      <c r="J477" s="4" t="str">
        <f t="shared" si="96"/>
        <v>2023-01</v>
      </c>
      <c r="K477" s="3">
        <f t="shared" si="97"/>
        <v>44939</v>
      </c>
      <c r="L477" t="s">
        <v>648</v>
      </c>
      <c r="M477" t="s">
        <v>660</v>
      </c>
      <c r="N477" t="s">
        <v>697</v>
      </c>
      <c r="O477" t="s">
        <v>704</v>
      </c>
      <c r="P477" t="s">
        <v>710</v>
      </c>
      <c r="Q477" t="s">
        <v>714</v>
      </c>
      <c r="R477">
        <f t="shared" si="98"/>
        <v>18</v>
      </c>
      <c r="S477" t="s">
        <v>731</v>
      </c>
      <c r="T477" t="s">
        <v>926</v>
      </c>
      <c r="U477" s="4">
        <v>797.8</v>
      </c>
      <c r="V477" s="4">
        <f>Table1[[#This Row],[UnitCost]]*(1+WhatIf!$B$3)</f>
        <v>837.68999999999994</v>
      </c>
      <c r="W477" s="4">
        <f t="shared" si="99"/>
        <v>28720.799999999999</v>
      </c>
      <c r="X477" s="4">
        <f>Table1[[#This Row],[ScenarioRev]]-Table1[[#This Row],[ScenarioUnitCost]]</f>
        <v>27237.759600000009</v>
      </c>
      <c r="Y477" s="4">
        <v>886.22</v>
      </c>
      <c r="Z477" s="4">
        <f t="shared" si="100"/>
        <v>24374.594880000001</v>
      </c>
      <c r="AA477" s="4">
        <f>Table1[[#This Row],[ScenarioQuanity]]*Table1[[#This Row],[UnitPrice]]*(1-Table1[[#This Row],[ScenarioDiscPct]])</f>
        <v>28075.449600000007</v>
      </c>
      <c r="AB477" s="4">
        <f t="shared" si="101"/>
        <v>-4346.2051199999987</v>
      </c>
      <c r="AC477" s="4">
        <f>Table1[[#This Row],[ScenarioRev]] - Table1[[#This Row],[ScenarioCostOfGoods]]</f>
        <v>837.68999999999869</v>
      </c>
      <c r="AD477" s="6">
        <v>0.23599999999999999</v>
      </c>
      <c r="AE477" s="6">
        <f>MIN(Table1[[#This Row],[DiscountPct]], WhatIf!$B$2)</f>
        <v>0.2</v>
      </c>
      <c r="AF477" s="6">
        <f>IF(Table1[[#This Row],[DiscountPct]]&gt;0.2, 1, 0)</f>
        <v>1</v>
      </c>
      <c r="AG477" s="6" t="str">
        <f t="shared" si="102"/>
        <v>High</v>
      </c>
      <c r="AH477" s="6">
        <f t="shared" si="103"/>
        <v>-0.17830881462428633</v>
      </c>
      <c r="AI477" s="5">
        <v>36</v>
      </c>
      <c r="AJ477" s="6">
        <f>Table1[[#This Row],[Quantity]]*(1+WhatIf!$B$4)</f>
        <v>39.6</v>
      </c>
    </row>
    <row r="478" spans="1:36" x14ac:dyDescent="0.3">
      <c r="A478" t="s">
        <v>64</v>
      </c>
      <c r="B478" s="3">
        <v>45117</v>
      </c>
      <c r="C478" s="3">
        <v>45139</v>
      </c>
      <c r="D478" s="3">
        <f t="shared" si="92"/>
        <v>45139</v>
      </c>
      <c r="E478" s="4">
        <f t="shared" si="91"/>
        <v>22</v>
      </c>
      <c r="F478" s="4">
        <f t="shared" si="93"/>
        <v>22</v>
      </c>
      <c r="G478" s="4">
        <f>IF(Table1[[#This Row],[CorrectedLeadTimeDays]]&lt;=7, 1, 0)</f>
        <v>0</v>
      </c>
      <c r="H478" s="4" t="str">
        <f t="shared" si="94"/>
        <v>July</v>
      </c>
      <c r="I478" s="4" t="str">
        <f t="shared" si="95"/>
        <v>Q3-2023</v>
      </c>
      <c r="J478" s="4" t="str">
        <f t="shared" si="96"/>
        <v>2023-01</v>
      </c>
      <c r="K478" s="3">
        <f t="shared" si="97"/>
        <v>44936</v>
      </c>
      <c r="L478" t="s">
        <v>649</v>
      </c>
      <c r="M478" t="s">
        <v>657</v>
      </c>
      <c r="N478" t="s">
        <v>673</v>
      </c>
      <c r="O478" t="s">
        <v>704</v>
      </c>
      <c r="P478" t="s">
        <v>709</v>
      </c>
      <c r="Q478" t="s">
        <v>717</v>
      </c>
      <c r="R478">
        <f t="shared" si="98"/>
        <v>6</v>
      </c>
      <c r="S478" t="s">
        <v>728</v>
      </c>
      <c r="T478" t="s">
        <v>783</v>
      </c>
      <c r="U478" s="4">
        <v>1303.56</v>
      </c>
      <c r="V478" s="4">
        <f>Table1[[#This Row],[UnitCost]]*(1+WhatIf!$B$3)</f>
        <v>1368.7380000000001</v>
      </c>
      <c r="W478" s="4">
        <f t="shared" si="99"/>
        <v>28678.32</v>
      </c>
      <c r="X478" s="4">
        <f>Table1[[#This Row],[ScenarioRev]]-Table1[[#This Row],[ScenarioUnitCost]]</f>
        <v>36520.170596000004</v>
      </c>
      <c r="Y478" s="4">
        <v>1791.37</v>
      </c>
      <c r="Z478" s="4">
        <f t="shared" si="100"/>
        <v>34444.462359999998</v>
      </c>
      <c r="AA478" s="4">
        <f>Table1[[#This Row],[ScenarioQuanity]]*Table1[[#This Row],[UnitPrice]]*(1-Table1[[#This Row],[ScenarioDiscPct]])</f>
        <v>37888.908596000001</v>
      </c>
      <c r="AB478" s="4">
        <f t="shared" si="101"/>
        <v>5766.142359999998</v>
      </c>
      <c r="AC478" s="4">
        <f>Table1[[#This Row],[ScenarioRev]] - Table1[[#This Row],[ScenarioCostOfGoods]]</f>
        <v>1368.7379999999976</v>
      </c>
      <c r="AD478" s="6">
        <v>0.126</v>
      </c>
      <c r="AE478" s="6">
        <f>MIN(Table1[[#This Row],[DiscountPct]], WhatIf!$B$2)</f>
        <v>0.126</v>
      </c>
      <c r="AF478" s="6">
        <f>IF(Table1[[#This Row],[DiscountPct]]&gt;0.2, 1, 0)</f>
        <v>0</v>
      </c>
      <c r="AG478" s="6" t="str">
        <f t="shared" si="102"/>
        <v>High</v>
      </c>
      <c r="AH478" s="6">
        <f t="shared" si="103"/>
        <v>0.16740404596055358</v>
      </c>
      <c r="AI478" s="5">
        <v>22</v>
      </c>
      <c r="AJ478" s="6">
        <f>Table1[[#This Row],[Quantity]]*(1+WhatIf!$B$4)</f>
        <v>24.200000000000003</v>
      </c>
    </row>
    <row r="479" spans="1:36" x14ac:dyDescent="0.3">
      <c r="A479" t="s">
        <v>210</v>
      </c>
      <c r="B479" s="3">
        <v>45588</v>
      </c>
      <c r="C479" s="3">
        <v>45610</v>
      </c>
      <c r="D479" s="3">
        <f t="shared" si="92"/>
        <v>45610</v>
      </c>
      <c r="E479" s="4">
        <f t="shared" si="91"/>
        <v>22</v>
      </c>
      <c r="F479" s="4">
        <f t="shared" si="93"/>
        <v>22</v>
      </c>
      <c r="G479" s="4">
        <f>IF(Table1[[#This Row],[CorrectedLeadTimeDays]]&lt;=7, 1, 0)</f>
        <v>0</v>
      </c>
      <c r="H479" s="4" t="str">
        <f t="shared" si="94"/>
        <v>October</v>
      </c>
      <c r="I479" s="4" t="str">
        <f t="shared" si="95"/>
        <v>Q4-2024</v>
      </c>
      <c r="J479" s="4" t="str">
        <f t="shared" si="96"/>
        <v>2023-03</v>
      </c>
      <c r="K479" s="3">
        <f t="shared" si="97"/>
        <v>44988</v>
      </c>
      <c r="L479" t="s">
        <v>647</v>
      </c>
      <c r="M479" t="s">
        <v>652</v>
      </c>
      <c r="N479" t="s">
        <v>666</v>
      </c>
      <c r="O479" t="s">
        <v>703</v>
      </c>
      <c r="P479" t="s">
        <v>711</v>
      </c>
      <c r="Q479" t="s">
        <v>717</v>
      </c>
      <c r="R479">
        <f t="shared" si="98"/>
        <v>19</v>
      </c>
      <c r="S479" t="s">
        <v>730</v>
      </c>
      <c r="T479" t="s">
        <v>930</v>
      </c>
      <c r="U479" s="4">
        <v>1406.4</v>
      </c>
      <c r="V479" s="4">
        <f>Table1[[#This Row],[UnitCost]]*(1+WhatIf!$B$3)</f>
        <v>1476.7200000000003</v>
      </c>
      <c r="W479" s="4">
        <f t="shared" si="99"/>
        <v>23908.800000000003</v>
      </c>
      <c r="X479" s="4">
        <f>Table1[[#This Row],[ScenarioRev]]-Table1[[#This Row],[ScenarioUnitCost]]</f>
        <v>22371.004780000003</v>
      </c>
      <c r="Y479" s="4">
        <v>1564.76</v>
      </c>
      <c r="Z479" s="4">
        <f t="shared" si="100"/>
        <v>21679.749799999998</v>
      </c>
      <c r="AA479" s="4">
        <f>Table1[[#This Row],[ScenarioQuanity]]*Table1[[#This Row],[UnitPrice]]*(1-Table1[[#This Row],[ScenarioDiscPct]])</f>
        <v>23847.724780000004</v>
      </c>
      <c r="AB479" s="4">
        <f t="shared" si="101"/>
        <v>-2229.0502000000051</v>
      </c>
      <c r="AC479" s="4">
        <f>Table1[[#This Row],[ScenarioRev]] - Table1[[#This Row],[ScenarioCostOfGoods]]</f>
        <v>1476.7200000000012</v>
      </c>
      <c r="AD479" s="6">
        <v>0.185</v>
      </c>
      <c r="AE479" s="6">
        <f>MIN(Table1[[#This Row],[DiscountPct]], WhatIf!$B$2)</f>
        <v>0.185</v>
      </c>
      <c r="AF479" s="6">
        <f>IF(Table1[[#This Row],[DiscountPct]]&gt;0.2, 1, 0)</f>
        <v>0</v>
      </c>
      <c r="AG479" s="6" t="str">
        <f t="shared" si="102"/>
        <v>High</v>
      </c>
      <c r="AH479" s="6">
        <f t="shared" si="103"/>
        <v>-0.10281715520536151</v>
      </c>
      <c r="AI479" s="5">
        <v>17</v>
      </c>
      <c r="AJ479" s="6">
        <f>Table1[[#This Row],[Quantity]]*(1+WhatIf!$B$4)</f>
        <v>18.700000000000003</v>
      </c>
    </row>
    <row r="480" spans="1:36" x14ac:dyDescent="0.3">
      <c r="A480" t="s">
        <v>172</v>
      </c>
      <c r="B480" s="3">
        <v>45531</v>
      </c>
      <c r="C480" s="3">
        <v>45553</v>
      </c>
      <c r="D480" s="3">
        <f t="shared" si="92"/>
        <v>45553</v>
      </c>
      <c r="E480" s="4">
        <f t="shared" si="91"/>
        <v>22</v>
      </c>
      <c r="F480" s="4">
        <f t="shared" si="93"/>
        <v>22</v>
      </c>
      <c r="G480" s="4">
        <f>IF(Table1[[#This Row],[CorrectedLeadTimeDays]]&lt;=7, 1, 0)</f>
        <v>0</v>
      </c>
      <c r="H480" s="4" t="str">
        <f t="shared" si="94"/>
        <v>August</v>
      </c>
      <c r="I480" s="4" t="str">
        <f t="shared" si="95"/>
        <v>Q3-2024</v>
      </c>
      <c r="J480" s="4" t="str">
        <f t="shared" si="96"/>
        <v>2023-01</v>
      </c>
      <c r="K480" s="3">
        <f t="shared" si="97"/>
        <v>44955</v>
      </c>
      <c r="L480" t="s">
        <v>647</v>
      </c>
      <c r="M480" t="s">
        <v>654</v>
      </c>
      <c r="N480" t="s">
        <v>680</v>
      </c>
      <c r="O480" t="s">
        <v>704</v>
      </c>
      <c r="P480" t="s">
        <v>711</v>
      </c>
      <c r="Q480" t="s">
        <v>717</v>
      </c>
      <c r="R480">
        <f t="shared" si="98"/>
        <v>18</v>
      </c>
      <c r="S480" t="s">
        <v>727</v>
      </c>
      <c r="T480" t="s">
        <v>891</v>
      </c>
      <c r="U480" s="4">
        <v>896.75</v>
      </c>
      <c r="V480" s="4">
        <f>Table1[[#This Row],[UnitCost]]*(1+WhatIf!$B$3)</f>
        <v>941.58750000000009</v>
      </c>
      <c r="W480" s="4">
        <f t="shared" si="99"/>
        <v>13451.25</v>
      </c>
      <c r="X480" s="4">
        <f>Table1[[#This Row],[ScenarioRev]]-Table1[[#This Row],[ScenarioUnitCost]]</f>
        <v>25621.127249999998</v>
      </c>
      <c r="Y480" s="4">
        <v>1651.14</v>
      </c>
      <c r="Z480" s="4">
        <f t="shared" si="100"/>
        <v>24147.922500000001</v>
      </c>
      <c r="AA480" s="4">
        <f>Table1[[#This Row],[ScenarioQuanity]]*Table1[[#This Row],[UnitPrice]]*(1-Table1[[#This Row],[ScenarioDiscPct]])</f>
        <v>26562.714749999999</v>
      </c>
      <c r="AB480" s="4">
        <f t="shared" si="101"/>
        <v>10696.672500000001</v>
      </c>
      <c r="AC480" s="4">
        <f>Table1[[#This Row],[ScenarioRev]] - Table1[[#This Row],[ScenarioCostOfGoods]]</f>
        <v>941.58750000000146</v>
      </c>
      <c r="AD480" s="6">
        <v>2.5000000000000001E-2</v>
      </c>
      <c r="AE480" s="6">
        <f>MIN(Table1[[#This Row],[DiscountPct]], WhatIf!$B$2)</f>
        <v>2.5000000000000001E-2</v>
      </c>
      <c r="AF480" s="6">
        <f>IF(Table1[[#This Row],[DiscountPct]]&gt;0.2, 1, 0)</f>
        <v>0</v>
      </c>
      <c r="AG480" s="6" t="str">
        <f t="shared" si="102"/>
        <v>High</v>
      </c>
      <c r="AH480" s="6">
        <f t="shared" si="103"/>
        <v>0.44296450346815552</v>
      </c>
      <c r="AI480" s="5">
        <v>15</v>
      </c>
      <c r="AJ480" s="6">
        <f>Table1[[#This Row],[Quantity]]*(1+WhatIf!$B$4)</f>
        <v>16.5</v>
      </c>
    </row>
    <row r="481" spans="1:36" x14ac:dyDescent="0.3">
      <c r="A481" t="s">
        <v>249</v>
      </c>
      <c r="B481" s="3">
        <v>45302</v>
      </c>
      <c r="C481" s="3">
        <v>45324</v>
      </c>
      <c r="D481" s="3">
        <f t="shared" si="92"/>
        <v>45324</v>
      </c>
      <c r="E481" s="4">
        <f t="shared" si="91"/>
        <v>22</v>
      </c>
      <c r="F481" s="4">
        <f t="shared" si="93"/>
        <v>22</v>
      </c>
      <c r="G481" s="4">
        <f>IF(Table1[[#This Row],[CorrectedLeadTimeDays]]&lt;=7, 1, 0)</f>
        <v>0</v>
      </c>
      <c r="H481" s="4" t="str">
        <f t="shared" si="94"/>
        <v>January</v>
      </c>
      <c r="I481" s="4" t="str">
        <f t="shared" si="95"/>
        <v>Q1-2024</v>
      </c>
      <c r="J481" s="4" t="str">
        <f t="shared" si="96"/>
        <v>2023-03</v>
      </c>
      <c r="K481" s="3">
        <f t="shared" si="97"/>
        <v>44988</v>
      </c>
      <c r="L481" t="s">
        <v>647</v>
      </c>
      <c r="M481" t="s">
        <v>652</v>
      </c>
      <c r="N481" t="s">
        <v>694</v>
      </c>
      <c r="O481" t="s">
        <v>705</v>
      </c>
      <c r="P481" t="s">
        <v>708</v>
      </c>
      <c r="R481">
        <f t="shared" si="98"/>
        <v>10</v>
      </c>
      <c r="S481" t="s">
        <v>728</v>
      </c>
      <c r="T481" t="s">
        <v>969</v>
      </c>
      <c r="U481" s="4">
        <v>1237.68</v>
      </c>
      <c r="V481" s="4">
        <f>Table1[[#This Row],[UnitCost]]*(1+WhatIf!$B$3)</f>
        <v>1299.5640000000001</v>
      </c>
      <c r="W481" s="4">
        <f t="shared" si="99"/>
        <v>16089.84</v>
      </c>
      <c r="X481" s="4">
        <f>Table1[[#This Row],[ScenarioRev]]-Table1[[#This Row],[ScenarioUnitCost]]</f>
        <v>17796.221280000002</v>
      </c>
      <c r="Y481" s="4">
        <v>1432.8</v>
      </c>
      <c r="Z481" s="4">
        <f t="shared" si="100"/>
        <v>17359.804799999998</v>
      </c>
      <c r="AA481" s="4">
        <f>Table1[[#This Row],[ScenarioQuanity]]*Table1[[#This Row],[UnitPrice]]*(1-Table1[[#This Row],[ScenarioDiscPct]])</f>
        <v>19095.78528</v>
      </c>
      <c r="AB481" s="4">
        <f t="shared" si="101"/>
        <v>1269.9647999999979</v>
      </c>
      <c r="AC481" s="4">
        <f>Table1[[#This Row],[ScenarioRev]] - Table1[[#This Row],[ScenarioCostOfGoods]]</f>
        <v>1299.5639999999985</v>
      </c>
      <c r="AD481" s="6">
        <v>6.8000000000000005E-2</v>
      </c>
      <c r="AE481" s="6">
        <f>MIN(Table1[[#This Row],[DiscountPct]], WhatIf!$B$2)</f>
        <v>6.8000000000000005E-2</v>
      </c>
      <c r="AF481" s="6">
        <f>IF(Table1[[#This Row],[DiscountPct]]&gt;0.2, 1, 0)</f>
        <v>0</v>
      </c>
      <c r="AG481" s="6" t="str">
        <f t="shared" si="102"/>
        <v>High</v>
      </c>
      <c r="AH481" s="6">
        <f t="shared" si="103"/>
        <v>7.315547695559331E-2</v>
      </c>
      <c r="AI481" s="5">
        <v>13</v>
      </c>
      <c r="AJ481" s="6">
        <f>Table1[[#This Row],[Quantity]]*(1+WhatIf!$B$4)</f>
        <v>14.3</v>
      </c>
    </row>
    <row r="482" spans="1:36" x14ac:dyDescent="0.3">
      <c r="A482" t="s">
        <v>194</v>
      </c>
      <c r="B482" s="3">
        <v>45890</v>
      </c>
      <c r="C482" s="3">
        <v>45912</v>
      </c>
      <c r="D482" s="3">
        <f t="shared" si="92"/>
        <v>45912</v>
      </c>
      <c r="E482" s="4">
        <f t="shared" si="91"/>
        <v>22</v>
      </c>
      <c r="F482" s="4">
        <f t="shared" si="93"/>
        <v>22</v>
      </c>
      <c r="G482" s="4">
        <f>IF(Table1[[#This Row],[CorrectedLeadTimeDays]]&lt;=7, 1, 0)</f>
        <v>0</v>
      </c>
      <c r="H482" s="4" t="str">
        <f t="shared" si="94"/>
        <v>August</v>
      </c>
      <c r="I482" s="4" t="str">
        <f t="shared" si="95"/>
        <v>Q3-2025</v>
      </c>
      <c r="J482" s="4" t="str">
        <f t="shared" si="96"/>
        <v>2023-01</v>
      </c>
      <c r="K482" s="3">
        <f t="shared" si="97"/>
        <v>44938</v>
      </c>
      <c r="L482" t="s">
        <v>647</v>
      </c>
      <c r="M482" t="s">
        <v>659</v>
      </c>
      <c r="N482" t="s">
        <v>676</v>
      </c>
      <c r="O482" t="s">
        <v>702</v>
      </c>
      <c r="P482" t="s">
        <v>707</v>
      </c>
      <c r="Q482" t="s">
        <v>717</v>
      </c>
      <c r="R482">
        <f t="shared" si="98"/>
        <v>31</v>
      </c>
      <c r="S482" t="s">
        <v>728</v>
      </c>
      <c r="T482" t="s">
        <v>913</v>
      </c>
      <c r="U482" s="4">
        <v>352.66</v>
      </c>
      <c r="V482" s="4">
        <f>Table1[[#This Row],[UnitCost]]*(1+WhatIf!$B$3)</f>
        <v>370.29300000000006</v>
      </c>
      <c r="W482" s="4">
        <f t="shared" si="99"/>
        <v>4584.58</v>
      </c>
      <c r="X482" s="4">
        <f>Table1[[#This Row],[ScenarioRev]]-Table1[[#This Row],[ScenarioUnitCost]]</f>
        <v>4492.362798000001</v>
      </c>
      <c r="Y482" s="4">
        <v>411.18</v>
      </c>
      <c r="Z482" s="4">
        <f t="shared" si="100"/>
        <v>4420.5961799999995</v>
      </c>
      <c r="AA482" s="4">
        <f>Table1[[#This Row],[ScenarioQuanity]]*Table1[[#This Row],[UnitPrice]]*(1-Table1[[#This Row],[ScenarioDiscPct]])</f>
        <v>4862.6557980000007</v>
      </c>
      <c r="AB482" s="4">
        <f t="shared" si="101"/>
        <v>-163.98382000000038</v>
      </c>
      <c r="AC482" s="4">
        <f>Table1[[#This Row],[ScenarioRev]] - Table1[[#This Row],[ScenarioCostOfGoods]]</f>
        <v>370.29299999999967</v>
      </c>
      <c r="AD482" s="6">
        <v>0.17299999999999999</v>
      </c>
      <c r="AE482" s="6">
        <f>MIN(Table1[[#This Row],[DiscountPct]], WhatIf!$B$2)</f>
        <v>0.17299999999999999</v>
      </c>
      <c r="AF482" s="6">
        <f>IF(Table1[[#This Row],[DiscountPct]]&gt;0.2, 1, 0)</f>
        <v>0</v>
      </c>
      <c r="AG482" s="6" t="str">
        <f t="shared" si="102"/>
        <v>Low</v>
      </c>
      <c r="AH482" s="6">
        <f t="shared" si="103"/>
        <v>-3.7095408248758066E-2</v>
      </c>
      <c r="AI482" s="5">
        <v>13</v>
      </c>
      <c r="AJ482" s="6">
        <f>Table1[[#This Row],[Quantity]]*(1+WhatIf!$B$4)</f>
        <v>14.3</v>
      </c>
    </row>
    <row r="483" spans="1:36" x14ac:dyDescent="0.3">
      <c r="A483" t="s">
        <v>337</v>
      </c>
      <c r="B483" s="3">
        <v>45340</v>
      </c>
      <c r="C483" s="3">
        <v>45362</v>
      </c>
      <c r="D483" s="3">
        <f t="shared" si="92"/>
        <v>45362</v>
      </c>
      <c r="E483" s="4">
        <f t="shared" si="91"/>
        <v>22</v>
      </c>
      <c r="F483" s="4">
        <f t="shared" si="93"/>
        <v>22</v>
      </c>
      <c r="G483" s="4">
        <f>IF(Table1[[#This Row],[CorrectedLeadTimeDays]]&lt;=7, 1, 0)</f>
        <v>0</v>
      </c>
      <c r="H483" s="4" t="str">
        <f t="shared" si="94"/>
        <v>February</v>
      </c>
      <c r="I483" s="4" t="str">
        <f t="shared" si="95"/>
        <v>Q1-2024</v>
      </c>
      <c r="J483" s="4" t="str">
        <f t="shared" si="96"/>
        <v>2023-01</v>
      </c>
      <c r="K483" s="3">
        <f t="shared" si="97"/>
        <v>44955</v>
      </c>
      <c r="L483" t="s">
        <v>648</v>
      </c>
      <c r="M483" t="s">
        <v>655</v>
      </c>
      <c r="N483" t="s">
        <v>670</v>
      </c>
      <c r="O483" t="s">
        <v>704</v>
      </c>
      <c r="P483" t="s">
        <v>708</v>
      </c>
      <c r="Q483" t="s">
        <v>720</v>
      </c>
      <c r="R483">
        <f t="shared" si="98"/>
        <v>12</v>
      </c>
      <c r="S483" t="s">
        <v>727</v>
      </c>
      <c r="T483" t="s">
        <v>1057</v>
      </c>
      <c r="U483" s="4">
        <v>80.48</v>
      </c>
      <c r="V483" s="4">
        <f>Table1[[#This Row],[UnitCost]]*(1+WhatIf!$B$3)</f>
        <v>84.504000000000005</v>
      </c>
      <c r="W483" s="4">
        <f t="shared" si="99"/>
        <v>1046.24</v>
      </c>
      <c r="X483" s="4">
        <f>Table1[[#This Row],[ScenarioRev]]-Table1[[#This Row],[ScenarioUnitCost]]</f>
        <v>689.06308000000013</v>
      </c>
      <c r="Y483" s="4">
        <v>65.650000000000006</v>
      </c>
      <c r="Z483" s="4">
        <f t="shared" si="100"/>
        <v>703.2428000000001</v>
      </c>
      <c r="AA483" s="4">
        <f>Table1[[#This Row],[ScenarioQuanity]]*Table1[[#This Row],[UnitPrice]]*(1-Table1[[#This Row],[ScenarioDiscPct]])</f>
        <v>773.56708000000015</v>
      </c>
      <c r="AB483" s="4">
        <f t="shared" si="101"/>
        <v>-342.99719999999991</v>
      </c>
      <c r="AC483" s="4">
        <f>Table1[[#This Row],[ScenarioRev]] - Table1[[#This Row],[ScenarioCostOfGoods]]</f>
        <v>84.504000000000019</v>
      </c>
      <c r="AD483" s="6">
        <v>0.17599999999999999</v>
      </c>
      <c r="AE483" s="6">
        <f>MIN(Table1[[#This Row],[DiscountPct]], WhatIf!$B$2)</f>
        <v>0.17599999999999999</v>
      </c>
      <c r="AF483" s="6">
        <f>IF(Table1[[#This Row],[DiscountPct]]&gt;0.2, 1, 0)</f>
        <v>0</v>
      </c>
      <c r="AG483" s="6" t="str">
        <f t="shared" si="102"/>
        <v>Low</v>
      </c>
      <c r="AH483" s="6">
        <f t="shared" si="103"/>
        <v>-0.48773652570634191</v>
      </c>
      <c r="AI483" s="5">
        <v>13</v>
      </c>
      <c r="AJ483" s="6">
        <f>Table1[[#This Row],[Quantity]]*(1+WhatIf!$B$4)</f>
        <v>14.3</v>
      </c>
    </row>
    <row r="484" spans="1:36" x14ac:dyDescent="0.3">
      <c r="A484" t="s">
        <v>137</v>
      </c>
      <c r="B484" s="3">
        <v>45289</v>
      </c>
      <c r="C484" s="3">
        <v>45311</v>
      </c>
      <c r="D484" s="3">
        <f t="shared" si="92"/>
        <v>45311</v>
      </c>
      <c r="E484" s="4">
        <f t="shared" si="91"/>
        <v>22</v>
      </c>
      <c r="F484" s="4">
        <f t="shared" si="93"/>
        <v>22</v>
      </c>
      <c r="G484" s="4">
        <f>IF(Table1[[#This Row],[CorrectedLeadTimeDays]]&lt;=7, 1, 0)</f>
        <v>0</v>
      </c>
      <c r="H484" s="4" t="str">
        <f t="shared" si="94"/>
        <v>December</v>
      </c>
      <c r="I484" s="4" t="str">
        <f t="shared" si="95"/>
        <v>Q4-2023</v>
      </c>
      <c r="J484" s="4" t="str">
        <f t="shared" si="96"/>
        <v>2023-01</v>
      </c>
      <c r="K484" s="3">
        <f t="shared" si="97"/>
        <v>44946</v>
      </c>
      <c r="L484" t="s">
        <v>646</v>
      </c>
      <c r="M484" t="s">
        <v>650</v>
      </c>
      <c r="N484" t="s">
        <v>662</v>
      </c>
      <c r="O484" t="s">
        <v>701</v>
      </c>
      <c r="P484" t="s">
        <v>711</v>
      </c>
      <c r="Q484" t="s">
        <v>716</v>
      </c>
      <c r="R484">
        <f t="shared" si="98"/>
        <v>11</v>
      </c>
      <c r="S484" t="s">
        <v>730</v>
      </c>
      <c r="T484" t="s">
        <v>856</v>
      </c>
      <c r="U484" s="4">
        <v>1395.49</v>
      </c>
      <c r="V484" s="4">
        <f>Table1[[#This Row],[UnitCost]]*(1+WhatIf!$B$3)</f>
        <v>1465.2645</v>
      </c>
      <c r="W484" s="4">
        <f t="shared" si="99"/>
        <v>16745.88</v>
      </c>
      <c r="X484" s="4">
        <f>Table1[[#This Row],[ScenarioRev]]-Table1[[#This Row],[ScenarioUnitCost]]</f>
        <v>16269.410700000002</v>
      </c>
      <c r="Y484" s="4">
        <v>1679.42</v>
      </c>
      <c r="Z484" s="4">
        <f t="shared" si="100"/>
        <v>16061.972879999999</v>
      </c>
      <c r="AA484" s="4">
        <f>Table1[[#This Row],[ScenarioQuanity]]*Table1[[#This Row],[UnitPrice]]*(1-Table1[[#This Row],[ScenarioDiscPct]])</f>
        <v>17734.675200000001</v>
      </c>
      <c r="AB484" s="4">
        <f t="shared" si="101"/>
        <v>-683.90712000000167</v>
      </c>
      <c r="AC484" s="4">
        <f>Table1[[#This Row],[ScenarioRev]] - Table1[[#This Row],[ScenarioCostOfGoods]]</f>
        <v>1465.2644999999993</v>
      </c>
      <c r="AD484" s="6">
        <v>0.20300000000000001</v>
      </c>
      <c r="AE484" s="6">
        <f>MIN(Table1[[#This Row],[DiscountPct]], WhatIf!$B$2)</f>
        <v>0.2</v>
      </c>
      <c r="AF484" s="6">
        <f>IF(Table1[[#This Row],[DiscountPct]]&gt;0.2, 1, 0)</f>
        <v>1</v>
      </c>
      <c r="AG484" s="6" t="str">
        <f t="shared" si="102"/>
        <v>High</v>
      </c>
      <c r="AH484" s="6">
        <f t="shared" si="103"/>
        <v>-4.2579272490964493E-2</v>
      </c>
      <c r="AI484" s="5">
        <v>12</v>
      </c>
      <c r="AJ484" s="6">
        <f>Table1[[#This Row],[Quantity]]*(1+WhatIf!$B$4)</f>
        <v>13.200000000000001</v>
      </c>
    </row>
    <row r="485" spans="1:36" x14ac:dyDescent="0.3">
      <c r="A485" t="s">
        <v>339</v>
      </c>
      <c r="B485" s="3">
        <v>45053</v>
      </c>
      <c r="C485" s="3">
        <v>45075</v>
      </c>
      <c r="D485" s="3">
        <f t="shared" si="92"/>
        <v>45075</v>
      </c>
      <c r="E485" s="4">
        <f t="shared" si="91"/>
        <v>22</v>
      </c>
      <c r="F485" s="4">
        <f t="shared" si="93"/>
        <v>22</v>
      </c>
      <c r="G485" s="4">
        <f>IF(Table1[[#This Row],[CorrectedLeadTimeDays]]&lt;=7, 1, 0)</f>
        <v>0</v>
      </c>
      <c r="H485" s="4" t="str">
        <f t="shared" si="94"/>
        <v>May</v>
      </c>
      <c r="I485" s="4" t="str">
        <f t="shared" si="95"/>
        <v>Q2-2023</v>
      </c>
      <c r="J485" s="4" t="str">
        <f t="shared" si="96"/>
        <v>2023-01</v>
      </c>
      <c r="K485" s="3">
        <f t="shared" si="97"/>
        <v>44933</v>
      </c>
      <c r="L485" t="s">
        <v>646</v>
      </c>
      <c r="M485" t="s">
        <v>661</v>
      </c>
      <c r="N485" t="s">
        <v>687</v>
      </c>
      <c r="O485" t="s">
        <v>702</v>
      </c>
      <c r="P485" t="s">
        <v>710</v>
      </c>
      <c r="Q485" t="s">
        <v>723</v>
      </c>
      <c r="R485">
        <f t="shared" si="98"/>
        <v>4</v>
      </c>
      <c r="S485" t="s">
        <v>733</v>
      </c>
      <c r="T485" t="s">
        <v>1059</v>
      </c>
      <c r="U485" s="4">
        <v>653.86</v>
      </c>
      <c r="V485" s="4">
        <f>Table1[[#This Row],[UnitCost]]*(1+WhatIf!$B$3)</f>
        <v>686.553</v>
      </c>
      <c r="W485" s="4">
        <f t="shared" si="99"/>
        <v>7846.32</v>
      </c>
      <c r="X485" s="4">
        <f>Table1[[#This Row],[ScenarioRev]]-Table1[[#This Row],[ScenarioUnitCost]]</f>
        <v>10125.400152000002</v>
      </c>
      <c r="Y485" s="4">
        <v>931.84</v>
      </c>
      <c r="Z485" s="4">
        <f t="shared" si="100"/>
        <v>9829.0483199999999</v>
      </c>
      <c r="AA485" s="4">
        <f>Table1[[#This Row],[ScenarioQuanity]]*Table1[[#This Row],[UnitPrice]]*(1-Table1[[#This Row],[ScenarioDiscPct]])</f>
        <v>10811.953152000002</v>
      </c>
      <c r="AB485" s="4">
        <f t="shared" si="101"/>
        <v>1982.7283200000002</v>
      </c>
      <c r="AC485" s="4">
        <f>Table1[[#This Row],[ScenarioRev]] - Table1[[#This Row],[ScenarioCostOfGoods]]</f>
        <v>686.55299999999988</v>
      </c>
      <c r="AD485" s="6">
        <v>0.121</v>
      </c>
      <c r="AE485" s="6">
        <f>MIN(Table1[[#This Row],[DiscountPct]], WhatIf!$B$2)</f>
        <v>0.121</v>
      </c>
      <c r="AF485" s="6">
        <f>IF(Table1[[#This Row],[DiscountPct]]&gt;0.2, 1, 0)</f>
        <v>0</v>
      </c>
      <c r="AG485" s="6" t="str">
        <f t="shared" si="102"/>
        <v>High</v>
      </c>
      <c r="AH485" s="6">
        <f t="shared" si="103"/>
        <v>0.20172129136506273</v>
      </c>
      <c r="AI485" s="5">
        <v>12</v>
      </c>
      <c r="AJ485" s="6">
        <f>Table1[[#This Row],[Quantity]]*(1+WhatIf!$B$4)</f>
        <v>13.200000000000001</v>
      </c>
    </row>
    <row r="486" spans="1:36" x14ac:dyDescent="0.3">
      <c r="A486" t="s">
        <v>208</v>
      </c>
      <c r="B486" s="3">
        <v>45050</v>
      </c>
      <c r="C486" s="3">
        <v>45072</v>
      </c>
      <c r="D486" s="3">
        <f t="shared" si="92"/>
        <v>45072</v>
      </c>
      <c r="E486" s="4">
        <f t="shared" si="91"/>
        <v>22</v>
      </c>
      <c r="F486" s="4">
        <f t="shared" si="93"/>
        <v>22</v>
      </c>
      <c r="G486" s="4">
        <f>IF(Table1[[#This Row],[CorrectedLeadTimeDays]]&lt;=7, 1, 0)</f>
        <v>0</v>
      </c>
      <c r="H486" s="4" t="str">
        <f t="shared" si="94"/>
        <v>May</v>
      </c>
      <c r="I486" s="4" t="str">
        <f t="shared" si="95"/>
        <v>Q2-2023</v>
      </c>
      <c r="J486" s="4" t="str">
        <f t="shared" si="96"/>
        <v>2023-01</v>
      </c>
      <c r="K486" s="3">
        <f t="shared" si="97"/>
        <v>44939</v>
      </c>
      <c r="L486" t="s">
        <v>648</v>
      </c>
      <c r="M486" t="s">
        <v>660</v>
      </c>
      <c r="N486" t="s">
        <v>686</v>
      </c>
      <c r="O486" t="s">
        <v>706</v>
      </c>
      <c r="P486" t="s">
        <v>708</v>
      </c>
      <c r="Q486" t="s">
        <v>713</v>
      </c>
      <c r="R486">
        <f t="shared" si="98"/>
        <v>3</v>
      </c>
      <c r="S486" t="s">
        <v>729</v>
      </c>
      <c r="T486" t="s">
        <v>928</v>
      </c>
      <c r="U486" s="4">
        <v>249.71</v>
      </c>
      <c r="V486" s="4">
        <f>Table1[[#This Row],[UnitCost]]*(1+WhatIf!$B$3)</f>
        <v>262.19550000000004</v>
      </c>
      <c r="W486" s="4">
        <f t="shared" si="99"/>
        <v>2996.52</v>
      </c>
      <c r="X486" s="4">
        <f>Table1[[#This Row],[ScenarioRev]]-Table1[[#This Row],[ScenarioUnitCost]]</f>
        <v>4059.0222360000007</v>
      </c>
      <c r="Y486" s="4">
        <v>361.33</v>
      </c>
      <c r="Z486" s="4">
        <f t="shared" si="100"/>
        <v>3928.3797600000003</v>
      </c>
      <c r="AA486" s="4">
        <f>Table1[[#This Row],[ScenarioQuanity]]*Table1[[#This Row],[UnitPrice]]*(1-Table1[[#This Row],[ScenarioDiscPct]])</f>
        <v>4321.2177360000005</v>
      </c>
      <c r="AB486" s="4">
        <f t="shared" si="101"/>
        <v>931.85976000000028</v>
      </c>
      <c r="AC486" s="4">
        <f>Table1[[#This Row],[ScenarioRev]] - Table1[[#This Row],[ScenarioCostOfGoods]]</f>
        <v>262.19549999999981</v>
      </c>
      <c r="AD486" s="6">
        <v>9.4E-2</v>
      </c>
      <c r="AE486" s="6">
        <f>MIN(Table1[[#This Row],[DiscountPct]], WhatIf!$B$2)</f>
        <v>9.4E-2</v>
      </c>
      <c r="AF486" s="6">
        <f>IF(Table1[[#This Row],[DiscountPct]]&gt;0.2, 1, 0)</f>
        <v>0</v>
      </c>
      <c r="AG486" s="6" t="str">
        <f t="shared" si="102"/>
        <v>Low</v>
      </c>
      <c r="AH486" s="6">
        <f t="shared" si="103"/>
        <v>0.23721223937881206</v>
      </c>
      <c r="AI486" s="5">
        <v>12</v>
      </c>
      <c r="AJ486" s="6">
        <f>Table1[[#This Row],[Quantity]]*(1+WhatIf!$B$4)</f>
        <v>13.200000000000001</v>
      </c>
    </row>
    <row r="487" spans="1:36" x14ac:dyDescent="0.3">
      <c r="A487" t="s">
        <v>620</v>
      </c>
      <c r="B487" s="3">
        <v>45038</v>
      </c>
      <c r="C487" s="3">
        <v>45060</v>
      </c>
      <c r="D487" s="3">
        <f t="shared" si="92"/>
        <v>45060</v>
      </c>
      <c r="E487" s="4">
        <f t="shared" si="91"/>
        <v>22</v>
      </c>
      <c r="F487" s="4">
        <f t="shared" si="93"/>
        <v>22</v>
      </c>
      <c r="G487" s="4">
        <f>IF(Table1[[#This Row],[CorrectedLeadTimeDays]]&lt;=7, 1, 0)</f>
        <v>0</v>
      </c>
      <c r="H487" s="4" t="str">
        <f t="shared" si="94"/>
        <v>April</v>
      </c>
      <c r="I487" s="4" t="str">
        <f t="shared" si="95"/>
        <v>Q2-2023</v>
      </c>
      <c r="J487" s="4" t="str">
        <f t="shared" si="96"/>
        <v>2023-03</v>
      </c>
      <c r="K487" s="3">
        <f t="shared" si="97"/>
        <v>44988</v>
      </c>
      <c r="L487" t="s">
        <v>647</v>
      </c>
      <c r="M487" t="s">
        <v>652</v>
      </c>
      <c r="N487" t="s">
        <v>694</v>
      </c>
      <c r="O487" t="s">
        <v>706</v>
      </c>
      <c r="P487" t="s">
        <v>707</v>
      </c>
      <c r="Q487" t="s">
        <v>720</v>
      </c>
      <c r="R487">
        <f t="shared" si="98"/>
        <v>1</v>
      </c>
      <c r="S487" t="s">
        <v>733</v>
      </c>
      <c r="T487" t="s">
        <v>1338</v>
      </c>
      <c r="U487" s="4">
        <v>1209.22</v>
      </c>
      <c r="V487" s="4">
        <f>Table1[[#This Row],[UnitCost]]*(1+WhatIf!$B$3)</f>
        <v>1269.681</v>
      </c>
      <c r="W487" s="4">
        <f t="shared" si="99"/>
        <v>13301.42</v>
      </c>
      <c r="X487" s="4">
        <f>Table1[[#This Row],[ScenarioRev]]-Table1[[#This Row],[ScenarioUnitCost]]</f>
        <v>13972.495521000001</v>
      </c>
      <c r="Y487" s="4">
        <v>1404.33</v>
      </c>
      <c r="Z487" s="4">
        <f t="shared" si="100"/>
        <v>13856.52411</v>
      </c>
      <c r="AA487" s="4">
        <f>Table1[[#This Row],[ScenarioQuanity]]*Table1[[#This Row],[UnitPrice]]*(1-Table1[[#This Row],[ScenarioDiscPct]])</f>
        <v>15242.176521000001</v>
      </c>
      <c r="AB487" s="4">
        <f t="shared" si="101"/>
        <v>555.10411000000022</v>
      </c>
      <c r="AC487" s="4">
        <f>Table1[[#This Row],[ScenarioRev]] - Table1[[#This Row],[ScenarioCostOfGoods]]</f>
        <v>1269.6810000000005</v>
      </c>
      <c r="AD487" s="6">
        <v>0.10299999999999999</v>
      </c>
      <c r="AE487" s="6">
        <f>MIN(Table1[[#This Row],[DiscountPct]], WhatIf!$B$2)</f>
        <v>0.10299999999999999</v>
      </c>
      <c r="AF487" s="6">
        <f>IF(Table1[[#This Row],[DiscountPct]]&gt;0.2, 1, 0)</f>
        <v>0</v>
      </c>
      <c r="AG487" s="6" t="str">
        <f t="shared" si="102"/>
        <v>High</v>
      </c>
      <c r="AH487" s="6">
        <f t="shared" si="103"/>
        <v>4.0060848275751328E-2</v>
      </c>
      <c r="AI487" s="5">
        <v>11</v>
      </c>
      <c r="AJ487" s="6">
        <f>Table1[[#This Row],[Quantity]]*(1+WhatIf!$B$4)</f>
        <v>12.100000000000001</v>
      </c>
    </row>
    <row r="488" spans="1:36" x14ac:dyDescent="0.3">
      <c r="A488" t="s">
        <v>391</v>
      </c>
      <c r="B488" s="3">
        <v>44998</v>
      </c>
      <c r="C488" s="3">
        <v>45020</v>
      </c>
      <c r="D488" s="3">
        <f t="shared" si="92"/>
        <v>45020</v>
      </c>
      <c r="E488" s="4">
        <f t="shared" si="91"/>
        <v>22</v>
      </c>
      <c r="F488" s="4">
        <f t="shared" si="93"/>
        <v>22</v>
      </c>
      <c r="G488" s="4">
        <f>IF(Table1[[#This Row],[CorrectedLeadTimeDays]]&lt;=7, 1, 0)</f>
        <v>0</v>
      </c>
      <c r="H488" s="4" t="str">
        <f t="shared" si="94"/>
        <v>March</v>
      </c>
      <c r="I488" s="4" t="str">
        <f t="shared" si="95"/>
        <v>Q1-2023</v>
      </c>
      <c r="J488" s="4" t="str">
        <f t="shared" si="96"/>
        <v>2023-01</v>
      </c>
      <c r="K488" s="3">
        <f t="shared" si="97"/>
        <v>44933</v>
      </c>
      <c r="L488" t="s">
        <v>646</v>
      </c>
      <c r="M488" t="s">
        <v>661</v>
      </c>
      <c r="N488" t="s">
        <v>687</v>
      </c>
      <c r="O488" t="s">
        <v>705</v>
      </c>
      <c r="P488" t="s">
        <v>707</v>
      </c>
      <c r="Q488" t="s">
        <v>720</v>
      </c>
      <c r="R488">
        <f t="shared" si="98"/>
        <v>2</v>
      </c>
      <c r="S488" t="s">
        <v>727</v>
      </c>
      <c r="T488" t="s">
        <v>1111</v>
      </c>
      <c r="U488" s="4">
        <v>1113.7</v>
      </c>
      <c r="V488" s="4">
        <f>Table1[[#This Row],[UnitCost]]*(1+WhatIf!$B$3)</f>
        <v>1169.385</v>
      </c>
      <c r="W488" s="4">
        <f t="shared" si="99"/>
        <v>12250.7</v>
      </c>
      <c r="X488" s="4">
        <f>Table1[[#This Row],[ScenarioRev]]-Table1[[#This Row],[ScenarioUnitCost]]</f>
        <v>15714.18786</v>
      </c>
      <c r="Y488" s="4">
        <v>1620.6</v>
      </c>
      <c r="Z488" s="4">
        <f t="shared" si="100"/>
        <v>15348.702599999999</v>
      </c>
      <c r="AA488" s="4">
        <f>Table1[[#This Row],[ScenarioQuanity]]*Table1[[#This Row],[UnitPrice]]*(1-Table1[[#This Row],[ScenarioDiscPct]])</f>
        <v>16883.57286</v>
      </c>
      <c r="AB488" s="4">
        <f t="shared" si="101"/>
        <v>3098.002599999998</v>
      </c>
      <c r="AC488" s="4">
        <f>Table1[[#This Row],[ScenarioRev]] - Table1[[#This Row],[ScenarioCostOfGoods]]</f>
        <v>1169.3850000000002</v>
      </c>
      <c r="AD488" s="6">
        <v>0.13900000000000001</v>
      </c>
      <c r="AE488" s="6">
        <f>MIN(Table1[[#This Row],[DiscountPct]], WhatIf!$B$2)</f>
        <v>0.13900000000000001</v>
      </c>
      <c r="AF488" s="6">
        <f>IF(Table1[[#This Row],[DiscountPct]]&gt;0.2, 1, 0)</f>
        <v>0</v>
      </c>
      <c r="AG488" s="6" t="str">
        <f t="shared" si="102"/>
        <v>High</v>
      </c>
      <c r="AH488" s="6">
        <f t="shared" si="103"/>
        <v>0.20184133348182787</v>
      </c>
      <c r="AI488" s="5">
        <v>11</v>
      </c>
      <c r="AJ488" s="6">
        <f>Table1[[#This Row],[Quantity]]*(1+WhatIf!$B$4)</f>
        <v>12.100000000000001</v>
      </c>
    </row>
    <row r="489" spans="1:36" x14ac:dyDescent="0.3">
      <c r="A489" t="s">
        <v>58</v>
      </c>
      <c r="B489" s="3">
        <v>45806</v>
      </c>
      <c r="C489" s="3">
        <v>45828</v>
      </c>
      <c r="D489" s="3">
        <f t="shared" si="92"/>
        <v>45828</v>
      </c>
      <c r="E489" s="4">
        <f t="shared" si="91"/>
        <v>22</v>
      </c>
      <c r="F489" s="4">
        <f t="shared" si="93"/>
        <v>22</v>
      </c>
      <c r="G489" s="4">
        <f>IF(Table1[[#This Row],[CorrectedLeadTimeDays]]&lt;=7, 1, 0)</f>
        <v>0</v>
      </c>
      <c r="H489" s="4" t="str">
        <f t="shared" si="94"/>
        <v>May</v>
      </c>
      <c r="I489" s="4" t="str">
        <f t="shared" si="95"/>
        <v>Q2-2025</v>
      </c>
      <c r="J489" s="4" t="str">
        <f t="shared" si="96"/>
        <v>2023-01</v>
      </c>
      <c r="K489" s="3">
        <f t="shared" si="97"/>
        <v>44948</v>
      </c>
      <c r="L489" t="s">
        <v>649</v>
      </c>
      <c r="M489" t="s">
        <v>656</v>
      </c>
      <c r="N489" t="s">
        <v>671</v>
      </c>
      <c r="O489" t="s">
        <v>701</v>
      </c>
      <c r="P489" t="s">
        <v>711</v>
      </c>
      <c r="Q489" t="s">
        <v>720</v>
      </c>
      <c r="R489">
        <f t="shared" si="98"/>
        <v>28</v>
      </c>
      <c r="S489" t="s">
        <v>728</v>
      </c>
      <c r="T489" t="s">
        <v>777</v>
      </c>
      <c r="U489" s="4">
        <v>483.47</v>
      </c>
      <c r="V489" s="4">
        <f>Table1[[#This Row],[UnitCost]]*(1+WhatIf!$B$3)</f>
        <v>507.64350000000007</v>
      </c>
      <c r="W489" s="4">
        <f t="shared" si="99"/>
        <v>5318.17</v>
      </c>
      <c r="X489" s="4">
        <f>Table1[[#This Row],[ScenarioRev]]-Table1[[#This Row],[ScenarioUnitCost]]</f>
        <v>11225.208862000003</v>
      </c>
      <c r="Y489" s="4">
        <v>1135.43</v>
      </c>
      <c r="Z489" s="4">
        <f t="shared" si="100"/>
        <v>10666.229420000001</v>
      </c>
      <c r="AA489" s="4">
        <f>Table1[[#This Row],[ScenarioQuanity]]*Table1[[#This Row],[UnitPrice]]*(1-Table1[[#This Row],[ScenarioDiscPct]])</f>
        <v>11732.852362000003</v>
      </c>
      <c r="AB489" s="4">
        <f t="shared" si="101"/>
        <v>5348.0594200000014</v>
      </c>
      <c r="AC489" s="4">
        <f>Table1[[#This Row],[ScenarioRev]] - Table1[[#This Row],[ScenarioCostOfGoods]]</f>
        <v>507.64350000000013</v>
      </c>
      <c r="AD489" s="6">
        <v>0.14599999999999999</v>
      </c>
      <c r="AE489" s="6">
        <f>MIN(Table1[[#This Row],[DiscountPct]], WhatIf!$B$2)</f>
        <v>0.14599999999999999</v>
      </c>
      <c r="AF489" s="6">
        <f>IF(Table1[[#This Row],[DiscountPct]]&gt;0.2, 1, 0)</f>
        <v>0</v>
      </c>
      <c r="AG489" s="6" t="str">
        <f t="shared" si="102"/>
        <v>High</v>
      </c>
      <c r="AH489" s="6">
        <f t="shared" si="103"/>
        <v>0.50140112399719983</v>
      </c>
      <c r="AI489" s="5">
        <v>11</v>
      </c>
      <c r="AJ489" s="6">
        <f>Table1[[#This Row],[Quantity]]*(1+WhatIf!$B$4)</f>
        <v>12.100000000000001</v>
      </c>
    </row>
    <row r="490" spans="1:36" x14ac:dyDescent="0.3">
      <c r="A490" t="s">
        <v>182</v>
      </c>
      <c r="B490" s="3">
        <v>45435</v>
      </c>
      <c r="C490" s="3">
        <v>45457</v>
      </c>
      <c r="D490" s="3">
        <f t="shared" si="92"/>
        <v>45457</v>
      </c>
      <c r="E490" s="4">
        <f t="shared" si="91"/>
        <v>22</v>
      </c>
      <c r="F490" s="4">
        <f t="shared" si="93"/>
        <v>22</v>
      </c>
      <c r="G490" s="4">
        <f>IF(Table1[[#This Row],[CorrectedLeadTimeDays]]&lt;=7, 1, 0)</f>
        <v>0</v>
      </c>
      <c r="H490" s="4" t="str">
        <f t="shared" si="94"/>
        <v>May</v>
      </c>
      <c r="I490" s="4" t="str">
        <f t="shared" si="95"/>
        <v>Q2-2024</v>
      </c>
      <c r="J490" s="4" t="str">
        <f t="shared" si="96"/>
        <v>2023-01</v>
      </c>
      <c r="K490" s="3">
        <f t="shared" si="97"/>
        <v>44936</v>
      </c>
      <c r="L490" t="s">
        <v>649</v>
      </c>
      <c r="M490" t="s">
        <v>657</v>
      </c>
      <c r="N490" t="s">
        <v>673</v>
      </c>
      <c r="O490" t="s">
        <v>705</v>
      </c>
      <c r="P490" t="s">
        <v>708</v>
      </c>
      <c r="Q490" t="s">
        <v>725</v>
      </c>
      <c r="R490">
        <f t="shared" si="98"/>
        <v>16</v>
      </c>
      <c r="S490" t="s">
        <v>732</v>
      </c>
      <c r="T490" t="s">
        <v>901</v>
      </c>
      <c r="U490" s="4">
        <v>1481.74</v>
      </c>
      <c r="V490" s="4">
        <f>Table1[[#This Row],[UnitCost]]*(1+WhatIf!$B$3)</f>
        <v>1555.827</v>
      </c>
      <c r="W490" s="4">
        <f t="shared" si="99"/>
        <v>13335.66</v>
      </c>
      <c r="X490" s="4">
        <f>Table1[[#This Row],[ScenarioRev]]-Table1[[#This Row],[ScenarioUnitCost]]</f>
        <v>13088.015400000002</v>
      </c>
      <c r="Y490" s="4">
        <v>1848.97</v>
      </c>
      <c r="Z490" s="4">
        <f t="shared" si="100"/>
        <v>12413.98458</v>
      </c>
      <c r="AA490" s="4">
        <f>Table1[[#This Row],[ScenarioQuanity]]*Table1[[#This Row],[UnitPrice]]*(1-Table1[[#This Row],[ScenarioDiscPct]])</f>
        <v>14643.842400000001</v>
      </c>
      <c r="AB490" s="4">
        <f t="shared" si="101"/>
        <v>-921.67541999999958</v>
      </c>
      <c r="AC490" s="4">
        <f>Table1[[#This Row],[ScenarioRev]] - Table1[[#This Row],[ScenarioCostOfGoods]]</f>
        <v>1555.8269999999993</v>
      </c>
      <c r="AD490" s="6">
        <v>0.254</v>
      </c>
      <c r="AE490" s="6">
        <f>MIN(Table1[[#This Row],[DiscountPct]], WhatIf!$B$2)</f>
        <v>0.2</v>
      </c>
      <c r="AF490" s="6">
        <f>IF(Table1[[#This Row],[DiscountPct]]&gt;0.2, 1, 0)</f>
        <v>1</v>
      </c>
      <c r="AG490" s="6" t="str">
        <f t="shared" si="102"/>
        <v>High</v>
      </c>
      <c r="AH490" s="6">
        <f t="shared" si="103"/>
        <v>-7.4244930309072407E-2</v>
      </c>
      <c r="AI490" s="5">
        <v>9</v>
      </c>
      <c r="AJ490" s="6">
        <f>Table1[[#This Row],[Quantity]]*(1+WhatIf!$B$4)</f>
        <v>9.9</v>
      </c>
    </row>
    <row r="491" spans="1:36" x14ac:dyDescent="0.3">
      <c r="A491" t="s">
        <v>408</v>
      </c>
      <c r="B491" s="3">
        <v>45075</v>
      </c>
      <c r="C491" s="3">
        <v>45097</v>
      </c>
      <c r="D491" s="3">
        <f t="shared" si="92"/>
        <v>45097</v>
      </c>
      <c r="E491" s="4">
        <f t="shared" si="91"/>
        <v>22</v>
      </c>
      <c r="F491" s="4">
        <f t="shared" si="93"/>
        <v>22</v>
      </c>
      <c r="G491" s="4">
        <f>IF(Table1[[#This Row],[CorrectedLeadTimeDays]]&lt;=7, 1, 0)</f>
        <v>0</v>
      </c>
      <c r="H491" s="4" t="str">
        <f t="shared" si="94"/>
        <v>May</v>
      </c>
      <c r="I491" s="4" t="str">
        <f t="shared" si="95"/>
        <v>Q2-2023</v>
      </c>
      <c r="J491" s="4" t="str">
        <f t="shared" si="96"/>
        <v>2023-01</v>
      </c>
      <c r="K491" s="3">
        <f t="shared" si="97"/>
        <v>44945</v>
      </c>
      <c r="L491" t="s">
        <v>649</v>
      </c>
      <c r="M491" t="s">
        <v>658</v>
      </c>
      <c r="N491" t="s">
        <v>683</v>
      </c>
      <c r="O491" t="s">
        <v>705</v>
      </c>
      <c r="P491" t="s">
        <v>711</v>
      </c>
      <c r="Q491" t="s">
        <v>723</v>
      </c>
      <c r="R491">
        <f t="shared" si="98"/>
        <v>4</v>
      </c>
      <c r="S491" t="s">
        <v>727</v>
      </c>
      <c r="T491" t="s">
        <v>1127</v>
      </c>
      <c r="U491" s="4">
        <v>1295.3900000000001</v>
      </c>
      <c r="V491" s="4">
        <f>Table1[[#This Row],[UnitCost]]*(1+WhatIf!$B$3)</f>
        <v>1360.1595000000002</v>
      </c>
      <c r="W491" s="4">
        <f t="shared" si="99"/>
        <v>10363.120000000001</v>
      </c>
      <c r="X491" s="4">
        <f>Table1[[#This Row],[ScenarioRev]]-Table1[[#This Row],[ScenarioUnitCost]]</f>
        <v>20420.818356</v>
      </c>
      <c r="Y491" s="4">
        <v>2905.06</v>
      </c>
      <c r="Z491" s="4">
        <f t="shared" si="100"/>
        <v>19800.88896</v>
      </c>
      <c r="AA491" s="4">
        <f>Table1[[#This Row],[ScenarioQuanity]]*Table1[[#This Row],[UnitPrice]]*(1-Table1[[#This Row],[ScenarioDiscPct]])</f>
        <v>21780.977856000001</v>
      </c>
      <c r="AB491" s="4">
        <f t="shared" si="101"/>
        <v>9437.7689599999994</v>
      </c>
      <c r="AC491" s="4">
        <f>Table1[[#This Row],[ScenarioRev]] - Table1[[#This Row],[ScenarioCostOfGoods]]</f>
        <v>1360.1595000000016</v>
      </c>
      <c r="AD491" s="6">
        <v>0.14799999999999999</v>
      </c>
      <c r="AE491" s="6">
        <f>MIN(Table1[[#This Row],[DiscountPct]], WhatIf!$B$2)</f>
        <v>0.14799999999999999</v>
      </c>
      <c r="AF491" s="6">
        <f>IF(Table1[[#This Row],[DiscountPct]]&gt;0.2, 1, 0)</f>
        <v>0</v>
      </c>
      <c r="AG491" s="6" t="str">
        <f t="shared" si="102"/>
        <v>High</v>
      </c>
      <c r="AH491" s="6">
        <f t="shared" si="103"/>
        <v>0.47663359857556614</v>
      </c>
      <c r="AI491" s="5">
        <v>8</v>
      </c>
      <c r="AJ491" s="6">
        <f>Table1[[#This Row],[Quantity]]*(1+WhatIf!$B$4)</f>
        <v>8.8000000000000007</v>
      </c>
    </row>
    <row r="492" spans="1:36" x14ac:dyDescent="0.3">
      <c r="A492" t="s">
        <v>321</v>
      </c>
      <c r="B492" s="3">
        <v>45795</v>
      </c>
      <c r="C492" s="3">
        <v>45817</v>
      </c>
      <c r="D492" s="3">
        <f t="shared" si="92"/>
        <v>45817</v>
      </c>
      <c r="E492" s="4">
        <f t="shared" si="91"/>
        <v>22</v>
      </c>
      <c r="F492" s="4">
        <f t="shared" si="93"/>
        <v>22</v>
      </c>
      <c r="G492" s="4">
        <f>IF(Table1[[#This Row],[CorrectedLeadTimeDays]]&lt;=7, 1, 0)</f>
        <v>0</v>
      </c>
      <c r="H492" s="4" t="str">
        <f t="shared" si="94"/>
        <v>May</v>
      </c>
      <c r="I492" s="4" t="str">
        <f t="shared" si="95"/>
        <v>Q2-2025</v>
      </c>
      <c r="J492" s="4" t="str">
        <f t="shared" si="96"/>
        <v>2023-01</v>
      </c>
      <c r="K492" s="3">
        <f t="shared" si="97"/>
        <v>44939</v>
      </c>
      <c r="L492" t="s">
        <v>648</v>
      </c>
      <c r="M492" t="s">
        <v>660</v>
      </c>
      <c r="N492" t="s">
        <v>700</v>
      </c>
      <c r="O492" t="s">
        <v>704</v>
      </c>
      <c r="P492" t="s">
        <v>707</v>
      </c>
      <c r="Q492" t="s">
        <v>722</v>
      </c>
      <c r="R492">
        <f t="shared" si="98"/>
        <v>28</v>
      </c>
      <c r="S492" t="s">
        <v>729</v>
      </c>
      <c r="T492" t="s">
        <v>1041</v>
      </c>
      <c r="U492" s="4">
        <v>382.96</v>
      </c>
      <c r="V492" s="4">
        <f>Table1[[#This Row],[UnitCost]]*(1+WhatIf!$B$3)</f>
        <v>402.108</v>
      </c>
      <c r="W492" s="4">
        <f t="shared" si="99"/>
        <v>3063.68</v>
      </c>
      <c r="X492" s="4">
        <f>Table1[[#This Row],[ScenarioRev]]-Table1[[#This Row],[ScenarioUnitCost]]</f>
        <v>3606.6454080000012</v>
      </c>
      <c r="Y492" s="4">
        <v>552.84</v>
      </c>
      <c r="Z492" s="4">
        <f t="shared" si="100"/>
        <v>3644.3212800000006</v>
      </c>
      <c r="AA492" s="4">
        <f>Table1[[#This Row],[ScenarioQuanity]]*Table1[[#This Row],[UnitPrice]]*(1-Table1[[#This Row],[ScenarioDiscPct]])</f>
        <v>4008.7534080000014</v>
      </c>
      <c r="AB492" s="4">
        <f t="shared" si="101"/>
        <v>580.64128000000073</v>
      </c>
      <c r="AC492" s="4">
        <f>Table1[[#This Row],[ScenarioRev]] - Table1[[#This Row],[ScenarioCostOfGoods]]</f>
        <v>402.10800000000017</v>
      </c>
      <c r="AD492" s="6">
        <v>0.17599999999999999</v>
      </c>
      <c r="AE492" s="6">
        <f>MIN(Table1[[#This Row],[DiscountPct]], WhatIf!$B$2)</f>
        <v>0.17599999999999999</v>
      </c>
      <c r="AF492" s="6">
        <f>IF(Table1[[#This Row],[DiscountPct]]&gt;0.2, 1, 0)</f>
        <v>0</v>
      </c>
      <c r="AG492" s="6" t="str">
        <f t="shared" si="102"/>
        <v>Low</v>
      </c>
      <c r="AH492" s="6">
        <f t="shared" si="103"/>
        <v>0.15932768693763483</v>
      </c>
      <c r="AI492" s="5">
        <v>8</v>
      </c>
      <c r="AJ492" s="6">
        <f>Table1[[#This Row],[Quantity]]*(1+WhatIf!$B$4)</f>
        <v>8.8000000000000007</v>
      </c>
    </row>
    <row r="493" spans="1:36" x14ac:dyDescent="0.3">
      <c r="A493" t="s">
        <v>427</v>
      </c>
      <c r="B493" s="3">
        <v>45163</v>
      </c>
      <c r="C493" s="3">
        <v>45185</v>
      </c>
      <c r="D493" s="3">
        <f t="shared" si="92"/>
        <v>45185</v>
      </c>
      <c r="E493" s="4">
        <f t="shared" si="91"/>
        <v>22</v>
      </c>
      <c r="F493" s="4">
        <f t="shared" si="93"/>
        <v>22</v>
      </c>
      <c r="G493" s="4">
        <f>IF(Table1[[#This Row],[CorrectedLeadTimeDays]]&lt;=7, 1, 0)</f>
        <v>0</v>
      </c>
      <c r="H493" s="4" t="str">
        <f t="shared" si="94"/>
        <v>August</v>
      </c>
      <c r="I493" s="4" t="str">
        <f t="shared" si="95"/>
        <v>Q3-2023</v>
      </c>
      <c r="J493" s="4" t="str">
        <f t="shared" si="96"/>
        <v>2023-01</v>
      </c>
      <c r="K493" s="3">
        <f t="shared" si="97"/>
        <v>44941</v>
      </c>
      <c r="L493" t="s">
        <v>646</v>
      </c>
      <c r="M493" t="s">
        <v>651</v>
      </c>
      <c r="N493" t="s">
        <v>669</v>
      </c>
      <c r="O493" t="s">
        <v>701</v>
      </c>
      <c r="P493" t="s">
        <v>709</v>
      </c>
      <c r="Q493" t="s">
        <v>716</v>
      </c>
      <c r="R493">
        <f t="shared" si="98"/>
        <v>7</v>
      </c>
      <c r="S493" t="s">
        <v>730</v>
      </c>
      <c r="T493" t="s">
        <v>1146</v>
      </c>
      <c r="U493" s="4">
        <v>1196.83</v>
      </c>
      <c r="V493" s="4">
        <f>Table1[[#This Row],[UnitCost]]*(1+WhatIf!$B$3)</f>
        <v>1256.6714999999999</v>
      </c>
      <c r="W493" s="4">
        <f t="shared" si="99"/>
        <v>8377.81</v>
      </c>
      <c r="X493" s="4">
        <f>Table1[[#This Row],[ScenarioRev]]-Table1[[#This Row],[ScenarioUnitCost]]</f>
        <v>16490.971259000005</v>
      </c>
      <c r="Y493" s="4">
        <v>2513.5100000000002</v>
      </c>
      <c r="Z493" s="4">
        <f t="shared" si="100"/>
        <v>16134.22069</v>
      </c>
      <c r="AA493" s="4">
        <f>Table1[[#This Row],[ScenarioQuanity]]*Table1[[#This Row],[UnitPrice]]*(1-Table1[[#This Row],[ScenarioDiscPct]])</f>
        <v>17747.642759000006</v>
      </c>
      <c r="AB493" s="4">
        <f t="shared" si="101"/>
        <v>7756.4106900000006</v>
      </c>
      <c r="AC493" s="4">
        <f>Table1[[#This Row],[ScenarioRev]] - Table1[[#This Row],[ScenarioCostOfGoods]]</f>
        <v>1256.6715000000004</v>
      </c>
      <c r="AD493" s="6">
        <v>8.3000000000000004E-2</v>
      </c>
      <c r="AE493" s="6">
        <f>MIN(Table1[[#This Row],[DiscountPct]], WhatIf!$B$2)</f>
        <v>8.3000000000000004E-2</v>
      </c>
      <c r="AF493" s="6">
        <f>IF(Table1[[#This Row],[DiscountPct]]&gt;0.2, 1, 0)</f>
        <v>0</v>
      </c>
      <c r="AG493" s="6" t="str">
        <f t="shared" si="102"/>
        <v>High</v>
      </c>
      <c r="AH493" s="6">
        <f t="shared" si="103"/>
        <v>0.48074281609445374</v>
      </c>
      <c r="AI493" s="5">
        <v>7</v>
      </c>
      <c r="AJ493" s="6">
        <f>Table1[[#This Row],[Quantity]]*(1+WhatIf!$B$4)</f>
        <v>7.7000000000000011</v>
      </c>
    </row>
    <row r="494" spans="1:36" x14ac:dyDescent="0.3">
      <c r="A494" t="s">
        <v>212</v>
      </c>
      <c r="B494" s="3">
        <v>44956</v>
      </c>
      <c r="C494" s="3">
        <v>44978</v>
      </c>
      <c r="D494" s="3">
        <f t="shared" si="92"/>
        <v>44978</v>
      </c>
      <c r="E494" s="4">
        <f t="shared" si="91"/>
        <v>22</v>
      </c>
      <c r="F494" s="4">
        <f t="shared" si="93"/>
        <v>22</v>
      </c>
      <c r="G494" s="4">
        <f>IF(Table1[[#This Row],[CorrectedLeadTimeDays]]&lt;=7, 1, 0)</f>
        <v>0</v>
      </c>
      <c r="H494" s="4" t="str">
        <f t="shared" si="94"/>
        <v>January</v>
      </c>
      <c r="I494" s="4" t="str">
        <f t="shared" si="95"/>
        <v>Q1-2023</v>
      </c>
      <c r="J494" s="4" t="str">
        <f t="shared" si="96"/>
        <v>2023-01</v>
      </c>
      <c r="K494" s="3">
        <f t="shared" si="97"/>
        <v>44948</v>
      </c>
      <c r="L494" t="s">
        <v>649</v>
      </c>
      <c r="M494" t="s">
        <v>656</v>
      </c>
      <c r="N494" t="s">
        <v>684</v>
      </c>
      <c r="O494" t="s">
        <v>705</v>
      </c>
      <c r="P494" t="s">
        <v>709</v>
      </c>
      <c r="Q494" t="s">
        <v>715</v>
      </c>
      <c r="R494">
        <f t="shared" si="98"/>
        <v>0</v>
      </c>
      <c r="S494" t="s">
        <v>729</v>
      </c>
      <c r="T494" t="s">
        <v>932</v>
      </c>
      <c r="U494" s="4">
        <v>1142.8800000000001</v>
      </c>
      <c r="V494" s="4">
        <f>Table1[[#This Row],[UnitCost]]*(1+WhatIf!$B$3)</f>
        <v>1200.0240000000001</v>
      </c>
      <c r="W494" s="4">
        <f t="shared" si="99"/>
        <v>8000.1600000000008</v>
      </c>
      <c r="X494" s="4">
        <f>Table1[[#This Row],[ScenarioRev]]-Table1[[#This Row],[ScenarioUnitCost]]</f>
        <v>7984.1206620000021</v>
      </c>
      <c r="Y494" s="4">
        <v>1465.29</v>
      </c>
      <c r="Z494" s="4">
        <f t="shared" si="100"/>
        <v>8349.2224200000001</v>
      </c>
      <c r="AA494" s="4">
        <f>Table1[[#This Row],[ScenarioQuanity]]*Table1[[#This Row],[UnitPrice]]*(1-Table1[[#This Row],[ScenarioDiscPct]])</f>
        <v>9184.1446620000024</v>
      </c>
      <c r="AB494" s="4">
        <f t="shared" si="101"/>
        <v>349.06241999999929</v>
      </c>
      <c r="AC494" s="4">
        <f>Table1[[#This Row],[ScenarioRev]] - Table1[[#This Row],[ScenarioCostOfGoods]]</f>
        <v>1200.0240000000003</v>
      </c>
      <c r="AD494" s="6">
        <v>0.186</v>
      </c>
      <c r="AE494" s="6">
        <f>MIN(Table1[[#This Row],[DiscountPct]], WhatIf!$B$2)</f>
        <v>0.186</v>
      </c>
      <c r="AF494" s="6">
        <f>IF(Table1[[#This Row],[DiscountPct]]&gt;0.2, 1, 0)</f>
        <v>0</v>
      </c>
      <c r="AG494" s="6" t="str">
        <f t="shared" si="102"/>
        <v>High</v>
      </c>
      <c r="AH494" s="6">
        <f t="shared" si="103"/>
        <v>4.1807775915017401E-2</v>
      </c>
      <c r="AI494" s="5">
        <v>7</v>
      </c>
      <c r="AJ494" s="6">
        <f>Table1[[#This Row],[Quantity]]*(1+WhatIf!$B$4)</f>
        <v>7.7000000000000011</v>
      </c>
    </row>
    <row r="495" spans="1:36" x14ac:dyDescent="0.3">
      <c r="A495" t="s">
        <v>56</v>
      </c>
      <c r="B495" s="3">
        <v>45302</v>
      </c>
      <c r="C495" s="3">
        <v>45324</v>
      </c>
      <c r="D495" s="3">
        <f t="shared" si="92"/>
        <v>45324</v>
      </c>
      <c r="E495" s="4">
        <f t="shared" si="91"/>
        <v>22</v>
      </c>
      <c r="F495" s="4">
        <f t="shared" si="93"/>
        <v>22</v>
      </c>
      <c r="G495" s="4">
        <f>IF(Table1[[#This Row],[CorrectedLeadTimeDays]]&lt;=7, 1, 0)</f>
        <v>0</v>
      </c>
      <c r="H495" s="4" t="str">
        <f t="shared" si="94"/>
        <v>January</v>
      </c>
      <c r="I495" s="4" t="str">
        <f t="shared" si="95"/>
        <v>Q1-2024</v>
      </c>
      <c r="J495" s="4" t="str">
        <f t="shared" si="96"/>
        <v>2023-01</v>
      </c>
      <c r="K495" s="3">
        <f t="shared" si="97"/>
        <v>44933</v>
      </c>
      <c r="L495" t="s">
        <v>646</v>
      </c>
      <c r="M495" t="s">
        <v>661</v>
      </c>
      <c r="N495" t="s">
        <v>687</v>
      </c>
      <c r="O495" t="s">
        <v>704</v>
      </c>
      <c r="P495" t="s">
        <v>708</v>
      </c>
      <c r="Q495" t="s">
        <v>723</v>
      </c>
      <c r="R495">
        <f t="shared" si="98"/>
        <v>12</v>
      </c>
      <c r="S495" t="s">
        <v>729</v>
      </c>
      <c r="T495" t="s">
        <v>775</v>
      </c>
      <c r="U495" s="4">
        <v>1206.2</v>
      </c>
      <c r="V495" s="4">
        <f>Table1[[#This Row],[UnitCost]]*(1+WhatIf!$B$3)</f>
        <v>1266.51</v>
      </c>
      <c r="W495" s="4">
        <f t="shared" si="99"/>
        <v>7237.2000000000007</v>
      </c>
      <c r="X495" s="4">
        <f>Table1[[#This Row],[ScenarioRev]]-Table1[[#This Row],[ScenarioUnitCost]]</f>
        <v>10348.104000000001</v>
      </c>
      <c r="Y495" s="4">
        <v>1759.79</v>
      </c>
      <c r="Z495" s="4">
        <f t="shared" si="100"/>
        <v>10558.74</v>
      </c>
      <c r="AA495" s="4">
        <f>Table1[[#This Row],[ScenarioQuanity]]*Table1[[#This Row],[UnitPrice]]*(1-Table1[[#This Row],[ScenarioDiscPct]])</f>
        <v>11614.614000000001</v>
      </c>
      <c r="AB495" s="4">
        <f t="shared" si="101"/>
        <v>3321.5399999999991</v>
      </c>
      <c r="AC495" s="4">
        <f>Table1[[#This Row],[ScenarioRev]] - Table1[[#This Row],[ScenarioCostOfGoods]]</f>
        <v>1266.5100000000002</v>
      </c>
      <c r="AD495" s="6">
        <v>0</v>
      </c>
      <c r="AE495" s="6">
        <f>MIN(Table1[[#This Row],[DiscountPct]], WhatIf!$B$2)</f>
        <v>0</v>
      </c>
      <c r="AF495" s="6">
        <f>IF(Table1[[#This Row],[DiscountPct]]&gt;0.2, 1, 0)</f>
        <v>0</v>
      </c>
      <c r="AG495" s="6" t="str">
        <f t="shared" si="102"/>
        <v>High</v>
      </c>
      <c r="AH495" s="6">
        <f t="shared" si="103"/>
        <v>0.31457730751964713</v>
      </c>
      <c r="AI495" s="5">
        <v>6</v>
      </c>
      <c r="AJ495" s="6">
        <f>Table1[[#This Row],[Quantity]]*(1+WhatIf!$B$4)</f>
        <v>6.6000000000000005</v>
      </c>
    </row>
    <row r="496" spans="1:36" x14ac:dyDescent="0.3">
      <c r="A496" t="s">
        <v>226</v>
      </c>
      <c r="B496" s="3">
        <v>45544</v>
      </c>
      <c r="C496" s="3">
        <v>45566</v>
      </c>
      <c r="D496" s="3">
        <f t="shared" si="92"/>
        <v>45566</v>
      </c>
      <c r="E496" s="4">
        <f t="shared" si="91"/>
        <v>22</v>
      </c>
      <c r="F496" s="4">
        <f t="shared" si="93"/>
        <v>22</v>
      </c>
      <c r="G496" s="4">
        <f>IF(Table1[[#This Row],[CorrectedLeadTimeDays]]&lt;=7, 1, 0)</f>
        <v>0</v>
      </c>
      <c r="H496" s="4" t="str">
        <f t="shared" si="94"/>
        <v>September</v>
      </c>
      <c r="I496" s="4" t="str">
        <f t="shared" si="95"/>
        <v>Q3-2024</v>
      </c>
      <c r="J496" s="4" t="str">
        <f t="shared" si="96"/>
        <v>2023-01</v>
      </c>
      <c r="K496" s="3">
        <f t="shared" si="97"/>
        <v>44938</v>
      </c>
      <c r="L496" t="s">
        <v>647</v>
      </c>
      <c r="M496" t="s">
        <v>659</v>
      </c>
      <c r="N496" t="s">
        <v>676</v>
      </c>
      <c r="O496" t="s">
        <v>704</v>
      </c>
      <c r="P496" t="s">
        <v>711</v>
      </c>
      <c r="Q496" t="s">
        <v>716</v>
      </c>
      <c r="R496">
        <f t="shared" si="98"/>
        <v>19</v>
      </c>
      <c r="S496" t="s">
        <v>728</v>
      </c>
      <c r="T496" t="s">
        <v>946</v>
      </c>
      <c r="U496" s="4">
        <v>1166.18</v>
      </c>
      <c r="V496" s="4">
        <f>Table1[[#This Row],[UnitCost]]*(1+WhatIf!$B$3)</f>
        <v>1224.489</v>
      </c>
      <c r="W496" s="4">
        <f t="shared" si="99"/>
        <v>6997.08</v>
      </c>
      <c r="X496" s="4">
        <f>Table1[[#This Row],[ScenarioRev]]-Table1[[#This Row],[ScenarioUnitCost]]</f>
        <v>6458.8181040000018</v>
      </c>
      <c r="Y496" s="4">
        <v>1335.02</v>
      </c>
      <c r="Z496" s="4">
        <f t="shared" si="100"/>
        <v>6984.8246399999998</v>
      </c>
      <c r="AA496" s="4">
        <f>Table1[[#This Row],[ScenarioQuanity]]*Table1[[#This Row],[UnitPrice]]*(1-Table1[[#This Row],[ScenarioDiscPct]])</f>
        <v>7683.3071040000013</v>
      </c>
      <c r="AB496" s="4">
        <f t="shared" si="101"/>
        <v>-12.25536000000011</v>
      </c>
      <c r="AC496" s="4">
        <f>Table1[[#This Row],[ScenarioRev]] - Table1[[#This Row],[ScenarioCostOfGoods]]</f>
        <v>1224.4889999999996</v>
      </c>
      <c r="AD496" s="6">
        <v>0.128</v>
      </c>
      <c r="AE496" s="6">
        <f>MIN(Table1[[#This Row],[DiscountPct]], WhatIf!$B$2)</f>
        <v>0.128</v>
      </c>
      <c r="AF496" s="6">
        <f>IF(Table1[[#This Row],[DiscountPct]]&gt;0.2, 1, 0)</f>
        <v>0</v>
      </c>
      <c r="AG496" s="6" t="str">
        <f t="shared" si="102"/>
        <v>High</v>
      </c>
      <c r="AH496" s="6">
        <f t="shared" si="103"/>
        <v>-1.7545694604582242E-3</v>
      </c>
      <c r="AI496" s="5">
        <v>6</v>
      </c>
      <c r="AJ496" s="6">
        <f>Table1[[#This Row],[Quantity]]*(1+WhatIf!$B$4)</f>
        <v>6.6000000000000005</v>
      </c>
    </row>
    <row r="497" spans="1:36" x14ac:dyDescent="0.3">
      <c r="A497" t="s">
        <v>487</v>
      </c>
      <c r="B497" s="3">
        <v>45328</v>
      </c>
      <c r="C497" s="3">
        <v>45350</v>
      </c>
      <c r="D497" s="3">
        <f t="shared" si="92"/>
        <v>45350</v>
      </c>
      <c r="E497" s="4">
        <f t="shared" si="91"/>
        <v>22</v>
      </c>
      <c r="F497" s="4">
        <f t="shared" si="93"/>
        <v>22</v>
      </c>
      <c r="G497" s="4">
        <f>IF(Table1[[#This Row],[CorrectedLeadTimeDays]]&lt;=7, 1, 0)</f>
        <v>0</v>
      </c>
      <c r="H497" s="4" t="str">
        <f t="shared" si="94"/>
        <v>February</v>
      </c>
      <c r="I497" s="4" t="str">
        <f t="shared" si="95"/>
        <v>Q1-2024</v>
      </c>
      <c r="J497" s="4" t="str">
        <f t="shared" si="96"/>
        <v>2023-01</v>
      </c>
      <c r="K497" s="3">
        <f t="shared" si="97"/>
        <v>44946</v>
      </c>
      <c r="L497" t="s">
        <v>646</v>
      </c>
      <c r="M497" t="s">
        <v>650</v>
      </c>
      <c r="N497" t="s">
        <v>662</v>
      </c>
      <c r="O497" t="s">
        <v>703</v>
      </c>
      <c r="P497" t="s">
        <v>708</v>
      </c>
      <c r="Q497" t="s">
        <v>723</v>
      </c>
      <c r="R497">
        <f t="shared" si="98"/>
        <v>12</v>
      </c>
      <c r="S497" t="s">
        <v>732</v>
      </c>
      <c r="T497" t="s">
        <v>1206</v>
      </c>
      <c r="U497" s="4">
        <v>834.93</v>
      </c>
      <c r="V497" s="4">
        <f>Table1[[#This Row],[UnitCost]]*(1+WhatIf!$B$3)</f>
        <v>876.67650000000003</v>
      </c>
      <c r="W497" s="4">
        <f t="shared" si="99"/>
        <v>5009.58</v>
      </c>
      <c r="X497" s="4">
        <f>Table1[[#This Row],[ScenarioRev]]-Table1[[#This Row],[ScenarioUnitCost]]</f>
        <v>8286.5999520000005</v>
      </c>
      <c r="Y497" s="4">
        <v>1588.53</v>
      </c>
      <c r="Z497" s="4">
        <f t="shared" si="100"/>
        <v>8330.2513199999994</v>
      </c>
      <c r="AA497" s="4">
        <f>Table1[[#This Row],[ScenarioQuanity]]*Table1[[#This Row],[UnitPrice]]*(1-Table1[[#This Row],[ScenarioDiscPct]])</f>
        <v>9163.2764520000001</v>
      </c>
      <c r="AB497" s="4">
        <f t="shared" si="101"/>
        <v>3320.6713199999995</v>
      </c>
      <c r="AC497" s="4">
        <f>Table1[[#This Row],[ScenarioRev]] - Table1[[#This Row],[ScenarioCostOfGoods]]</f>
        <v>876.67649999999958</v>
      </c>
      <c r="AD497" s="6">
        <v>0.126</v>
      </c>
      <c r="AE497" s="6">
        <f>MIN(Table1[[#This Row],[DiscountPct]], WhatIf!$B$2)</f>
        <v>0.126</v>
      </c>
      <c r="AF497" s="6">
        <f>IF(Table1[[#This Row],[DiscountPct]]&gt;0.2, 1, 0)</f>
        <v>0</v>
      </c>
      <c r="AG497" s="6" t="str">
        <f t="shared" si="102"/>
        <v>High</v>
      </c>
      <c r="AH497" s="6">
        <f t="shared" si="103"/>
        <v>0.39862798761274343</v>
      </c>
      <c r="AI497" s="5">
        <v>6</v>
      </c>
      <c r="AJ497" s="6">
        <f>Table1[[#This Row],[Quantity]]*(1+WhatIf!$B$4)</f>
        <v>6.6000000000000005</v>
      </c>
    </row>
    <row r="498" spans="1:36" x14ac:dyDescent="0.3">
      <c r="A498" t="s">
        <v>333</v>
      </c>
      <c r="B498" s="3">
        <v>45008</v>
      </c>
      <c r="C498" s="3">
        <v>45031</v>
      </c>
      <c r="D498" s="3">
        <f t="shared" si="92"/>
        <v>45031</v>
      </c>
      <c r="E498" s="4">
        <f t="shared" si="91"/>
        <v>23</v>
      </c>
      <c r="F498" s="4">
        <f t="shared" si="93"/>
        <v>23</v>
      </c>
      <c r="G498" s="4">
        <f>IF(Table1[[#This Row],[CorrectedLeadTimeDays]]&lt;=7, 1, 0)</f>
        <v>0</v>
      </c>
      <c r="H498" s="4" t="str">
        <f t="shared" si="94"/>
        <v>March</v>
      </c>
      <c r="I498" s="4" t="str">
        <f t="shared" si="95"/>
        <v>Q1-2023</v>
      </c>
      <c r="J498" s="4" t="str">
        <f t="shared" si="96"/>
        <v>2023-01</v>
      </c>
      <c r="K498" s="3">
        <f t="shared" si="97"/>
        <v>44946</v>
      </c>
      <c r="L498" t="s">
        <v>646</v>
      </c>
      <c r="M498" t="s">
        <v>650</v>
      </c>
      <c r="N498" t="s">
        <v>675</v>
      </c>
      <c r="O498" t="s">
        <v>705</v>
      </c>
      <c r="P498" t="s">
        <v>707</v>
      </c>
      <c r="Q498" t="s">
        <v>712</v>
      </c>
      <c r="R498">
        <f t="shared" si="98"/>
        <v>2</v>
      </c>
      <c r="S498" t="s">
        <v>733</v>
      </c>
      <c r="T498" t="s">
        <v>1053</v>
      </c>
      <c r="U498" s="4">
        <v>875.36</v>
      </c>
      <c r="V498" s="4">
        <f>Table1[[#This Row],[UnitCost]]*(1+WhatIf!$B$3)</f>
        <v>919.12800000000004</v>
      </c>
      <c r="W498" s="4">
        <f t="shared" si="99"/>
        <v>46394.080000000002</v>
      </c>
      <c r="X498" s="4">
        <f>Table1[[#This Row],[ScenarioRev]]-Table1[[#This Row],[ScenarioUnitCost]]</f>
        <v>57418.672554000004</v>
      </c>
      <c r="Y498" s="4">
        <v>1178.6199999999999</v>
      </c>
      <c r="Z498" s="4">
        <f t="shared" si="100"/>
        <v>53034.364139999991</v>
      </c>
      <c r="AA498" s="4">
        <f>Table1[[#This Row],[ScenarioQuanity]]*Table1[[#This Row],[UnitPrice]]*(1-Table1[[#This Row],[ScenarioDiscPct]])</f>
        <v>58337.800554000001</v>
      </c>
      <c r="AB498" s="4">
        <f t="shared" si="101"/>
        <v>6640.2841399999888</v>
      </c>
      <c r="AC498" s="4">
        <f>Table1[[#This Row],[ScenarioRev]] - Table1[[#This Row],[ScenarioCostOfGoods]]</f>
        <v>919.12799999999697</v>
      </c>
      <c r="AD498" s="6">
        <v>0.151</v>
      </c>
      <c r="AE498" s="6">
        <f>MIN(Table1[[#This Row],[DiscountPct]], WhatIf!$B$2)</f>
        <v>0.151</v>
      </c>
      <c r="AF498" s="6">
        <f>IF(Table1[[#This Row],[DiscountPct]]&gt;0.2, 1, 0)</f>
        <v>0</v>
      </c>
      <c r="AG498" s="6" t="str">
        <f t="shared" si="102"/>
        <v>High</v>
      </c>
      <c r="AH498" s="6">
        <f t="shared" si="103"/>
        <v>0.12520719815685888</v>
      </c>
      <c r="AI498" s="5">
        <v>53</v>
      </c>
      <c r="AJ498" s="6">
        <f>Table1[[#This Row],[Quantity]]*(1+WhatIf!$B$4)</f>
        <v>58.300000000000004</v>
      </c>
    </row>
    <row r="499" spans="1:36" x14ac:dyDescent="0.3">
      <c r="A499" t="s">
        <v>479</v>
      </c>
      <c r="B499" s="3">
        <v>45618</v>
      </c>
      <c r="C499" s="3">
        <v>45641</v>
      </c>
      <c r="D499" s="3">
        <f t="shared" si="92"/>
        <v>45641</v>
      </c>
      <c r="E499" s="4">
        <f t="shared" si="91"/>
        <v>23</v>
      </c>
      <c r="F499" s="4">
        <f t="shared" si="93"/>
        <v>23</v>
      </c>
      <c r="G499" s="4">
        <f>IF(Table1[[#This Row],[CorrectedLeadTimeDays]]&lt;=7, 1, 0)</f>
        <v>0</v>
      </c>
      <c r="H499" s="4" t="str">
        <f t="shared" si="94"/>
        <v>November</v>
      </c>
      <c r="I499" s="4" t="str">
        <f t="shared" si="95"/>
        <v>Q4-2024</v>
      </c>
      <c r="J499" s="4" t="str">
        <f t="shared" si="96"/>
        <v>2023-01</v>
      </c>
      <c r="K499" s="3">
        <f t="shared" si="97"/>
        <v>44946</v>
      </c>
      <c r="L499" t="s">
        <v>646</v>
      </c>
      <c r="M499" t="s">
        <v>650</v>
      </c>
      <c r="N499" t="s">
        <v>675</v>
      </c>
      <c r="O499" t="s">
        <v>703</v>
      </c>
      <c r="P499" t="s">
        <v>710</v>
      </c>
      <c r="Q499" t="s">
        <v>712</v>
      </c>
      <c r="R499">
        <f t="shared" si="98"/>
        <v>22</v>
      </c>
      <c r="S499" t="s">
        <v>727</v>
      </c>
      <c r="T499" t="s">
        <v>1198</v>
      </c>
      <c r="U499" s="4">
        <v>1335.76</v>
      </c>
      <c r="V499" s="4">
        <f>Table1[[#This Row],[UnitCost]]*(1+WhatIf!$B$3)</f>
        <v>1402.548</v>
      </c>
      <c r="W499" s="4">
        <f t="shared" si="99"/>
        <v>53430.400000000001</v>
      </c>
      <c r="X499" s="4">
        <f>Table1[[#This Row],[ScenarioRev]]-Table1[[#This Row],[ScenarioUnitCost]]</f>
        <v>92437.484000000011</v>
      </c>
      <c r="Y499" s="4">
        <v>2665.91</v>
      </c>
      <c r="Z499" s="4">
        <f t="shared" si="100"/>
        <v>84136.119600000005</v>
      </c>
      <c r="AA499" s="4">
        <f>Table1[[#This Row],[ScenarioQuanity]]*Table1[[#This Row],[UnitPrice]]*(1-Table1[[#This Row],[ScenarioDiscPct]])</f>
        <v>93840.032000000007</v>
      </c>
      <c r="AB499" s="4">
        <f t="shared" si="101"/>
        <v>30705.719600000004</v>
      </c>
      <c r="AC499" s="4">
        <f>Table1[[#This Row],[ScenarioRev]] - Table1[[#This Row],[ScenarioCostOfGoods]]</f>
        <v>1402.5479999999952</v>
      </c>
      <c r="AD499" s="6">
        <v>0.21099999999999999</v>
      </c>
      <c r="AE499" s="6">
        <f>MIN(Table1[[#This Row],[DiscountPct]], WhatIf!$B$2)</f>
        <v>0.2</v>
      </c>
      <c r="AF499" s="6">
        <f>IF(Table1[[#This Row],[DiscountPct]]&gt;0.2, 1, 0)</f>
        <v>1</v>
      </c>
      <c r="AG499" s="6" t="str">
        <f t="shared" si="102"/>
        <v>High</v>
      </c>
      <c r="AH499" s="6">
        <f t="shared" si="103"/>
        <v>0.36495288522909253</v>
      </c>
      <c r="AI499" s="5">
        <v>40</v>
      </c>
      <c r="AJ499" s="6">
        <f>Table1[[#This Row],[Quantity]]*(1+WhatIf!$B$4)</f>
        <v>44</v>
      </c>
    </row>
    <row r="500" spans="1:36" x14ac:dyDescent="0.3">
      <c r="A500" t="s">
        <v>118</v>
      </c>
      <c r="B500" s="3">
        <v>45631</v>
      </c>
      <c r="C500" s="3">
        <v>45654</v>
      </c>
      <c r="D500" s="3">
        <f t="shared" si="92"/>
        <v>45654</v>
      </c>
      <c r="E500" s="4">
        <f t="shared" si="91"/>
        <v>23</v>
      </c>
      <c r="F500" s="4">
        <f t="shared" si="93"/>
        <v>23</v>
      </c>
      <c r="G500" s="4">
        <f>IF(Table1[[#This Row],[CorrectedLeadTimeDays]]&lt;=7, 1, 0)</f>
        <v>0</v>
      </c>
      <c r="H500" s="4" t="str">
        <f t="shared" si="94"/>
        <v>December</v>
      </c>
      <c r="I500" s="4" t="str">
        <f t="shared" si="95"/>
        <v>Q4-2024</v>
      </c>
      <c r="J500" s="4" t="str">
        <f t="shared" si="96"/>
        <v>2023-01</v>
      </c>
      <c r="K500" s="3">
        <f t="shared" si="97"/>
        <v>44928</v>
      </c>
      <c r="L500" t="s">
        <v>648</v>
      </c>
      <c r="M500" t="s">
        <v>653</v>
      </c>
      <c r="N500" t="s">
        <v>688</v>
      </c>
      <c r="O500" t="s">
        <v>701</v>
      </c>
      <c r="P500" t="s">
        <v>711</v>
      </c>
      <c r="Q500" t="s">
        <v>721</v>
      </c>
      <c r="R500">
        <f t="shared" si="98"/>
        <v>23</v>
      </c>
      <c r="S500" t="s">
        <v>733</v>
      </c>
      <c r="T500" t="s">
        <v>837</v>
      </c>
      <c r="U500" s="4">
        <v>107.03</v>
      </c>
      <c r="V500" s="4">
        <f>Table1[[#This Row],[UnitCost]]*(1+WhatIf!$B$3)</f>
        <v>112.3815</v>
      </c>
      <c r="W500" s="4">
        <f t="shared" si="99"/>
        <v>3210.9</v>
      </c>
      <c r="X500" s="4">
        <f>Table1[[#This Row],[ScenarioRev]]-Table1[[#This Row],[ScenarioUnitCost]]</f>
        <v>6443.9858999999997</v>
      </c>
      <c r="Y500" s="4">
        <v>242.29</v>
      </c>
      <c r="Z500" s="4">
        <f t="shared" si="100"/>
        <v>5960.3340000000007</v>
      </c>
      <c r="AA500" s="4">
        <f>Table1[[#This Row],[ScenarioQuanity]]*Table1[[#This Row],[UnitPrice]]*(1-Table1[[#This Row],[ScenarioDiscPct]])</f>
        <v>6556.3674000000001</v>
      </c>
      <c r="AB500" s="4">
        <f t="shared" si="101"/>
        <v>2749.4340000000007</v>
      </c>
      <c r="AC500" s="4">
        <f>Table1[[#This Row],[ScenarioRev]] - Table1[[#This Row],[ScenarioCostOfGoods]]</f>
        <v>112.38150000000041</v>
      </c>
      <c r="AD500" s="6">
        <v>0.18</v>
      </c>
      <c r="AE500" s="6">
        <f>MIN(Table1[[#This Row],[DiscountPct]], WhatIf!$B$2)</f>
        <v>0.18</v>
      </c>
      <c r="AF500" s="6">
        <f>IF(Table1[[#This Row],[DiscountPct]]&gt;0.2, 1, 0)</f>
        <v>0</v>
      </c>
      <c r="AG500" s="6" t="str">
        <f t="shared" si="102"/>
        <v>Low</v>
      </c>
      <c r="AH500" s="6">
        <f t="shared" si="103"/>
        <v>0.46128857879440988</v>
      </c>
      <c r="AI500" s="5">
        <v>30</v>
      </c>
      <c r="AJ500" s="6">
        <f>Table1[[#This Row],[Quantity]]*(1+WhatIf!$B$4)</f>
        <v>33</v>
      </c>
    </row>
    <row r="501" spans="1:36" x14ac:dyDescent="0.3">
      <c r="A501" t="s">
        <v>55</v>
      </c>
      <c r="B501" s="3">
        <v>45531</v>
      </c>
      <c r="C501" s="3">
        <v>45554</v>
      </c>
      <c r="D501" s="3">
        <f t="shared" si="92"/>
        <v>45554</v>
      </c>
      <c r="E501" s="4">
        <f t="shared" si="91"/>
        <v>23</v>
      </c>
      <c r="F501" s="4">
        <f t="shared" si="93"/>
        <v>23</v>
      </c>
      <c r="G501" s="4">
        <f>IF(Table1[[#This Row],[CorrectedLeadTimeDays]]&lt;=7, 1, 0)</f>
        <v>0</v>
      </c>
      <c r="H501" s="4" t="str">
        <f t="shared" si="94"/>
        <v>August</v>
      </c>
      <c r="I501" s="4" t="str">
        <f t="shared" si="95"/>
        <v>Q3-2024</v>
      </c>
      <c r="J501" s="4" t="str">
        <f t="shared" si="96"/>
        <v>2023-01</v>
      </c>
      <c r="K501" s="3">
        <f t="shared" si="97"/>
        <v>44948</v>
      </c>
      <c r="L501" t="s">
        <v>649</v>
      </c>
      <c r="M501" t="s">
        <v>656</v>
      </c>
      <c r="N501" t="s">
        <v>671</v>
      </c>
      <c r="O501" t="s">
        <v>705</v>
      </c>
      <c r="P501" t="s">
        <v>711</v>
      </c>
      <c r="Q501" t="s">
        <v>726</v>
      </c>
      <c r="R501">
        <f t="shared" si="98"/>
        <v>19</v>
      </c>
      <c r="S501" t="s">
        <v>732</v>
      </c>
      <c r="T501" t="s">
        <v>774</v>
      </c>
      <c r="U501" s="4">
        <v>1024.01</v>
      </c>
      <c r="V501" s="4">
        <f>Table1[[#This Row],[UnitCost]]*(1+WhatIf!$B$3)</f>
        <v>1075.2105000000001</v>
      </c>
      <c r="W501" s="4">
        <f t="shared" si="99"/>
        <v>27648.27</v>
      </c>
      <c r="X501" s="4">
        <f>Table1[[#This Row],[ScenarioRev]]-Table1[[#This Row],[ScenarioUnitCost]]</f>
        <v>44142.270567000007</v>
      </c>
      <c r="Y501" s="4">
        <v>1580.97</v>
      </c>
      <c r="Z501" s="4">
        <f t="shared" si="100"/>
        <v>41106.800970000004</v>
      </c>
      <c r="AA501" s="4">
        <f>Table1[[#This Row],[ScenarioQuanity]]*Table1[[#This Row],[UnitPrice]]*(1-Table1[[#This Row],[ScenarioDiscPct]])</f>
        <v>45217.481067000008</v>
      </c>
      <c r="AB501" s="4">
        <f t="shared" si="101"/>
        <v>13458.530970000003</v>
      </c>
      <c r="AC501" s="4">
        <f>Table1[[#This Row],[ScenarioRev]] - Table1[[#This Row],[ScenarioCostOfGoods]]</f>
        <v>1075.210500000001</v>
      </c>
      <c r="AD501" s="6">
        <v>3.6999999999999998E-2</v>
      </c>
      <c r="AE501" s="6">
        <f>MIN(Table1[[#This Row],[DiscountPct]], WhatIf!$B$2)</f>
        <v>3.6999999999999998E-2</v>
      </c>
      <c r="AF501" s="6">
        <f>IF(Table1[[#This Row],[DiscountPct]]&gt;0.2, 1, 0)</f>
        <v>0</v>
      </c>
      <c r="AG501" s="6" t="str">
        <f t="shared" si="102"/>
        <v>High</v>
      </c>
      <c r="AH501" s="6">
        <f t="shared" si="103"/>
        <v>0.3274039976942531</v>
      </c>
      <c r="AI501" s="5">
        <v>27</v>
      </c>
      <c r="AJ501" s="6">
        <f>Table1[[#This Row],[Quantity]]*(1+WhatIf!$B$4)</f>
        <v>29.700000000000003</v>
      </c>
    </row>
    <row r="502" spans="1:36" x14ac:dyDescent="0.3">
      <c r="A502" t="s">
        <v>216</v>
      </c>
      <c r="B502" s="3">
        <v>45153</v>
      </c>
      <c r="C502" s="3">
        <v>45176</v>
      </c>
      <c r="D502" s="3">
        <f t="shared" si="92"/>
        <v>45176</v>
      </c>
      <c r="E502" s="4">
        <f t="shared" si="91"/>
        <v>23</v>
      </c>
      <c r="F502" s="4">
        <f t="shared" si="93"/>
        <v>23</v>
      </c>
      <c r="G502" s="4">
        <f>IF(Table1[[#This Row],[CorrectedLeadTimeDays]]&lt;=7, 1, 0)</f>
        <v>0</v>
      </c>
      <c r="H502" s="4" t="str">
        <f t="shared" si="94"/>
        <v>August</v>
      </c>
      <c r="I502" s="4" t="str">
        <f t="shared" si="95"/>
        <v>Q3-2023</v>
      </c>
      <c r="J502" s="4" t="str">
        <f t="shared" si="96"/>
        <v>2023-01</v>
      </c>
      <c r="K502" s="3">
        <f t="shared" si="97"/>
        <v>44939</v>
      </c>
      <c r="L502" t="s">
        <v>648</v>
      </c>
      <c r="M502" t="s">
        <v>660</v>
      </c>
      <c r="N502" t="s">
        <v>700</v>
      </c>
      <c r="O502" t="s">
        <v>706</v>
      </c>
      <c r="P502" t="s">
        <v>708</v>
      </c>
      <c r="Q502" t="s">
        <v>723</v>
      </c>
      <c r="R502">
        <f t="shared" si="98"/>
        <v>7</v>
      </c>
      <c r="S502" t="s">
        <v>730</v>
      </c>
      <c r="T502" t="s">
        <v>936</v>
      </c>
      <c r="U502" s="4">
        <v>590.33000000000004</v>
      </c>
      <c r="V502" s="4">
        <f>Table1[[#This Row],[UnitCost]]*(1+WhatIf!$B$3)</f>
        <v>619.84650000000011</v>
      </c>
      <c r="W502" s="4">
        <f t="shared" si="99"/>
        <v>15348.580000000002</v>
      </c>
      <c r="X502" s="4">
        <f>Table1[[#This Row],[ScenarioRev]]-Table1[[#This Row],[ScenarioUnitCost]]</f>
        <v>27209.0975</v>
      </c>
      <c r="Y502" s="4">
        <v>973.04</v>
      </c>
      <c r="Z502" s="4">
        <f t="shared" si="100"/>
        <v>25299.040000000001</v>
      </c>
      <c r="AA502" s="4">
        <f>Table1[[#This Row],[ScenarioQuanity]]*Table1[[#This Row],[UnitPrice]]*(1-Table1[[#This Row],[ScenarioDiscPct]])</f>
        <v>27828.944</v>
      </c>
      <c r="AB502" s="4">
        <f t="shared" si="101"/>
        <v>9950.4599999999991</v>
      </c>
      <c r="AC502" s="4">
        <f>Table1[[#This Row],[ScenarioRev]] - Table1[[#This Row],[ScenarioCostOfGoods]]</f>
        <v>619.84649999999965</v>
      </c>
      <c r="AD502" s="6">
        <v>0</v>
      </c>
      <c r="AE502" s="6">
        <f>MIN(Table1[[#This Row],[DiscountPct]], WhatIf!$B$2)</f>
        <v>0</v>
      </c>
      <c r="AF502" s="6">
        <f>IF(Table1[[#This Row],[DiscountPct]]&gt;0.2, 1, 0)</f>
        <v>0</v>
      </c>
      <c r="AG502" s="6" t="str">
        <f t="shared" si="102"/>
        <v>High</v>
      </c>
      <c r="AH502" s="6">
        <f t="shared" si="103"/>
        <v>0.39331373838691108</v>
      </c>
      <c r="AI502" s="5">
        <v>26</v>
      </c>
      <c r="AJ502" s="6">
        <f>Table1[[#This Row],[Quantity]]*(1+WhatIf!$B$4)</f>
        <v>28.6</v>
      </c>
    </row>
    <row r="503" spans="1:36" x14ac:dyDescent="0.3">
      <c r="A503" t="s">
        <v>135</v>
      </c>
      <c r="B503" s="3">
        <v>45827</v>
      </c>
      <c r="C503" s="3">
        <v>45850</v>
      </c>
      <c r="D503" s="3">
        <f t="shared" si="92"/>
        <v>45850</v>
      </c>
      <c r="E503" s="4">
        <f t="shared" si="91"/>
        <v>23</v>
      </c>
      <c r="F503" s="4">
        <f t="shared" si="93"/>
        <v>23</v>
      </c>
      <c r="G503" s="4">
        <f>IF(Table1[[#This Row],[CorrectedLeadTimeDays]]&lt;=7, 1, 0)</f>
        <v>0</v>
      </c>
      <c r="H503" s="4" t="str">
        <f t="shared" si="94"/>
        <v>June</v>
      </c>
      <c r="I503" s="4" t="str">
        <f t="shared" si="95"/>
        <v>Q2-2025</v>
      </c>
      <c r="J503" s="4" t="str">
        <f t="shared" si="96"/>
        <v>2023-01</v>
      </c>
      <c r="K503" s="3">
        <f t="shared" si="97"/>
        <v>44945</v>
      </c>
      <c r="L503" t="s">
        <v>649</v>
      </c>
      <c r="M503" t="s">
        <v>658</v>
      </c>
      <c r="O503" t="s">
        <v>703</v>
      </c>
      <c r="P503" t="s">
        <v>711</v>
      </c>
      <c r="R503">
        <f t="shared" si="98"/>
        <v>29</v>
      </c>
      <c r="S503" t="s">
        <v>729</v>
      </c>
      <c r="T503" t="s">
        <v>854</v>
      </c>
      <c r="U503" s="4">
        <v>801.24</v>
      </c>
      <c r="V503" s="4">
        <f>Table1[[#This Row],[UnitCost]]*(1+WhatIf!$B$3)</f>
        <v>841.30200000000002</v>
      </c>
      <c r="W503" s="4">
        <f t="shared" si="99"/>
        <v>18428.52</v>
      </c>
      <c r="X503" s="4">
        <f>Table1[[#This Row],[ScenarioRev]]-Table1[[#This Row],[ScenarioUnitCost]]</f>
        <v>42627.182828999998</v>
      </c>
      <c r="Y503" s="4">
        <v>1959.09</v>
      </c>
      <c r="Z503" s="4">
        <f t="shared" si="100"/>
        <v>39516.804389999998</v>
      </c>
      <c r="AA503" s="4">
        <f>Table1[[#This Row],[ScenarioQuanity]]*Table1[[#This Row],[UnitPrice]]*(1-Table1[[#This Row],[ScenarioDiscPct]])</f>
        <v>43468.484829000001</v>
      </c>
      <c r="AB503" s="4">
        <f t="shared" si="101"/>
        <v>21088.284389999997</v>
      </c>
      <c r="AC503" s="4">
        <f>Table1[[#This Row],[ScenarioRev]] - Table1[[#This Row],[ScenarioCostOfGoods]]</f>
        <v>841.30200000000332</v>
      </c>
      <c r="AD503" s="6">
        <v>0.123</v>
      </c>
      <c r="AE503" s="6">
        <f>MIN(Table1[[#This Row],[DiscountPct]], WhatIf!$B$2)</f>
        <v>0.123</v>
      </c>
      <c r="AF503" s="6">
        <f>IF(Table1[[#This Row],[DiscountPct]]&gt;0.2, 1, 0)</f>
        <v>0</v>
      </c>
      <c r="AG503" s="6" t="str">
        <f t="shared" si="102"/>
        <v>High</v>
      </c>
      <c r="AH503" s="6">
        <f t="shared" si="103"/>
        <v>0.53365358650651762</v>
      </c>
      <c r="AI503" s="5">
        <v>23</v>
      </c>
      <c r="AJ503" s="6">
        <f>Table1[[#This Row],[Quantity]]*(1+WhatIf!$B$4)</f>
        <v>25.3</v>
      </c>
    </row>
    <row r="504" spans="1:36" x14ac:dyDescent="0.3">
      <c r="A504" t="s">
        <v>378</v>
      </c>
      <c r="B504" s="3">
        <v>45082</v>
      </c>
      <c r="C504" s="3">
        <v>45105</v>
      </c>
      <c r="D504" s="3">
        <f t="shared" si="92"/>
        <v>45105</v>
      </c>
      <c r="E504" s="4">
        <f t="shared" si="91"/>
        <v>23</v>
      </c>
      <c r="F504" s="4">
        <f t="shared" si="93"/>
        <v>23</v>
      </c>
      <c r="G504" s="4">
        <f>IF(Table1[[#This Row],[CorrectedLeadTimeDays]]&lt;=7, 1, 0)</f>
        <v>0</v>
      </c>
      <c r="H504" s="4" t="str">
        <f t="shared" si="94"/>
        <v>June</v>
      </c>
      <c r="I504" s="4" t="str">
        <f t="shared" si="95"/>
        <v>Q2-2023</v>
      </c>
      <c r="J504" s="4" t="str">
        <f t="shared" si="96"/>
        <v>2023-01</v>
      </c>
      <c r="K504" s="3">
        <f t="shared" si="97"/>
        <v>44945</v>
      </c>
      <c r="L504" t="s">
        <v>649</v>
      </c>
      <c r="M504" t="s">
        <v>658</v>
      </c>
      <c r="N504" t="s">
        <v>674</v>
      </c>
      <c r="O504" t="s">
        <v>701</v>
      </c>
      <c r="P504" t="s">
        <v>711</v>
      </c>
      <c r="Q504" t="s">
        <v>723</v>
      </c>
      <c r="R504">
        <f t="shared" si="98"/>
        <v>4</v>
      </c>
      <c r="S504" t="s">
        <v>728</v>
      </c>
      <c r="T504" t="s">
        <v>1098</v>
      </c>
      <c r="U504" s="4">
        <v>605.82000000000005</v>
      </c>
      <c r="V504" s="4">
        <f>Table1[[#This Row],[UnitCost]]*(1+WhatIf!$B$3)</f>
        <v>636.1110000000001</v>
      </c>
      <c r="W504" s="4">
        <f t="shared" si="99"/>
        <v>11510.580000000002</v>
      </c>
      <c r="X504" s="4">
        <f>Table1[[#This Row],[ScenarioRev]]-Table1[[#This Row],[ScenarioUnitCost]]</f>
        <v>13352.931144</v>
      </c>
      <c r="Y504" s="4">
        <v>771.12</v>
      </c>
      <c r="Z504" s="4">
        <f t="shared" si="100"/>
        <v>12717.311040000001</v>
      </c>
      <c r="AA504" s="4">
        <f>Table1[[#This Row],[ScenarioQuanity]]*Table1[[#This Row],[UnitPrice]]*(1-Table1[[#This Row],[ScenarioDiscPct]])</f>
        <v>13989.042144000001</v>
      </c>
      <c r="AB504" s="4">
        <f t="shared" si="101"/>
        <v>1206.7310399999988</v>
      </c>
      <c r="AC504" s="4">
        <f>Table1[[#This Row],[ScenarioRev]] - Table1[[#This Row],[ScenarioCostOfGoods]]</f>
        <v>636.11100000000079</v>
      </c>
      <c r="AD504" s="6">
        <v>0.13200000000000001</v>
      </c>
      <c r="AE504" s="6">
        <f>MIN(Table1[[#This Row],[DiscountPct]], WhatIf!$B$2)</f>
        <v>0.13200000000000001</v>
      </c>
      <c r="AF504" s="6">
        <f>IF(Table1[[#This Row],[DiscountPct]]&gt;0.2, 1, 0)</f>
        <v>0</v>
      </c>
      <c r="AG504" s="6" t="str">
        <f t="shared" si="102"/>
        <v>Low</v>
      </c>
      <c r="AH504" s="6">
        <f t="shared" si="103"/>
        <v>9.4888851597986767E-2</v>
      </c>
      <c r="AI504" s="5">
        <v>19</v>
      </c>
      <c r="AJ504" s="6">
        <f>Table1[[#This Row],[Quantity]]*(1+WhatIf!$B$4)</f>
        <v>20.900000000000002</v>
      </c>
    </row>
    <row r="505" spans="1:36" x14ac:dyDescent="0.3">
      <c r="A505" t="s">
        <v>594</v>
      </c>
      <c r="B505" s="3">
        <v>45849</v>
      </c>
      <c r="C505" s="3">
        <v>45872</v>
      </c>
      <c r="D505" s="3">
        <f t="shared" si="92"/>
        <v>45872</v>
      </c>
      <c r="E505" s="4">
        <f t="shared" si="91"/>
        <v>23</v>
      </c>
      <c r="F505" s="4">
        <f t="shared" si="93"/>
        <v>23</v>
      </c>
      <c r="G505" s="4">
        <f>IF(Table1[[#This Row],[CorrectedLeadTimeDays]]&lt;=7, 1, 0)</f>
        <v>0</v>
      </c>
      <c r="H505" s="4" t="str">
        <f t="shared" si="94"/>
        <v>July</v>
      </c>
      <c r="I505" s="4" t="str">
        <f t="shared" si="95"/>
        <v>Q3-2025</v>
      </c>
      <c r="J505" s="4" t="str">
        <f t="shared" si="96"/>
        <v>2023-01</v>
      </c>
      <c r="K505" s="3">
        <f t="shared" si="97"/>
        <v>44946</v>
      </c>
      <c r="L505" t="s">
        <v>646</v>
      </c>
      <c r="M505" t="s">
        <v>650</v>
      </c>
      <c r="N505" t="s">
        <v>678</v>
      </c>
      <c r="O505" t="s">
        <v>705</v>
      </c>
      <c r="P505" t="s">
        <v>707</v>
      </c>
      <c r="Q505" t="s">
        <v>712</v>
      </c>
      <c r="R505">
        <f t="shared" si="98"/>
        <v>29</v>
      </c>
      <c r="S505" t="s">
        <v>730</v>
      </c>
      <c r="T505" t="s">
        <v>1312</v>
      </c>
      <c r="U505" s="4">
        <v>389.93</v>
      </c>
      <c r="V505" s="4">
        <f>Table1[[#This Row],[UnitCost]]*(1+WhatIf!$B$3)</f>
        <v>409.42650000000003</v>
      </c>
      <c r="W505" s="4">
        <f t="shared" si="99"/>
        <v>6628.81</v>
      </c>
      <c r="X505" s="4">
        <f>Table1[[#This Row],[ScenarioRev]]-Table1[[#This Row],[ScenarioUnitCost]]</f>
        <v>7481.2412080000013</v>
      </c>
      <c r="Y505" s="4">
        <v>486.13</v>
      </c>
      <c r="Z505" s="4">
        <f t="shared" si="100"/>
        <v>7173.3342799999991</v>
      </c>
      <c r="AA505" s="4">
        <f>Table1[[#This Row],[ScenarioQuanity]]*Table1[[#This Row],[UnitPrice]]*(1-Table1[[#This Row],[ScenarioDiscPct]])</f>
        <v>7890.6677080000009</v>
      </c>
      <c r="AB505" s="4">
        <f t="shared" si="101"/>
        <v>544.52427999999873</v>
      </c>
      <c r="AC505" s="4">
        <f>Table1[[#This Row],[ScenarioRev]] - Table1[[#This Row],[ScenarioCostOfGoods]]</f>
        <v>409.42649999999958</v>
      </c>
      <c r="AD505" s="6">
        <v>0.13200000000000001</v>
      </c>
      <c r="AE505" s="6">
        <f>MIN(Table1[[#This Row],[DiscountPct]], WhatIf!$B$2)</f>
        <v>0.13200000000000001</v>
      </c>
      <c r="AF505" s="6">
        <f>IF(Table1[[#This Row],[DiscountPct]]&gt;0.2, 1, 0)</f>
        <v>0</v>
      </c>
      <c r="AG505" s="6" t="str">
        <f t="shared" si="102"/>
        <v>Low</v>
      </c>
      <c r="AH505" s="6">
        <f t="shared" si="103"/>
        <v>7.5909508569562828E-2</v>
      </c>
      <c r="AI505" s="5">
        <v>17</v>
      </c>
      <c r="AJ505" s="6">
        <f>Table1[[#This Row],[Quantity]]*(1+WhatIf!$B$4)</f>
        <v>18.700000000000003</v>
      </c>
    </row>
    <row r="506" spans="1:36" x14ac:dyDescent="0.3">
      <c r="A506" t="s">
        <v>605</v>
      </c>
      <c r="B506" s="3">
        <v>45899</v>
      </c>
      <c r="C506" s="3">
        <v>45922</v>
      </c>
      <c r="D506" s="3">
        <f t="shared" si="92"/>
        <v>45922</v>
      </c>
      <c r="E506" s="4">
        <f t="shared" si="91"/>
        <v>23</v>
      </c>
      <c r="F506" s="4">
        <f t="shared" si="93"/>
        <v>23</v>
      </c>
      <c r="G506" s="4">
        <f>IF(Table1[[#This Row],[CorrectedLeadTimeDays]]&lt;=7, 1, 0)</f>
        <v>0</v>
      </c>
      <c r="H506" s="4" t="str">
        <f t="shared" si="94"/>
        <v>August</v>
      </c>
      <c r="I506" s="4" t="str">
        <f t="shared" si="95"/>
        <v>Q3-2025</v>
      </c>
      <c r="J506" s="4" t="str">
        <f t="shared" si="96"/>
        <v>2023-01</v>
      </c>
      <c r="K506" s="3">
        <f t="shared" si="97"/>
        <v>44936</v>
      </c>
      <c r="L506" t="s">
        <v>649</v>
      </c>
      <c r="M506" t="s">
        <v>657</v>
      </c>
      <c r="N506" t="s">
        <v>673</v>
      </c>
      <c r="O506" t="s">
        <v>701</v>
      </c>
      <c r="P506" t="s">
        <v>711</v>
      </c>
      <c r="Q506" t="s">
        <v>718</v>
      </c>
      <c r="R506">
        <f t="shared" si="98"/>
        <v>31</v>
      </c>
      <c r="S506" t="s">
        <v>727</v>
      </c>
      <c r="T506" t="s">
        <v>1323</v>
      </c>
      <c r="U506" s="4">
        <v>663.9</v>
      </c>
      <c r="V506" s="4">
        <f>Table1[[#This Row],[UnitCost]]*(1+WhatIf!$B$3)</f>
        <v>697.09500000000003</v>
      </c>
      <c r="W506" s="4">
        <f t="shared" si="99"/>
        <v>9958.5</v>
      </c>
      <c r="X506" s="4">
        <f>Table1[[#This Row],[ScenarioRev]]-Table1[[#This Row],[ScenarioUnitCost]]</f>
        <v>12220.062330000002</v>
      </c>
      <c r="Y506" s="4">
        <v>947.77</v>
      </c>
      <c r="Z506" s="4">
        <f t="shared" si="100"/>
        <v>11742.8703</v>
      </c>
      <c r="AA506" s="4">
        <f>Table1[[#This Row],[ScenarioQuanity]]*Table1[[#This Row],[UnitPrice]]*(1-Table1[[#This Row],[ScenarioDiscPct]])</f>
        <v>12917.157330000002</v>
      </c>
      <c r="AB506" s="4">
        <f t="shared" si="101"/>
        <v>1784.3703000000005</v>
      </c>
      <c r="AC506" s="4">
        <f>Table1[[#This Row],[ScenarioRev]] - Table1[[#This Row],[ScenarioCostOfGoods]]</f>
        <v>697.09499999999935</v>
      </c>
      <c r="AD506" s="6">
        <v>0.17399999999999999</v>
      </c>
      <c r="AE506" s="6">
        <f>MIN(Table1[[#This Row],[DiscountPct]], WhatIf!$B$2)</f>
        <v>0.17399999999999999</v>
      </c>
      <c r="AF506" s="6">
        <f>IF(Table1[[#This Row],[DiscountPct]]&gt;0.2, 1, 0)</f>
        <v>0</v>
      </c>
      <c r="AG506" s="6" t="str">
        <f t="shared" si="102"/>
        <v>High</v>
      </c>
      <c r="AH506" s="6">
        <f t="shared" si="103"/>
        <v>0.1519535049280073</v>
      </c>
      <c r="AI506" s="5">
        <v>15</v>
      </c>
      <c r="AJ506" s="6">
        <f>Table1[[#This Row],[Quantity]]*(1+WhatIf!$B$4)</f>
        <v>16.5</v>
      </c>
    </row>
    <row r="507" spans="1:36" x14ac:dyDescent="0.3">
      <c r="A507" t="s">
        <v>639</v>
      </c>
      <c r="B507" s="3">
        <v>45249</v>
      </c>
      <c r="C507" s="3">
        <v>45272</v>
      </c>
      <c r="D507" s="3">
        <f t="shared" si="92"/>
        <v>45272</v>
      </c>
      <c r="E507" s="4">
        <f t="shared" si="91"/>
        <v>23</v>
      </c>
      <c r="F507" s="4">
        <f t="shared" si="93"/>
        <v>23</v>
      </c>
      <c r="G507" s="4">
        <f>IF(Table1[[#This Row],[CorrectedLeadTimeDays]]&lt;=7, 1, 0)</f>
        <v>0</v>
      </c>
      <c r="H507" s="4" t="str">
        <f t="shared" si="94"/>
        <v>November</v>
      </c>
      <c r="I507" s="4" t="str">
        <f t="shared" si="95"/>
        <v>Q4-2023</v>
      </c>
      <c r="J507" s="4" t="str">
        <f t="shared" si="96"/>
        <v>2023-01</v>
      </c>
      <c r="K507" s="3">
        <f t="shared" si="97"/>
        <v>44955</v>
      </c>
      <c r="L507" t="s">
        <v>647</v>
      </c>
      <c r="M507" t="s">
        <v>654</v>
      </c>
      <c r="N507" t="s">
        <v>680</v>
      </c>
      <c r="O507" t="s">
        <v>705</v>
      </c>
      <c r="P507" t="s">
        <v>711</v>
      </c>
      <c r="Q507" t="s">
        <v>712</v>
      </c>
      <c r="R507">
        <f t="shared" si="98"/>
        <v>9</v>
      </c>
      <c r="S507" t="s">
        <v>729</v>
      </c>
      <c r="T507" t="s">
        <v>1357</v>
      </c>
      <c r="U507" s="4">
        <v>1349.04</v>
      </c>
      <c r="V507" s="4">
        <f>Table1[[#This Row],[UnitCost]]*(1+WhatIf!$B$3)</f>
        <v>1416.492</v>
      </c>
      <c r="W507" s="4">
        <f t="shared" si="99"/>
        <v>18886.559999999998</v>
      </c>
      <c r="X507" s="4">
        <f>Table1[[#This Row],[ScenarioRev]]-Table1[[#This Row],[ScenarioUnitCost]]</f>
        <v>34558.333040000005</v>
      </c>
      <c r="Y507" s="4">
        <v>2636.6</v>
      </c>
      <c r="Z507" s="4">
        <f t="shared" si="100"/>
        <v>32704.386400000003</v>
      </c>
      <c r="AA507" s="4">
        <f>Table1[[#This Row],[ScenarioQuanity]]*Table1[[#This Row],[UnitPrice]]*(1-Table1[[#This Row],[ScenarioDiscPct]])</f>
        <v>35974.825040000003</v>
      </c>
      <c r="AB507" s="4">
        <f t="shared" si="101"/>
        <v>13817.826400000005</v>
      </c>
      <c r="AC507" s="4">
        <f>Table1[[#This Row],[ScenarioRev]] - Table1[[#This Row],[ScenarioCostOfGoods]]</f>
        <v>1416.4919999999984</v>
      </c>
      <c r="AD507" s="6">
        <v>0.114</v>
      </c>
      <c r="AE507" s="6">
        <f>MIN(Table1[[#This Row],[DiscountPct]], WhatIf!$B$2)</f>
        <v>0.114</v>
      </c>
      <c r="AF507" s="6">
        <f>IF(Table1[[#This Row],[DiscountPct]]&gt;0.2, 1, 0)</f>
        <v>0</v>
      </c>
      <c r="AG507" s="6" t="str">
        <f t="shared" si="102"/>
        <v>High</v>
      </c>
      <c r="AH507" s="6">
        <f t="shared" si="103"/>
        <v>0.42250682312143928</v>
      </c>
      <c r="AI507" s="5">
        <v>14</v>
      </c>
      <c r="AJ507" s="6">
        <f>Table1[[#This Row],[Quantity]]*(1+WhatIf!$B$4)</f>
        <v>15.400000000000002</v>
      </c>
    </row>
    <row r="508" spans="1:36" x14ac:dyDescent="0.3">
      <c r="A508" t="s">
        <v>99</v>
      </c>
      <c r="B508" s="3">
        <v>45741</v>
      </c>
      <c r="C508" s="3">
        <v>45764</v>
      </c>
      <c r="D508" s="3">
        <f t="shared" si="92"/>
        <v>45764</v>
      </c>
      <c r="E508" s="4">
        <f t="shared" si="91"/>
        <v>23</v>
      </c>
      <c r="F508" s="4">
        <f t="shared" si="93"/>
        <v>23</v>
      </c>
      <c r="G508" s="4">
        <f>IF(Table1[[#This Row],[CorrectedLeadTimeDays]]&lt;=7, 1, 0)</f>
        <v>0</v>
      </c>
      <c r="H508" s="4" t="str">
        <f t="shared" si="94"/>
        <v>March</v>
      </c>
      <c r="I508" s="4" t="str">
        <f t="shared" si="95"/>
        <v>Q1-2025</v>
      </c>
      <c r="J508" s="4" t="str">
        <f t="shared" si="96"/>
        <v>2023-01</v>
      </c>
      <c r="K508" s="3">
        <f t="shared" si="97"/>
        <v>44945</v>
      </c>
      <c r="L508" t="s">
        <v>649</v>
      </c>
      <c r="M508" t="s">
        <v>658</v>
      </c>
      <c r="N508" t="s">
        <v>683</v>
      </c>
      <c r="O508" t="s">
        <v>704</v>
      </c>
      <c r="P508" t="s">
        <v>707</v>
      </c>
      <c r="Q508" t="s">
        <v>722</v>
      </c>
      <c r="R508">
        <f t="shared" si="98"/>
        <v>26</v>
      </c>
      <c r="S508" t="s">
        <v>729</v>
      </c>
      <c r="T508" t="s">
        <v>818</v>
      </c>
      <c r="U508" s="4">
        <v>1421.19</v>
      </c>
      <c r="V508" s="4">
        <f>Table1[[#This Row],[UnitCost]]*(1+WhatIf!$B$3)</f>
        <v>1492.2495000000001</v>
      </c>
      <c r="W508" s="4">
        <f t="shared" si="99"/>
        <v>18475.47</v>
      </c>
      <c r="X508" s="4">
        <f>Table1[[#This Row],[ScenarioRev]]-Table1[[#This Row],[ScenarioUnitCost]]</f>
        <v>21676.624228000001</v>
      </c>
      <c r="Y508" s="4">
        <v>1808.26</v>
      </c>
      <c r="Z508" s="4">
        <f t="shared" si="100"/>
        <v>21062.61248</v>
      </c>
      <c r="AA508" s="4">
        <f>Table1[[#This Row],[ScenarioQuanity]]*Table1[[#This Row],[UnitPrice]]*(1-Table1[[#This Row],[ScenarioDiscPct]])</f>
        <v>23168.873728000002</v>
      </c>
      <c r="AB508" s="4">
        <f t="shared" si="101"/>
        <v>2587.1424799999986</v>
      </c>
      <c r="AC508" s="4">
        <f>Table1[[#This Row],[ScenarioRev]] - Table1[[#This Row],[ScenarioCostOfGoods]]</f>
        <v>1492.2495000000017</v>
      </c>
      <c r="AD508" s="6">
        <v>0.104</v>
      </c>
      <c r="AE508" s="6">
        <f>MIN(Table1[[#This Row],[DiscountPct]], WhatIf!$B$2)</f>
        <v>0.104</v>
      </c>
      <c r="AF508" s="6">
        <f>IF(Table1[[#This Row],[DiscountPct]]&gt;0.2, 1, 0)</f>
        <v>0</v>
      </c>
      <c r="AG508" s="6" t="str">
        <f t="shared" si="102"/>
        <v>High</v>
      </c>
      <c r="AH508" s="6">
        <f t="shared" si="103"/>
        <v>0.12283103449093123</v>
      </c>
      <c r="AI508" s="5">
        <v>13</v>
      </c>
      <c r="AJ508" s="6">
        <f>Table1[[#This Row],[Quantity]]*(1+WhatIf!$B$4)</f>
        <v>14.3</v>
      </c>
    </row>
    <row r="509" spans="1:36" x14ac:dyDescent="0.3">
      <c r="A509" t="s">
        <v>80</v>
      </c>
      <c r="B509" s="3">
        <v>45263</v>
      </c>
      <c r="C509" s="3">
        <v>45286</v>
      </c>
      <c r="D509" s="3">
        <f t="shared" si="92"/>
        <v>45286</v>
      </c>
      <c r="E509" s="4">
        <f t="shared" si="91"/>
        <v>23</v>
      </c>
      <c r="F509" s="4">
        <f t="shared" si="93"/>
        <v>23</v>
      </c>
      <c r="G509" s="4">
        <f>IF(Table1[[#This Row],[CorrectedLeadTimeDays]]&lt;=7, 1, 0)</f>
        <v>0</v>
      </c>
      <c r="H509" s="4" t="str">
        <f t="shared" si="94"/>
        <v>December</v>
      </c>
      <c r="I509" s="4" t="str">
        <f t="shared" si="95"/>
        <v>Q4-2023</v>
      </c>
      <c r="J509" s="4" t="str">
        <f t="shared" si="96"/>
        <v>2023-01</v>
      </c>
      <c r="K509" s="3">
        <f t="shared" si="97"/>
        <v>44955</v>
      </c>
      <c r="L509" t="s">
        <v>648</v>
      </c>
      <c r="M509" t="s">
        <v>655</v>
      </c>
      <c r="N509" t="s">
        <v>692</v>
      </c>
      <c r="O509" t="s">
        <v>702</v>
      </c>
      <c r="P509" t="s">
        <v>707</v>
      </c>
      <c r="Q509" t="s">
        <v>719</v>
      </c>
      <c r="R509">
        <f t="shared" si="98"/>
        <v>10</v>
      </c>
      <c r="S509" t="s">
        <v>730</v>
      </c>
      <c r="T509" t="s">
        <v>799</v>
      </c>
      <c r="U509" s="4">
        <v>1303.1099999999999</v>
      </c>
      <c r="V509" s="4">
        <f>Table1[[#This Row],[UnitCost]]*(1+WhatIf!$B$3)</f>
        <v>1368.2655</v>
      </c>
      <c r="W509" s="4">
        <f t="shared" si="99"/>
        <v>16940.43</v>
      </c>
      <c r="X509" s="4">
        <f>Table1[[#This Row],[ScenarioRev]]-Table1[[#This Row],[ScenarioUnitCost]]</f>
        <v>12000.328596000003</v>
      </c>
      <c r="Y509" s="4">
        <v>1145.67</v>
      </c>
      <c r="Z509" s="4">
        <f t="shared" si="100"/>
        <v>12153.267360000002</v>
      </c>
      <c r="AA509" s="4">
        <f>Table1[[#This Row],[ScenarioQuanity]]*Table1[[#This Row],[UnitPrice]]*(1-Table1[[#This Row],[ScenarioDiscPct]])</f>
        <v>13368.594096000003</v>
      </c>
      <c r="AB509" s="4">
        <f t="shared" si="101"/>
        <v>-4787.1626399999986</v>
      </c>
      <c r="AC509" s="4">
        <f>Table1[[#This Row],[ScenarioRev]] - Table1[[#This Row],[ScenarioCostOfGoods]]</f>
        <v>1368.2654999999995</v>
      </c>
      <c r="AD509" s="6">
        <v>0.184</v>
      </c>
      <c r="AE509" s="6">
        <f>MIN(Table1[[#This Row],[DiscountPct]], WhatIf!$B$2)</f>
        <v>0.184</v>
      </c>
      <c r="AF509" s="6">
        <f>IF(Table1[[#This Row],[DiscountPct]]&gt;0.2, 1, 0)</f>
        <v>0</v>
      </c>
      <c r="AG509" s="6" t="str">
        <f t="shared" si="102"/>
        <v>High</v>
      </c>
      <c r="AH509" s="6">
        <f t="shared" si="103"/>
        <v>-0.39389922875851208</v>
      </c>
      <c r="AI509" s="5">
        <v>13</v>
      </c>
      <c r="AJ509" s="6">
        <f>Table1[[#This Row],[Quantity]]*(1+WhatIf!$B$4)</f>
        <v>14.3</v>
      </c>
    </row>
    <row r="510" spans="1:36" x14ac:dyDescent="0.3">
      <c r="A510" t="s">
        <v>303</v>
      </c>
      <c r="B510" s="3">
        <v>45125</v>
      </c>
      <c r="C510" s="3">
        <v>45148</v>
      </c>
      <c r="D510" s="3">
        <f t="shared" si="92"/>
        <v>45148</v>
      </c>
      <c r="E510" s="4">
        <f t="shared" si="91"/>
        <v>23</v>
      </c>
      <c r="F510" s="4">
        <f t="shared" si="93"/>
        <v>23</v>
      </c>
      <c r="G510" s="4">
        <f>IF(Table1[[#This Row],[CorrectedLeadTimeDays]]&lt;=7, 1, 0)</f>
        <v>0</v>
      </c>
      <c r="H510" s="4" t="str">
        <f t="shared" si="94"/>
        <v>July</v>
      </c>
      <c r="I510" s="4" t="str">
        <f t="shared" si="95"/>
        <v>Q3-2023</v>
      </c>
      <c r="J510" s="4" t="str">
        <f t="shared" si="96"/>
        <v>2023-01</v>
      </c>
      <c r="K510" s="3">
        <f t="shared" si="97"/>
        <v>44933</v>
      </c>
      <c r="L510" t="s">
        <v>646</v>
      </c>
      <c r="M510" t="s">
        <v>661</v>
      </c>
      <c r="N510" t="s">
        <v>682</v>
      </c>
      <c r="O510" t="s">
        <v>705</v>
      </c>
      <c r="P510" t="s">
        <v>707</v>
      </c>
      <c r="Q510" t="s">
        <v>716</v>
      </c>
      <c r="R510">
        <f t="shared" si="98"/>
        <v>6</v>
      </c>
      <c r="S510" t="s">
        <v>727</v>
      </c>
      <c r="T510" t="s">
        <v>1023</v>
      </c>
      <c r="U510" s="4">
        <v>1271.56</v>
      </c>
      <c r="V510" s="4">
        <f>Table1[[#This Row],[UnitCost]]*(1+WhatIf!$B$3)</f>
        <v>1335.1379999999999</v>
      </c>
      <c r="W510" s="4">
        <f t="shared" si="99"/>
        <v>16530.28</v>
      </c>
      <c r="X510" s="4">
        <f>Table1[[#This Row],[ScenarioRev]]-Table1[[#This Row],[ScenarioUnitCost]]</f>
        <v>10166.920568000001</v>
      </c>
      <c r="Y510" s="4">
        <v>995.47</v>
      </c>
      <c r="Z510" s="4">
        <f t="shared" si="100"/>
        <v>10456.416880000001</v>
      </c>
      <c r="AA510" s="4">
        <f>Table1[[#This Row],[ScenarioQuanity]]*Table1[[#This Row],[UnitPrice]]*(1-Table1[[#This Row],[ScenarioDiscPct]])</f>
        <v>11502.058568000002</v>
      </c>
      <c r="AB510" s="4">
        <f t="shared" si="101"/>
        <v>-6073.8631199999982</v>
      </c>
      <c r="AC510" s="4">
        <f>Table1[[#This Row],[ScenarioRev]] - Table1[[#This Row],[ScenarioCostOfGoods]]</f>
        <v>1335.1380000000008</v>
      </c>
      <c r="AD510" s="6">
        <v>0.192</v>
      </c>
      <c r="AE510" s="6">
        <f>MIN(Table1[[#This Row],[DiscountPct]], WhatIf!$B$2)</f>
        <v>0.192</v>
      </c>
      <c r="AF510" s="6">
        <f>IF(Table1[[#This Row],[DiscountPct]]&gt;0.2, 1, 0)</f>
        <v>0</v>
      </c>
      <c r="AG510" s="6" t="str">
        <f t="shared" si="102"/>
        <v>High</v>
      </c>
      <c r="AH510" s="6">
        <f t="shared" si="103"/>
        <v>-0.58087423155607754</v>
      </c>
      <c r="AI510" s="5">
        <v>13</v>
      </c>
      <c r="AJ510" s="6">
        <f>Table1[[#This Row],[Quantity]]*(1+WhatIf!$B$4)</f>
        <v>14.3</v>
      </c>
    </row>
    <row r="511" spans="1:36" x14ac:dyDescent="0.3">
      <c r="A511" t="s">
        <v>298</v>
      </c>
      <c r="B511" s="3">
        <v>45304</v>
      </c>
      <c r="C511" s="3">
        <v>45327</v>
      </c>
      <c r="D511" s="3">
        <f t="shared" si="92"/>
        <v>45327</v>
      </c>
      <c r="E511" s="4">
        <f t="shared" si="91"/>
        <v>23</v>
      </c>
      <c r="F511" s="4">
        <f t="shared" si="93"/>
        <v>23</v>
      </c>
      <c r="G511" s="4">
        <f>IF(Table1[[#This Row],[CorrectedLeadTimeDays]]&lt;=7, 1, 0)</f>
        <v>0</v>
      </c>
      <c r="H511" s="4" t="str">
        <f t="shared" si="94"/>
        <v>January</v>
      </c>
      <c r="I511" s="4" t="str">
        <f t="shared" si="95"/>
        <v>Q1-2024</v>
      </c>
      <c r="J511" s="4" t="str">
        <f t="shared" si="96"/>
        <v>2023-01</v>
      </c>
      <c r="K511" s="3">
        <f t="shared" si="97"/>
        <v>44948</v>
      </c>
      <c r="L511" t="s">
        <v>649</v>
      </c>
      <c r="M511" t="s">
        <v>656</v>
      </c>
      <c r="N511" t="s">
        <v>698</v>
      </c>
      <c r="O511" t="s">
        <v>702</v>
      </c>
      <c r="P511" t="s">
        <v>711</v>
      </c>
      <c r="Q511" t="s">
        <v>717</v>
      </c>
      <c r="R511">
        <f t="shared" si="98"/>
        <v>11</v>
      </c>
      <c r="S511" t="s">
        <v>731</v>
      </c>
      <c r="T511" t="s">
        <v>1018</v>
      </c>
      <c r="U511" s="4">
        <v>1017.93</v>
      </c>
      <c r="V511" s="4">
        <f>Table1[[#This Row],[UnitCost]]*(1+WhatIf!$B$3)</f>
        <v>1068.8264999999999</v>
      </c>
      <c r="W511" s="4">
        <f t="shared" si="99"/>
        <v>12215.16</v>
      </c>
      <c r="X511" s="4">
        <f>Table1[[#This Row],[ScenarioRev]]-Table1[[#This Row],[ScenarioUnitCost]]</f>
        <v>15987.201060000003</v>
      </c>
      <c r="Y511" s="4">
        <v>1529.14</v>
      </c>
      <c r="Z511" s="4">
        <f t="shared" si="100"/>
        <v>15505.479600000001</v>
      </c>
      <c r="AA511" s="4">
        <f>Table1[[#This Row],[ScenarioQuanity]]*Table1[[#This Row],[UnitPrice]]*(1-Table1[[#This Row],[ScenarioDiscPct]])</f>
        <v>17056.027560000002</v>
      </c>
      <c r="AB511" s="4">
        <f t="shared" si="101"/>
        <v>3290.3196000000007</v>
      </c>
      <c r="AC511" s="4">
        <f>Table1[[#This Row],[ScenarioRev]] - Table1[[#This Row],[ScenarioCostOfGoods]]</f>
        <v>1068.8264999999992</v>
      </c>
      <c r="AD511" s="6">
        <v>0.155</v>
      </c>
      <c r="AE511" s="6">
        <f>MIN(Table1[[#This Row],[DiscountPct]], WhatIf!$B$2)</f>
        <v>0.155</v>
      </c>
      <c r="AF511" s="6">
        <f>IF(Table1[[#This Row],[DiscountPct]]&gt;0.2, 1, 0)</f>
        <v>0</v>
      </c>
      <c r="AG511" s="6" t="str">
        <f t="shared" si="102"/>
        <v>High</v>
      </c>
      <c r="AH511" s="6">
        <f t="shared" si="103"/>
        <v>0.21220366508366503</v>
      </c>
      <c r="AI511" s="5">
        <v>12</v>
      </c>
      <c r="AJ511" s="6">
        <f>Table1[[#This Row],[Quantity]]*(1+WhatIf!$B$4)</f>
        <v>13.200000000000001</v>
      </c>
    </row>
    <row r="512" spans="1:36" x14ac:dyDescent="0.3">
      <c r="A512" t="s">
        <v>385</v>
      </c>
      <c r="B512" s="3">
        <v>44962</v>
      </c>
      <c r="C512" s="3">
        <v>44985</v>
      </c>
      <c r="D512" s="3">
        <f t="shared" si="92"/>
        <v>44985</v>
      </c>
      <c r="E512" s="4">
        <f t="shared" si="91"/>
        <v>23</v>
      </c>
      <c r="F512" s="4">
        <f t="shared" si="93"/>
        <v>23</v>
      </c>
      <c r="G512" s="4">
        <f>IF(Table1[[#This Row],[CorrectedLeadTimeDays]]&lt;=7, 1, 0)</f>
        <v>0</v>
      </c>
      <c r="H512" s="4" t="str">
        <f t="shared" si="94"/>
        <v>February</v>
      </c>
      <c r="I512" s="4" t="str">
        <f t="shared" si="95"/>
        <v>Q1-2023</v>
      </c>
      <c r="J512" s="4" t="str">
        <f t="shared" si="96"/>
        <v>2023-01</v>
      </c>
      <c r="K512" s="3">
        <f t="shared" si="97"/>
        <v>44939</v>
      </c>
      <c r="L512" t="s">
        <v>648</v>
      </c>
      <c r="M512" t="s">
        <v>660</v>
      </c>
      <c r="N512" t="s">
        <v>697</v>
      </c>
      <c r="O512" t="s">
        <v>703</v>
      </c>
      <c r="P512" t="s">
        <v>710</v>
      </c>
      <c r="Q512" t="s">
        <v>716</v>
      </c>
      <c r="R512">
        <f t="shared" si="98"/>
        <v>0</v>
      </c>
      <c r="S512" t="s">
        <v>730</v>
      </c>
      <c r="T512" t="s">
        <v>1105</v>
      </c>
      <c r="U512" s="4">
        <v>1214.49</v>
      </c>
      <c r="V512" s="4">
        <f>Table1[[#This Row],[UnitCost]]*(1+WhatIf!$B$3)</f>
        <v>1275.2145</v>
      </c>
      <c r="W512" s="4">
        <f t="shared" si="99"/>
        <v>13359.39</v>
      </c>
      <c r="X512" s="4">
        <f>Table1[[#This Row],[ScenarioRev]]-Table1[[#This Row],[ScenarioUnitCost]]</f>
        <v>17285.580500000004</v>
      </c>
      <c r="Y512" s="4">
        <v>1533.95</v>
      </c>
      <c r="Z512" s="4">
        <f t="shared" si="100"/>
        <v>16873.45</v>
      </c>
      <c r="AA512" s="4">
        <f>Table1[[#This Row],[ScenarioQuanity]]*Table1[[#This Row],[UnitPrice]]*(1-Table1[[#This Row],[ScenarioDiscPct]])</f>
        <v>18560.795000000002</v>
      </c>
      <c r="AB512" s="4">
        <f t="shared" si="101"/>
        <v>3514.0600000000013</v>
      </c>
      <c r="AC512" s="4">
        <f>Table1[[#This Row],[ScenarioRev]] - Table1[[#This Row],[ScenarioCostOfGoods]]</f>
        <v>1275.2144999999982</v>
      </c>
      <c r="AD512" s="6">
        <v>0</v>
      </c>
      <c r="AE512" s="6">
        <f>MIN(Table1[[#This Row],[DiscountPct]], WhatIf!$B$2)</f>
        <v>0</v>
      </c>
      <c r="AF512" s="6">
        <f>IF(Table1[[#This Row],[DiscountPct]]&gt;0.2, 1, 0)</f>
        <v>0</v>
      </c>
      <c r="AG512" s="6" t="str">
        <f t="shared" si="102"/>
        <v>High</v>
      </c>
      <c r="AH512" s="6">
        <f t="shared" si="103"/>
        <v>0.20825972163369086</v>
      </c>
      <c r="AI512" s="5">
        <v>11</v>
      </c>
      <c r="AJ512" s="6">
        <f>Table1[[#This Row],[Quantity]]*(1+WhatIf!$B$4)</f>
        <v>12.100000000000001</v>
      </c>
    </row>
    <row r="513" spans="1:36" x14ac:dyDescent="0.3">
      <c r="A513" t="s">
        <v>529</v>
      </c>
      <c r="B513" s="3">
        <v>45874</v>
      </c>
      <c r="C513" s="3">
        <v>45897</v>
      </c>
      <c r="D513" s="3">
        <f t="shared" si="92"/>
        <v>45897</v>
      </c>
      <c r="E513" s="4">
        <f t="shared" si="91"/>
        <v>23</v>
      </c>
      <c r="F513" s="4">
        <f t="shared" si="93"/>
        <v>23</v>
      </c>
      <c r="G513" s="4">
        <f>IF(Table1[[#This Row],[CorrectedLeadTimeDays]]&lt;=7, 1, 0)</f>
        <v>0</v>
      </c>
      <c r="H513" s="4" t="str">
        <f t="shared" si="94"/>
        <v>August</v>
      </c>
      <c r="I513" s="4" t="str">
        <f t="shared" si="95"/>
        <v>Q3-2025</v>
      </c>
      <c r="J513" s="4" t="str">
        <f t="shared" si="96"/>
        <v>2023-01</v>
      </c>
      <c r="K513" s="3">
        <f t="shared" si="97"/>
        <v>44955</v>
      </c>
      <c r="L513" t="s">
        <v>647</v>
      </c>
      <c r="M513" t="s">
        <v>654</v>
      </c>
      <c r="N513" t="s">
        <v>691</v>
      </c>
      <c r="O513" t="s">
        <v>703</v>
      </c>
      <c r="P513" t="s">
        <v>710</v>
      </c>
      <c r="Q513" t="s">
        <v>725</v>
      </c>
      <c r="R513">
        <f t="shared" si="98"/>
        <v>30</v>
      </c>
      <c r="S513" t="s">
        <v>731</v>
      </c>
      <c r="T513" t="s">
        <v>1248</v>
      </c>
      <c r="U513" s="4">
        <v>638.54</v>
      </c>
      <c r="V513" s="4">
        <f>Table1[[#This Row],[UnitCost]]*(1+WhatIf!$B$3)</f>
        <v>670.46699999999998</v>
      </c>
      <c r="W513" s="4">
        <f t="shared" si="99"/>
        <v>7023.94</v>
      </c>
      <c r="X513" s="4">
        <f>Table1[[#This Row],[ScenarioRev]]-Table1[[#This Row],[ScenarioUnitCost]]</f>
        <v>11275.137000000001</v>
      </c>
      <c r="Y513" s="4">
        <v>987.24</v>
      </c>
      <c r="Z513" s="4">
        <f t="shared" si="100"/>
        <v>10859.64</v>
      </c>
      <c r="AA513" s="4">
        <f>Table1[[#This Row],[ScenarioQuanity]]*Table1[[#This Row],[UnitPrice]]*(1-Table1[[#This Row],[ScenarioDiscPct]])</f>
        <v>11945.604000000001</v>
      </c>
      <c r="AB513" s="4">
        <f t="shared" si="101"/>
        <v>3835.7</v>
      </c>
      <c r="AC513" s="4">
        <f>Table1[[#This Row],[ScenarioRev]] - Table1[[#This Row],[ScenarioCostOfGoods]]</f>
        <v>670.46700000000055</v>
      </c>
      <c r="AD513" s="6">
        <v>0</v>
      </c>
      <c r="AE513" s="6">
        <f>MIN(Table1[[#This Row],[DiscountPct]], WhatIf!$B$2)</f>
        <v>0</v>
      </c>
      <c r="AF513" s="6">
        <f>IF(Table1[[#This Row],[DiscountPct]]&gt;0.2, 1, 0)</f>
        <v>0</v>
      </c>
      <c r="AG513" s="6" t="str">
        <f t="shared" si="102"/>
        <v>High</v>
      </c>
      <c r="AH513" s="6">
        <f t="shared" si="103"/>
        <v>0.35320692030306716</v>
      </c>
      <c r="AI513" s="5">
        <v>11</v>
      </c>
      <c r="AJ513" s="6">
        <f>Table1[[#This Row],[Quantity]]*(1+WhatIf!$B$4)</f>
        <v>12.100000000000001</v>
      </c>
    </row>
    <row r="514" spans="1:36" x14ac:dyDescent="0.3">
      <c r="A514" t="s">
        <v>123</v>
      </c>
      <c r="B514" s="3">
        <v>45581</v>
      </c>
      <c r="C514" s="3">
        <v>45604</v>
      </c>
      <c r="D514" s="3">
        <f t="shared" si="92"/>
        <v>45604</v>
      </c>
      <c r="E514" s="4">
        <f t="shared" ref="E514:E577" si="104">C514-B514</f>
        <v>23</v>
      </c>
      <c r="F514" s="4">
        <f t="shared" si="93"/>
        <v>23</v>
      </c>
      <c r="G514" s="4">
        <f>IF(Table1[[#This Row],[CorrectedLeadTimeDays]]&lt;=7, 1, 0)</f>
        <v>0</v>
      </c>
      <c r="H514" s="4" t="str">
        <f t="shared" si="94"/>
        <v>October</v>
      </c>
      <c r="I514" s="4" t="str">
        <f t="shared" si="95"/>
        <v>Q4-2024</v>
      </c>
      <c r="J514" s="4" t="str">
        <f t="shared" si="96"/>
        <v>2023-03</v>
      </c>
      <c r="K514" s="3">
        <f t="shared" si="97"/>
        <v>44988</v>
      </c>
      <c r="L514" t="s">
        <v>647</v>
      </c>
      <c r="M514" t="s">
        <v>652</v>
      </c>
      <c r="N514" t="s">
        <v>666</v>
      </c>
      <c r="O514" t="s">
        <v>705</v>
      </c>
      <c r="P514" t="s">
        <v>707</v>
      </c>
      <c r="Q514" t="s">
        <v>713</v>
      </c>
      <c r="R514">
        <f t="shared" si="98"/>
        <v>19</v>
      </c>
      <c r="S514" t="s">
        <v>729</v>
      </c>
      <c r="T514" t="s">
        <v>842</v>
      </c>
      <c r="U514" s="4">
        <v>82.14</v>
      </c>
      <c r="V514" s="4">
        <f>Table1[[#This Row],[UnitCost]]*(1+WhatIf!$B$3)</f>
        <v>86.247</v>
      </c>
      <c r="W514" s="4">
        <f t="shared" si="99"/>
        <v>821.4</v>
      </c>
      <c r="X514" s="4">
        <f>Table1[[#This Row],[ScenarioRev]]-Table1[[#This Row],[ScenarioUnitCost]]</f>
        <v>1740.1929999999998</v>
      </c>
      <c r="Y514" s="4">
        <v>166.04</v>
      </c>
      <c r="Z514" s="4">
        <f t="shared" si="100"/>
        <v>1660.3999999999999</v>
      </c>
      <c r="AA514" s="4">
        <f>Table1[[#This Row],[ScenarioQuanity]]*Table1[[#This Row],[UnitPrice]]*(1-Table1[[#This Row],[ScenarioDiscPct]])</f>
        <v>1826.4399999999998</v>
      </c>
      <c r="AB514" s="4">
        <f t="shared" si="101"/>
        <v>838.99999999999989</v>
      </c>
      <c r="AC514" s="4">
        <f>Table1[[#This Row],[ScenarioRev]] - Table1[[#This Row],[ScenarioCostOfGoods]]</f>
        <v>86.247000000000071</v>
      </c>
      <c r="AD514" s="6">
        <v>0</v>
      </c>
      <c r="AE514" s="6">
        <f>MIN(Table1[[#This Row],[DiscountPct]], WhatIf!$B$2)</f>
        <v>0</v>
      </c>
      <c r="AF514" s="6">
        <f>IF(Table1[[#This Row],[DiscountPct]]&gt;0.2, 1, 0)</f>
        <v>0</v>
      </c>
      <c r="AG514" s="6" t="str">
        <f t="shared" si="102"/>
        <v>Low</v>
      </c>
      <c r="AH514" s="6">
        <f t="shared" si="103"/>
        <v>0.50529992772825827</v>
      </c>
      <c r="AI514" s="5">
        <v>10</v>
      </c>
      <c r="AJ514" s="6">
        <f>Table1[[#This Row],[Quantity]]*(1+WhatIf!$B$4)</f>
        <v>11</v>
      </c>
    </row>
    <row r="515" spans="1:36" x14ac:dyDescent="0.3">
      <c r="A515" t="s">
        <v>308</v>
      </c>
      <c r="B515" s="3">
        <v>45758</v>
      </c>
      <c r="C515" s="3">
        <v>45781</v>
      </c>
      <c r="D515" s="3">
        <f t="shared" ref="D515:D578" si="105">IF(C515&lt;B515, B515+14, C515)</f>
        <v>45781</v>
      </c>
      <c r="E515" s="4">
        <f t="shared" si="104"/>
        <v>23</v>
      </c>
      <c r="F515" s="4">
        <f t="shared" ref="F515:F578" si="106">D515-B515</f>
        <v>23</v>
      </c>
      <c r="G515" s="4">
        <f>IF(Table1[[#This Row],[CorrectedLeadTimeDays]]&lt;=7, 1, 0)</f>
        <v>0</v>
      </c>
      <c r="H515" s="4" t="str">
        <f t="shared" ref="H515:H578" si="107">TEXT(B515, "mmmm")</f>
        <v>April</v>
      </c>
      <c r="I515" s="4" t="str">
        <f t="shared" ref="I515:I578" si="108">"Q"&amp;ROUNDUP(MONTH(B515)/3,0)&amp;"-"&amp;YEAR(B515)</f>
        <v>Q2-2025</v>
      </c>
      <c r="J515" s="4" t="str">
        <f t="shared" ref="J515:J578" si="109">TEXT(K515, "yyyy-mm")</f>
        <v>2023-03</v>
      </c>
      <c r="K515" s="3">
        <f t="shared" ref="K515:K578" si="110">_xlfn.MINIFS($B:$B,$M:$M,M515)</f>
        <v>44988</v>
      </c>
      <c r="L515" t="s">
        <v>647</v>
      </c>
      <c r="M515" t="s">
        <v>652</v>
      </c>
      <c r="N515" t="s">
        <v>666</v>
      </c>
      <c r="O515" t="s">
        <v>705</v>
      </c>
      <c r="P515" t="s">
        <v>708</v>
      </c>
      <c r="Q515" t="s">
        <v>724</v>
      </c>
      <c r="R515">
        <f t="shared" ref="R515:R578" si="111">DATEDIF(K515,B515,"m")</f>
        <v>25</v>
      </c>
      <c r="S515" t="s">
        <v>727</v>
      </c>
      <c r="T515" t="s">
        <v>1028</v>
      </c>
      <c r="U515" s="4">
        <v>786.2</v>
      </c>
      <c r="V515" s="4">
        <f>Table1[[#This Row],[UnitCost]]*(1+WhatIf!$B$3)</f>
        <v>825.5100000000001</v>
      </c>
      <c r="W515" s="4">
        <f t="shared" ref="W515:W578" si="112">U515*AI515</f>
        <v>7075.8</v>
      </c>
      <c r="X515" s="4">
        <f>Table1[[#This Row],[ScenarioRev]]-Table1[[#This Row],[ScenarioUnitCost]]</f>
        <v>8968.3223999999991</v>
      </c>
      <c r="Y515" s="4">
        <v>1075.3</v>
      </c>
      <c r="Z515" s="4">
        <f t="shared" ref="Z515:Z578" si="113">Y515*AI515*(1-AD515)</f>
        <v>8903.4839999999986</v>
      </c>
      <c r="AA515" s="4">
        <f>Table1[[#This Row],[ScenarioQuanity]]*Table1[[#This Row],[UnitPrice]]*(1-Table1[[#This Row],[ScenarioDiscPct]])</f>
        <v>9793.8323999999993</v>
      </c>
      <c r="AB515" s="4">
        <f t="shared" ref="AB515:AB578" si="114">Z515-W515</f>
        <v>1827.6839999999984</v>
      </c>
      <c r="AC515" s="4">
        <f>Table1[[#This Row],[ScenarioRev]] - Table1[[#This Row],[ScenarioCostOfGoods]]</f>
        <v>825.51000000000022</v>
      </c>
      <c r="AD515" s="6">
        <v>0.08</v>
      </c>
      <c r="AE515" s="6">
        <f>MIN(Table1[[#This Row],[DiscountPct]], WhatIf!$B$2)</f>
        <v>0.08</v>
      </c>
      <c r="AF515" s="6">
        <f>IF(Table1[[#This Row],[DiscountPct]]&gt;0.2, 1, 0)</f>
        <v>0</v>
      </c>
      <c r="AG515" s="6" t="str">
        <f t="shared" ref="AG515:AG578" si="115">IF(Y515&lt;=_xlfn.PERCENTILE.INC($Y:$Y,0.33),"Low",
 IF(D515&lt;=_xlfn.PERCENTILE.INC($Y:$Y,0.66),"Medium",
 "High"))</f>
        <v>High</v>
      </c>
      <c r="AH515" s="6">
        <f t="shared" ref="AH515:AH578" si="116">IF(Z515=0, 0, AB515/Z515)</f>
        <v>0.20527739478163815</v>
      </c>
      <c r="AI515" s="5">
        <v>9</v>
      </c>
      <c r="AJ515" s="6">
        <f>Table1[[#This Row],[Quantity]]*(1+WhatIf!$B$4)</f>
        <v>9.9</v>
      </c>
    </row>
    <row r="516" spans="1:36" x14ac:dyDescent="0.3">
      <c r="A516" t="s">
        <v>275</v>
      </c>
      <c r="B516" s="3">
        <v>45073</v>
      </c>
      <c r="C516" s="3">
        <v>45096</v>
      </c>
      <c r="D516" s="3">
        <f t="shared" si="105"/>
        <v>45096</v>
      </c>
      <c r="E516" s="4">
        <f t="shared" si="104"/>
        <v>23</v>
      </c>
      <c r="F516" s="4">
        <f t="shared" si="106"/>
        <v>23</v>
      </c>
      <c r="G516" s="4">
        <f>IF(Table1[[#This Row],[CorrectedLeadTimeDays]]&lt;=7, 1, 0)</f>
        <v>0</v>
      </c>
      <c r="H516" s="4" t="str">
        <f t="shared" si="107"/>
        <v>May</v>
      </c>
      <c r="I516" s="4" t="str">
        <f t="shared" si="108"/>
        <v>Q2-2023</v>
      </c>
      <c r="J516" s="4" t="str">
        <f t="shared" si="109"/>
        <v>2023-01</v>
      </c>
      <c r="K516" s="3">
        <f t="shared" si="110"/>
        <v>44948</v>
      </c>
      <c r="L516" t="s">
        <v>649</v>
      </c>
      <c r="M516" t="s">
        <v>656</v>
      </c>
      <c r="N516" t="s">
        <v>671</v>
      </c>
      <c r="O516" t="s">
        <v>702</v>
      </c>
      <c r="P516" t="s">
        <v>707</v>
      </c>
      <c r="Q516" t="s">
        <v>719</v>
      </c>
      <c r="R516">
        <f t="shared" si="111"/>
        <v>4</v>
      </c>
      <c r="S516" t="s">
        <v>733</v>
      </c>
      <c r="T516" t="s">
        <v>995</v>
      </c>
      <c r="U516" s="4">
        <v>1471.58</v>
      </c>
      <c r="V516" s="4">
        <f>Table1[[#This Row],[UnitCost]]*(1+WhatIf!$B$3)</f>
        <v>1545.1589999999999</v>
      </c>
      <c r="W516" s="4">
        <f t="shared" si="112"/>
        <v>10301.06</v>
      </c>
      <c r="X516" s="4">
        <f>Table1[[#This Row],[ScenarioRev]]-Table1[[#This Row],[ScenarioUnitCost]]</f>
        <v>18215.68518</v>
      </c>
      <c r="Y516" s="4">
        <v>2576.65</v>
      </c>
      <c r="Z516" s="4">
        <f t="shared" si="113"/>
        <v>17964.4038</v>
      </c>
      <c r="AA516" s="4">
        <f>Table1[[#This Row],[ScenarioQuanity]]*Table1[[#This Row],[UnitPrice]]*(1-Table1[[#This Row],[ScenarioDiscPct]])</f>
        <v>19760.84418</v>
      </c>
      <c r="AB516" s="4">
        <f t="shared" si="114"/>
        <v>7663.3438000000006</v>
      </c>
      <c r="AC516" s="4">
        <f>Table1[[#This Row],[ScenarioRev]] - Table1[[#This Row],[ScenarioCostOfGoods]]</f>
        <v>1545.1589999999997</v>
      </c>
      <c r="AD516" s="6">
        <v>4.0000000000000001E-3</v>
      </c>
      <c r="AE516" s="6">
        <f>MIN(Table1[[#This Row],[DiscountPct]], WhatIf!$B$2)</f>
        <v>4.0000000000000001E-3</v>
      </c>
      <c r="AF516" s="6">
        <f>IF(Table1[[#This Row],[DiscountPct]]&gt;0.2, 1, 0)</f>
        <v>0</v>
      </c>
      <c r="AG516" s="6" t="str">
        <f t="shared" si="115"/>
        <v>High</v>
      </c>
      <c r="AH516" s="6">
        <f t="shared" si="116"/>
        <v>0.4265849223451546</v>
      </c>
      <c r="AI516" s="5">
        <v>7</v>
      </c>
      <c r="AJ516" s="6">
        <f>Table1[[#This Row],[Quantity]]*(1+WhatIf!$B$4)</f>
        <v>7.7000000000000011</v>
      </c>
    </row>
    <row r="517" spans="1:36" x14ac:dyDescent="0.3">
      <c r="A517" t="s">
        <v>516</v>
      </c>
      <c r="B517" s="3">
        <v>44980</v>
      </c>
      <c r="C517" s="3">
        <v>45003</v>
      </c>
      <c r="D517" s="3">
        <f t="shared" si="105"/>
        <v>45003</v>
      </c>
      <c r="E517" s="4">
        <f t="shared" si="104"/>
        <v>23</v>
      </c>
      <c r="F517" s="4">
        <f t="shared" si="106"/>
        <v>23</v>
      </c>
      <c r="G517" s="4">
        <f>IF(Table1[[#This Row],[CorrectedLeadTimeDays]]&lt;=7, 1, 0)</f>
        <v>0</v>
      </c>
      <c r="H517" s="4" t="str">
        <f t="shared" si="107"/>
        <v>February</v>
      </c>
      <c r="I517" s="4" t="str">
        <f t="shared" si="108"/>
        <v>Q1-2023</v>
      </c>
      <c r="J517" s="4" t="str">
        <f t="shared" si="109"/>
        <v>2023-01</v>
      </c>
      <c r="K517" s="3">
        <f t="shared" si="110"/>
        <v>44938</v>
      </c>
      <c r="L517" t="s">
        <v>647</v>
      </c>
      <c r="M517" t="s">
        <v>659</v>
      </c>
      <c r="N517" t="s">
        <v>699</v>
      </c>
      <c r="O517" t="s">
        <v>702</v>
      </c>
      <c r="P517" t="s">
        <v>710</v>
      </c>
      <c r="Q517" t="s">
        <v>723</v>
      </c>
      <c r="R517">
        <f t="shared" si="111"/>
        <v>1</v>
      </c>
      <c r="S517" t="s">
        <v>728</v>
      </c>
      <c r="T517" t="s">
        <v>1235</v>
      </c>
      <c r="U517" s="4">
        <v>770.11</v>
      </c>
      <c r="V517" s="4">
        <f>Table1[[#This Row],[UnitCost]]*(1+WhatIf!$B$3)</f>
        <v>808.6155</v>
      </c>
      <c r="W517" s="4">
        <f t="shared" si="112"/>
        <v>5390.77</v>
      </c>
      <c r="X517" s="4">
        <f>Table1[[#This Row],[ScenarioRev]]-Table1[[#This Row],[ScenarioUnitCost]]</f>
        <v>11147.485734000002</v>
      </c>
      <c r="Y517" s="4">
        <v>1667.82</v>
      </c>
      <c r="Z517" s="4">
        <f t="shared" si="113"/>
        <v>10869.182940000001</v>
      </c>
      <c r="AA517" s="4">
        <f>Table1[[#This Row],[ScenarioQuanity]]*Table1[[#This Row],[UnitPrice]]*(1-Table1[[#This Row],[ScenarioDiscPct]])</f>
        <v>11956.101234000002</v>
      </c>
      <c r="AB517" s="4">
        <f t="shared" si="114"/>
        <v>5478.4129400000002</v>
      </c>
      <c r="AC517" s="4">
        <f>Table1[[#This Row],[ScenarioRev]] - Table1[[#This Row],[ScenarioCostOfGoods]]</f>
        <v>808.61549999999988</v>
      </c>
      <c r="AD517" s="6">
        <v>6.9000000000000006E-2</v>
      </c>
      <c r="AE517" s="6">
        <f>MIN(Table1[[#This Row],[DiscountPct]], WhatIf!$B$2)</f>
        <v>6.9000000000000006E-2</v>
      </c>
      <c r="AF517" s="6">
        <f>IF(Table1[[#This Row],[DiscountPct]]&gt;0.2, 1, 0)</f>
        <v>0</v>
      </c>
      <c r="AG517" s="6" t="str">
        <f t="shared" si="115"/>
        <v>High</v>
      </c>
      <c r="AH517" s="6">
        <f t="shared" si="116"/>
        <v>0.50403171703355287</v>
      </c>
      <c r="AI517" s="5">
        <v>7</v>
      </c>
      <c r="AJ517" s="6">
        <f>Table1[[#This Row],[Quantity]]*(1+WhatIf!$B$4)</f>
        <v>7.7000000000000011</v>
      </c>
    </row>
    <row r="518" spans="1:36" x14ac:dyDescent="0.3">
      <c r="A518" t="s">
        <v>611</v>
      </c>
      <c r="B518" s="3">
        <v>44933</v>
      </c>
      <c r="C518" s="3">
        <v>44956</v>
      </c>
      <c r="D518" s="3">
        <f t="shared" si="105"/>
        <v>44956</v>
      </c>
      <c r="E518" s="4">
        <f t="shared" si="104"/>
        <v>23</v>
      </c>
      <c r="F518" s="4">
        <f t="shared" si="106"/>
        <v>23</v>
      </c>
      <c r="G518" s="4">
        <f>IF(Table1[[#This Row],[CorrectedLeadTimeDays]]&lt;=7, 1, 0)</f>
        <v>0</v>
      </c>
      <c r="H518" s="4" t="str">
        <f t="shared" si="107"/>
        <v>January</v>
      </c>
      <c r="I518" s="4" t="str">
        <f t="shared" si="108"/>
        <v>Q1-2023</v>
      </c>
      <c r="J518" s="4" t="str">
        <f t="shared" si="109"/>
        <v>2023-01</v>
      </c>
      <c r="K518" s="3">
        <f t="shared" si="110"/>
        <v>44933</v>
      </c>
      <c r="L518" t="s">
        <v>646</v>
      </c>
      <c r="M518" t="s">
        <v>661</v>
      </c>
      <c r="N518" t="s">
        <v>695</v>
      </c>
      <c r="O518" t="s">
        <v>704</v>
      </c>
      <c r="P518" t="s">
        <v>708</v>
      </c>
      <c r="Q518" t="s">
        <v>720</v>
      </c>
      <c r="R518">
        <f t="shared" si="111"/>
        <v>0</v>
      </c>
      <c r="S518" t="s">
        <v>728</v>
      </c>
      <c r="T518" t="s">
        <v>1329</v>
      </c>
      <c r="U518" s="4">
        <v>299.02</v>
      </c>
      <c r="V518" s="4">
        <f>Table1[[#This Row],[UnitCost]]*(1+WhatIf!$B$3)</f>
        <v>313.971</v>
      </c>
      <c r="W518" s="4">
        <f t="shared" si="112"/>
        <v>1495.1</v>
      </c>
      <c r="X518" s="4">
        <f>Table1[[#This Row],[ScenarioRev]]-Table1[[#This Row],[ScenarioUnitCost]]</f>
        <v>3113.86</v>
      </c>
      <c r="Y518" s="4">
        <v>724.7</v>
      </c>
      <c r="Z518" s="4">
        <f t="shared" si="113"/>
        <v>3116.21</v>
      </c>
      <c r="AA518" s="4">
        <f>Table1[[#This Row],[ScenarioQuanity]]*Table1[[#This Row],[UnitPrice]]*(1-Table1[[#This Row],[ScenarioDiscPct]])</f>
        <v>3427.8310000000001</v>
      </c>
      <c r="AB518" s="4">
        <f t="shared" si="114"/>
        <v>1621.1100000000001</v>
      </c>
      <c r="AC518" s="4">
        <f>Table1[[#This Row],[ScenarioRev]] - Table1[[#This Row],[ScenarioCostOfGoods]]</f>
        <v>313.971</v>
      </c>
      <c r="AD518" s="6">
        <v>0.14000000000000001</v>
      </c>
      <c r="AE518" s="6">
        <f>MIN(Table1[[#This Row],[DiscountPct]], WhatIf!$B$2)</f>
        <v>0.14000000000000001</v>
      </c>
      <c r="AF518" s="6">
        <f>IF(Table1[[#This Row],[DiscountPct]]&gt;0.2, 1, 0)</f>
        <v>0</v>
      </c>
      <c r="AG518" s="6" t="str">
        <f t="shared" si="115"/>
        <v>Low</v>
      </c>
      <c r="AH518" s="6">
        <f t="shared" si="116"/>
        <v>0.52021847051386139</v>
      </c>
      <c r="AI518" s="5">
        <v>5</v>
      </c>
      <c r="AJ518" s="6">
        <f>Table1[[#This Row],[Quantity]]*(1+WhatIf!$B$4)</f>
        <v>5.5</v>
      </c>
    </row>
    <row r="519" spans="1:36" x14ac:dyDescent="0.3">
      <c r="A519" t="s">
        <v>70</v>
      </c>
      <c r="B519" s="3">
        <v>45753</v>
      </c>
      <c r="C519" s="3">
        <v>45777</v>
      </c>
      <c r="D519" s="3">
        <f t="shared" si="105"/>
        <v>45777</v>
      </c>
      <c r="E519" s="4">
        <f t="shared" si="104"/>
        <v>24</v>
      </c>
      <c r="F519" s="4">
        <f t="shared" si="106"/>
        <v>24</v>
      </c>
      <c r="G519" s="4">
        <f>IF(Table1[[#This Row],[CorrectedLeadTimeDays]]&lt;=7, 1, 0)</f>
        <v>0</v>
      </c>
      <c r="H519" s="4" t="str">
        <f t="shared" si="107"/>
        <v>April</v>
      </c>
      <c r="I519" s="4" t="str">
        <f t="shared" si="108"/>
        <v>Q2-2025</v>
      </c>
      <c r="J519" s="4" t="str">
        <f t="shared" si="109"/>
        <v>2023-01</v>
      </c>
      <c r="K519" s="3">
        <f t="shared" si="110"/>
        <v>44955</v>
      </c>
      <c r="L519" t="s">
        <v>648</v>
      </c>
      <c r="M519" t="s">
        <v>655</v>
      </c>
      <c r="N519" t="s">
        <v>672</v>
      </c>
      <c r="O519" t="s">
        <v>702</v>
      </c>
      <c r="P519" t="s">
        <v>708</v>
      </c>
      <c r="Q519" t="s">
        <v>723</v>
      </c>
      <c r="R519">
        <f t="shared" si="111"/>
        <v>26</v>
      </c>
      <c r="S519" t="s">
        <v>732</v>
      </c>
      <c r="T519" t="s">
        <v>789</v>
      </c>
      <c r="U519" s="4">
        <v>855.78</v>
      </c>
      <c r="V519" s="4">
        <f>Table1[[#This Row],[UnitCost]]*(1+WhatIf!$B$3)</f>
        <v>898.56899999999996</v>
      </c>
      <c r="W519" s="4">
        <f t="shared" si="112"/>
        <v>32519.64</v>
      </c>
      <c r="X519" s="4">
        <f>Table1[[#This Row],[ScenarioRev]]-Table1[[#This Row],[ScenarioUnitCost]]</f>
        <v>33950.305851999998</v>
      </c>
      <c r="Y519" s="4">
        <v>977.38</v>
      </c>
      <c r="Z519" s="4">
        <f t="shared" si="113"/>
        <v>31680.795320000001</v>
      </c>
      <c r="AA519" s="4">
        <f>Table1[[#This Row],[ScenarioQuanity]]*Table1[[#This Row],[UnitPrice]]*(1-Table1[[#This Row],[ScenarioDiscPct]])</f>
        <v>34848.874852000001</v>
      </c>
      <c r="AB519" s="4">
        <f t="shared" si="114"/>
        <v>-838.84467999999833</v>
      </c>
      <c r="AC519" s="4">
        <f>Table1[[#This Row],[ScenarioRev]] - Table1[[#This Row],[ScenarioCostOfGoods]]</f>
        <v>898.56900000000314</v>
      </c>
      <c r="AD519" s="6">
        <v>0.14699999999999999</v>
      </c>
      <c r="AE519" s="6">
        <f>MIN(Table1[[#This Row],[DiscountPct]], WhatIf!$B$2)</f>
        <v>0.14699999999999999</v>
      </c>
      <c r="AF519" s="6">
        <f>IF(Table1[[#This Row],[DiscountPct]]&gt;0.2, 1, 0)</f>
        <v>0</v>
      </c>
      <c r="AG519" s="6" t="str">
        <f t="shared" si="115"/>
        <v>High</v>
      </c>
      <c r="AH519" s="6">
        <f t="shared" si="116"/>
        <v>-2.6478018355506307E-2</v>
      </c>
      <c r="AI519" s="5">
        <v>38</v>
      </c>
      <c r="AJ519" s="6">
        <f>Table1[[#This Row],[Quantity]]*(1+WhatIf!$B$4)</f>
        <v>41.800000000000004</v>
      </c>
    </row>
    <row r="520" spans="1:36" x14ac:dyDescent="0.3">
      <c r="A520" t="s">
        <v>410</v>
      </c>
      <c r="B520" s="3">
        <v>45890</v>
      </c>
      <c r="C520" s="3">
        <v>45914</v>
      </c>
      <c r="D520" s="3">
        <f t="shared" si="105"/>
        <v>45914</v>
      </c>
      <c r="E520" s="4">
        <f t="shared" si="104"/>
        <v>24</v>
      </c>
      <c r="F520" s="4">
        <f t="shared" si="106"/>
        <v>24</v>
      </c>
      <c r="G520" s="4">
        <f>IF(Table1[[#This Row],[CorrectedLeadTimeDays]]&lt;=7, 1, 0)</f>
        <v>0</v>
      </c>
      <c r="H520" s="4" t="str">
        <f t="shared" si="107"/>
        <v>August</v>
      </c>
      <c r="I520" s="4" t="str">
        <f t="shared" si="108"/>
        <v>Q3-2025</v>
      </c>
      <c r="J520" s="4" t="str">
        <f t="shared" si="109"/>
        <v>2023-01</v>
      </c>
      <c r="K520" s="3">
        <f t="shared" si="110"/>
        <v>44948</v>
      </c>
      <c r="L520" t="s">
        <v>649</v>
      </c>
      <c r="M520" t="s">
        <v>656</v>
      </c>
      <c r="N520" t="s">
        <v>671</v>
      </c>
      <c r="O520" t="s">
        <v>703</v>
      </c>
      <c r="P520" t="s">
        <v>708</v>
      </c>
      <c r="Q520" t="s">
        <v>720</v>
      </c>
      <c r="R520">
        <f t="shared" si="111"/>
        <v>30</v>
      </c>
      <c r="S520" t="s">
        <v>732</v>
      </c>
      <c r="T520" t="s">
        <v>1129</v>
      </c>
      <c r="U520" s="4">
        <v>1397.67</v>
      </c>
      <c r="V520" s="4">
        <f>Table1[[#This Row],[UnitCost]]*(1+WhatIf!$B$3)</f>
        <v>1467.5535000000002</v>
      </c>
      <c r="W520" s="4">
        <f t="shared" si="112"/>
        <v>27953.4</v>
      </c>
      <c r="X520" s="4">
        <f>Table1[[#This Row],[ScenarioRev]]-Table1[[#This Row],[ScenarioUnitCost]]</f>
        <v>60326.90208</v>
      </c>
      <c r="Y520" s="4">
        <v>3131.37</v>
      </c>
      <c r="Z520" s="4">
        <f t="shared" si="113"/>
        <v>56176.777799999996</v>
      </c>
      <c r="AA520" s="4">
        <f>Table1[[#This Row],[ScenarioQuanity]]*Table1[[#This Row],[UnitPrice]]*(1-Table1[[#This Row],[ScenarioDiscPct]])</f>
        <v>61794.455580000002</v>
      </c>
      <c r="AB520" s="4">
        <f t="shared" si="114"/>
        <v>28223.377799999995</v>
      </c>
      <c r="AC520" s="4">
        <f>Table1[[#This Row],[ScenarioRev]] - Table1[[#This Row],[ScenarioCostOfGoods]]</f>
        <v>1467.5535000000018</v>
      </c>
      <c r="AD520" s="6">
        <v>0.10299999999999999</v>
      </c>
      <c r="AE520" s="6">
        <f>MIN(Table1[[#This Row],[DiscountPct]], WhatIf!$B$2)</f>
        <v>0.10299999999999999</v>
      </c>
      <c r="AF520" s="6">
        <f>IF(Table1[[#This Row],[DiscountPct]]&gt;0.2, 1, 0)</f>
        <v>0</v>
      </c>
      <c r="AG520" s="6" t="str">
        <f t="shared" si="115"/>
        <v>High</v>
      </c>
      <c r="AH520" s="6">
        <f t="shared" si="116"/>
        <v>0.50240293062874808</v>
      </c>
      <c r="AI520" s="5">
        <v>20</v>
      </c>
      <c r="AJ520" s="6">
        <f>Table1[[#This Row],[Quantity]]*(1+WhatIf!$B$4)</f>
        <v>22</v>
      </c>
    </row>
    <row r="521" spans="1:36" x14ac:dyDescent="0.3">
      <c r="A521" t="s">
        <v>601</v>
      </c>
      <c r="B521" s="3">
        <v>45364</v>
      </c>
      <c r="C521" s="3">
        <v>45388</v>
      </c>
      <c r="D521" s="3">
        <f t="shared" si="105"/>
        <v>45388</v>
      </c>
      <c r="E521" s="4">
        <f t="shared" si="104"/>
        <v>24</v>
      </c>
      <c r="F521" s="4">
        <f t="shared" si="106"/>
        <v>24</v>
      </c>
      <c r="G521" s="4">
        <f>IF(Table1[[#This Row],[CorrectedLeadTimeDays]]&lt;=7, 1, 0)</f>
        <v>0</v>
      </c>
      <c r="H521" s="4" t="str">
        <f t="shared" si="107"/>
        <v>March</v>
      </c>
      <c r="I521" s="4" t="str">
        <f t="shared" si="108"/>
        <v>Q1-2024</v>
      </c>
      <c r="J521" s="4" t="str">
        <f t="shared" si="109"/>
        <v>2023-01</v>
      </c>
      <c r="K521" s="3">
        <f t="shared" si="110"/>
        <v>44941</v>
      </c>
      <c r="L521" t="s">
        <v>646</v>
      </c>
      <c r="M521" t="s">
        <v>651</v>
      </c>
      <c r="N521" t="s">
        <v>669</v>
      </c>
      <c r="O521" t="s">
        <v>704</v>
      </c>
      <c r="P521" t="s">
        <v>710</v>
      </c>
      <c r="Q521" t="s">
        <v>716</v>
      </c>
      <c r="R521">
        <f t="shared" si="111"/>
        <v>13</v>
      </c>
      <c r="S521" t="s">
        <v>727</v>
      </c>
      <c r="T521" t="s">
        <v>1319</v>
      </c>
      <c r="U521" s="4">
        <v>1232.78</v>
      </c>
      <c r="V521" s="4">
        <f>Table1[[#This Row],[UnitCost]]*(1+WhatIf!$B$3)</f>
        <v>1294.4190000000001</v>
      </c>
      <c r="W521" s="4">
        <f t="shared" si="112"/>
        <v>19724.48</v>
      </c>
      <c r="X521" s="4">
        <f>Table1[[#This Row],[ScenarioRev]]-Table1[[#This Row],[ScenarioUnitCost]]</f>
        <v>26349.852600000002</v>
      </c>
      <c r="Y521" s="4">
        <v>1731.75</v>
      </c>
      <c r="Z521" s="4">
        <f t="shared" si="113"/>
        <v>25131.155999999999</v>
      </c>
      <c r="AA521" s="4">
        <f>Table1[[#This Row],[ScenarioQuanity]]*Table1[[#This Row],[UnitPrice]]*(1-Table1[[#This Row],[ScenarioDiscPct]])</f>
        <v>27644.271600000004</v>
      </c>
      <c r="AB521" s="4">
        <f t="shared" si="114"/>
        <v>5406.6759999999995</v>
      </c>
      <c r="AC521" s="4">
        <f>Table1[[#This Row],[ScenarioRev]] - Table1[[#This Row],[ScenarioCostOfGoods]]</f>
        <v>1294.4190000000017</v>
      </c>
      <c r="AD521" s="6">
        <v>9.2999999999999999E-2</v>
      </c>
      <c r="AE521" s="6">
        <f>MIN(Table1[[#This Row],[DiscountPct]], WhatIf!$B$2)</f>
        <v>9.2999999999999999E-2</v>
      </c>
      <c r="AF521" s="6">
        <f>IF(Table1[[#This Row],[DiscountPct]]&gt;0.2, 1, 0)</f>
        <v>0</v>
      </c>
      <c r="AG521" s="6" t="str">
        <f t="shared" si="115"/>
        <v>High</v>
      </c>
      <c r="AH521" s="6">
        <f t="shared" si="116"/>
        <v>0.21513837246484005</v>
      </c>
      <c r="AI521" s="5">
        <v>16</v>
      </c>
      <c r="AJ521" s="6">
        <f>Table1[[#This Row],[Quantity]]*(1+WhatIf!$B$4)</f>
        <v>17.600000000000001</v>
      </c>
    </row>
    <row r="522" spans="1:36" x14ac:dyDescent="0.3">
      <c r="A522" t="s">
        <v>96</v>
      </c>
      <c r="B522" s="3">
        <v>45157</v>
      </c>
      <c r="C522" s="3">
        <v>45181</v>
      </c>
      <c r="D522" s="3">
        <f t="shared" si="105"/>
        <v>45181</v>
      </c>
      <c r="E522" s="4">
        <f t="shared" si="104"/>
        <v>24</v>
      </c>
      <c r="F522" s="4">
        <f t="shared" si="106"/>
        <v>24</v>
      </c>
      <c r="G522" s="4">
        <f>IF(Table1[[#This Row],[CorrectedLeadTimeDays]]&lt;=7, 1, 0)</f>
        <v>0</v>
      </c>
      <c r="H522" s="4" t="str">
        <f t="shared" si="107"/>
        <v>August</v>
      </c>
      <c r="I522" s="4" t="str">
        <f t="shared" si="108"/>
        <v>Q3-2023</v>
      </c>
      <c r="J522" s="4" t="str">
        <f t="shared" si="109"/>
        <v>2023-01</v>
      </c>
      <c r="K522" s="3">
        <f t="shared" si="110"/>
        <v>44928</v>
      </c>
      <c r="L522" t="s">
        <v>648</v>
      </c>
      <c r="M522" t="s">
        <v>653</v>
      </c>
      <c r="N522" t="s">
        <v>688</v>
      </c>
      <c r="O522" t="s">
        <v>706</v>
      </c>
      <c r="P522" t="s">
        <v>707</v>
      </c>
      <c r="Q522" t="s">
        <v>714</v>
      </c>
      <c r="R522">
        <f t="shared" si="111"/>
        <v>7</v>
      </c>
      <c r="S522" t="s">
        <v>728</v>
      </c>
      <c r="T522" t="s">
        <v>815</v>
      </c>
      <c r="U522" s="4">
        <v>1183.95</v>
      </c>
      <c r="V522" s="4">
        <f>Table1[[#This Row],[UnitCost]]*(1+WhatIf!$B$3)</f>
        <v>1243.1475</v>
      </c>
      <c r="W522" s="4">
        <f t="shared" si="112"/>
        <v>18943.2</v>
      </c>
      <c r="X522" s="4">
        <f>Table1[[#This Row],[ScenarioRev]]-Table1[[#This Row],[ScenarioUnitCost]]</f>
        <v>19926.554900000003</v>
      </c>
      <c r="Y522" s="4">
        <v>1503.53</v>
      </c>
      <c r="Z522" s="4">
        <f t="shared" si="113"/>
        <v>18258.868320000001</v>
      </c>
      <c r="AA522" s="4">
        <f>Table1[[#This Row],[ScenarioQuanity]]*Table1[[#This Row],[UnitPrice]]*(1-Table1[[#This Row],[ScenarioDiscPct]])</f>
        <v>21169.702400000002</v>
      </c>
      <c r="AB522" s="4">
        <f t="shared" si="114"/>
        <v>-684.33167999999932</v>
      </c>
      <c r="AC522" s="4">
        <f>Table1[[#This Row],[ScenarioRev]] - Table1[[#This Row],[ScenarioCostOfGoods]]</f>
        <v>1243.1474999999991</v>
      </c>
      <c r="AD522" s="6">
        <v>0.24099999999999999</v>
      </c>
      <c r="AE522" s="6">
        <f>MIN(Table1[[#This Row],[DiscountPct]], WhatIf!$B$2)</f>
        <v>0.2</v>
      </c>
      <c r="AF522" s="6">
        <f>IF(Table1[[#This Row],[DiscountPct]]&gt;0.2, 1, 0)</f>
        <v>1</v>
      </c>
      <c r="AG522" s="6" t="str">
        <f t="shared" si="115"/>
        <v>High</v>
      </c>
      <c r="AH522" s="6">
        <f t="shared" si="116"/>
        <v>-3.7479413729623705E-2</v>
      </c>
      <c r="AI522" s="5">
        <v>16</v>
      </c>
      <c r="AJ522" s="6">
        <f>Table1[[#This Row],[Quantity]]*(1+WhatIf!$B$4)</f>
        <v>17.600000000000001</v>
      </c>
    </row>
    <row r="523" spans="1:36" x14ac:dyDescent="0.3">
      <c r="A523" t="s">
        <v>28</v>
      </c>
      <c r="B523" s="3">
        <v>45311</v>
      </c>
      <c r="C523" s="3">
        <v>45335</v>
      </c>
      <c r="D523" s="3">
        <f t="shared" si="105"/>
        <v>45335</v>
      </c>
      <c r="E523" s="4">
        <f t="shared" si="104"/>
        <v>24</v>
      </c>
      <c r="F523" s="4">
        <f t="shared" si="106"/>
        <v>24</v>
      </c>
      <c r="G523" s="4">
        <f>IF(Table1[[#This Row],[CorrectedLeadTimeDays]]&lt;=7, 1, 0)</f>
        <v>0</v>
      </c>
      <c r="H523" s="4" t="str">
        <f t="shared" si="107"/>
        <v>January</v>
      </c>
      <c r="I523" s="4" t="str">
        <f t="shared" si="108"/>
        <v>Q1-2024</v>
      </c>
      <c r="J523" s="4" t="str">
        <f t="shared" si="109"/>
        <v>2023-01</v>
      </c>
      <c r="K523" s="3">
        <f t="shared" si="110"/>
        <v>44936</v>
      </c>
      <c r="L523" t="s">
        <v>649</v>
      </c>
      <c r="M523" t="s">
        <v>657</v>
      </c>
      <c r="N523" t="s">
        <v>673</v>
      </c>
      <c r="O523" t="s">
        <v>701</v>
      </c>
      <c r="P523" t="s">
        <v>707</v>
      </c>
      <c r="Q523" t="s">
        <v>722</v>
      </c>
      <c r="R523">
        <f t="shared" si="111"/>
        <v>12</v>
      </c>
      <c r="S523" t="s">
        <v>728</v>
      </c>
      <c r="T523" t="s">
        <v>747</v>
      </c>
      <c r="U523" s="4">
        <v>643.53</v>
      </c>
      <c r="V523" s="4">
        <f>Table1[[#This Row],[UnitCost]]*(1+WhatIf!$B$3)</f>
        <v>675.70650000000001</v>
      </c>
      <c r="W523" s="4">
        <f t="shared" si="112"/>
        <v>9652.9499999999989</v>
      </c>
      <c r="X523" s="4">
        <f>Table1[[#This Row],[ScenarioRev]]-Table1[[#This Row],[ScenarioUnitCost]]</f>
        <v>23067.958500000001</v>
      </c>
      <c r="Y523" s="4">
        <v>1439.01</v>
      </c>
      <c r="Z523" s="4">
        <f t="shared" si="113"/>
        <v>21585.15</v>
      </c>
      <c r="AA523" s="4">
        <f>Table1[[#This Row],[ScenarioQuanity]]*Table1[[#This Row],[UnitPrice]]*(1-Table1[[#This Row],[ScenarioDiscPct]])</f>
        <v>23743.665000000001</v>
      </c>
      <c r="AB523" s="4">
        <f t="shared" si="114"/>
        <v>11932.200000000003</v>
      </c>
      <c r="AC523" s="4">
        <f>Table1[[#This Row],[ScenarioRev]] - Table1[[#This Row],[ScenarioCostOfGoods]]</f>
        <v>675.70650000000023</v>
      </c>
      <c r="AD523" s="6">
        <v>0</v>
      </c>
      <c r="AE523" s="6">
        <f>MIN(Table1[[#This Row],[DiscountPct]], WhatIf!$B$2)</f>
        <v>0</v>
      </c>
      <c r="AF523" s="6">
        <f>IF(Table1[[#This Row],[DiscountPct]]&gt;0.2, 1, 0)</f>
        <v>0</v>
      </c>
      <c r="AG523" s="6" t="str">
        <f t="shared" si="115"/>
        <v>High</v>
      </c>
      <c r="AH523" s="6">
        <f t="shared" si="116"/>
        <v>0.55279671440782208</v>
      </c>
      <c r="AI523" s="5">
        <v>15</v>
      </c>
      <c r="AJ523" s="6">
        <f>Table1[[#This Row],[Quantity]]*(1+WhatIf!$B$4)</f>
        <v>16.5</v>
      </c>
    </row>
    <row r="524" spans="1:36" x14ac:dyDescent="0.3">
      <c r="A524" t="s">
        <v>221</v>
      </c>
      <c r="B524" s="3">
        <v>45678</v>
      </c>
      <c r="C524" s="3">
        <v>45702</v>
      </c>
      <c r="D524" s="3">
        <f t="shared" si="105"/>
        <v>45702</v>
      </c>
      <c r="E524" s="4">
        <f t="shared" si="104"/>
        <v>24</v>
      </c>
      <c r="F524" s="4">
        <f t="shared" si="106"/>
        <v>24</v>
      </c>
      <c r="G524" s="4">
        <f>IF(Table1[[#This Row],[CorrectedLeadTimeDays]]&lt;=7, 1, 0)</f>
        <v>0</v>
      </c>
      <c r="H524" s="4" t="str">
        <f t="shared" si="107"/>
        <v>January</v>
      </c>
      <c r="I524" s="4" t="str">
        <f t="shared" si="108"/>
        <v>Q1-2025</v>
      </c>
      <c r="J524" s="4" t="str">
        <f t="shared" si="109"/>
        <v>2023-01</v>
      </c>
      <c r="K524" s="3">
        <f t="shared" si="110"/>
        <v>44946</v>
      </c>
      <c r="L524" t="s">
        <v>646</v>
      </c>
      <c r="M524" t="s">
        <v>650</v>
      </c>
      <c r="N524" t="s">
        <v>664</v>
      </c>
      <c r="O524" t="s">
        <v>705</v>
      </c>
      <c r="P524" t="s">
        <v>707</v>
      </c>
      <c r="Q524" t="s">
        <v>713</v>
      </c>
      <c r="R524">
        <f t="shared" si="111"/>
        <v>24</v>
      </c>
      <c r="S524" t="s">
        <v>733</v>
      </c>
      <c r="T524" t="s">
        <v>941</v>
      </c>
      <c r="U524" s="4">
        <v>1030.44</v>
      </c>
      <c r="V524" s="4">
        <f>Table1[[#This Row],[UnitCost]]*(1+WhatIf!$B$3)</f>
        <v>1081.9620000000002</v>
      </c>
      <c r="W524" s="4">
        <f t="shared" si="112"/>
        <v>13395.720000000001</v>
      </c>
      <c r="X524" s="4">
        <f>Table1[[#This Row],[ScenarioRev]]-Table1[[#This Row],[ScenarioUnitCost]]</f>
        <v>30142.655424</v>
      </c>
      <c r="Y524" s="4">
        <v>2562.84</v>
      </c>
      <c r="Z524" s="4">
        <f t="shared" si="113"/>
        <v>28386.015839999996</v>
      </c>
      <c r="AA524" s="4">
        <f>Table1[[#This Row],[ScenarioQuanity]]*Table1[[#This Row],[UnitPrice]]*(1-Table1[[#This Row],[ScenarioDiscPct]])</f>
        <v>31224.617424</v>
      </c>
      <c r="AB524" s="4">
        <f t="shared" si="114"/>
        <v>14990.295839999995</v>
      </c>
      <c r="AC524" s="4">
        <f>Table1[[#This Row],[ScenarioRev]] - Table1[[#This Row],[ScenarioCostOfGoods]]</f>
        <v>1081.9619999999995</v>
      </c>
      <c r="AD524" s="6">
        <v>0.14799999999999999</v>
      </c>
      <c r="AE524" s="6">
        <f>MIN(Table1[[#This Row],[DiscountPct]], WhatIf!$B$2)</f>
        <v>0.14799999999999999</v>
      </c>
      <c r="AF524" s="6">
        <f>IF(Table1[[#This Row],[DiscountPct]]&gt;0.2, 1, 0)</f>
        <v>0</v>
      </c>
      <c r="AG524" s="6" t="str">
        <f t="shared" si="115"/>
        <v>High</v>
      </c>
      <c r="AH524" s="6">
        <f t="shared" si="116"/>
        <v>0.52808734852027039</v>
      </c>
      <c r="AI524" s="5">
        <v>13</v>
      </c>
      <c r="AJ524" s="6">
        <f>Table1[[#This Row],[Quantity]]*(1+WhatIf!$B$4)</f>
        <v>14.3</v>
      </c>
    </row>
    <row r="525" spans="1:36" x14ac:dyDescent="0.3">
      <c r="A525" t="s">
        <v>136</v>
      </c>
      <c r="B525" s="3">
        <v>45249</v>
      </c>
      <c r="C525" s="3">
        <v>45273</v>
      </c>
      <c r="D525" s="3">
        <f t="shared" si="105"/>
        <v>45273</v>
      </c>
      <c r="E525" s="4">
        <f t="shared" si="104"/>
        <v>24</v>
      </c>
      <c r="F525" s="4">
        <f t="shared" si="106"/>
        <v>24</v>
      </c>
      <c r="G525" s="4">
        <f>IF(Table1[[#This Row],[CorrectedLeadTimeDays]]&lt;=7, 1, 0)</f>
        <v>0</v>
      </c>
      <c r="H525" s="4" t="str">
        <f t="shared" si="107"/>
        <v>November</v>
      </c>
      <c r="I525" s="4" t="str">
        <f t="shared" si="108"/>
        <v>Q4-2023</v>
      </c>
      <c r="J525" s="4" t="str">
        <f t="shared" si="109"/>
        <v>2023-01</v>
      </c>
      <c r="K525" s="3">
        <f t="shared" si="110"/>
        <v>44936</v>
      </c>
      <c r="L525" t="s">
        <v>649</v>
      </c>
      <c r="M525" t="s">
        <v>657</v>
      </c>
      <c r="N525" t="s">
        <v>679</v>
      </c>
      <c r="O525" t="s">
        <v>703</v>
      </c>
      <c r="P525" t="s">
        <v>711</v>
      </c>
      <c r="Q525" t="s">
        <v>722</v>
      </c>
      <c r="R525">
        <f t="shared" si="111"/>
        <v>10</v>
      </c>
      <c r="S525" t="s">
        <v>732</v>
      </c>
      <c r="T525" t="s">
        <v>855</v>
      </c>
      <c r="U525" s="4">
        <v>1297.42</v>
      </c>
      <c r="V525" s="4">
        <f>Table1[[#This Row],[UnitCost]]*(1+WhatIf!$B$3)</f>
        <v>1362.2910000000002</v>
      </c>
      <c r="W525" s="4">
        <f t="shared" si="112"/>
        <v>11676.78</v>
      </c>
      <c r="X525" s="4">
        <f>Table1[[#This Row],[ScenarioRev]]-Table1[[#This Row],[ScenarioUnitCost]]</f>
        <v>23919.389192999999</v>
      </c>
      <c r="Y525" s="4">
        <v>2742.97</v>
      </c>
      <c r="Z525" s="4">
        <f t="shared" si="113"/>
        <v>22983.34563</v>
      </c>
      <c r="AA525" s="4">
        <f>Table1[[#This Row],[ScenarioQuanity]]*Table1[[#This Row],[UnitPrice]]*(1-Table1[[#This Row],[ScenarioDiscPct]])</f>
        <v>25281.680193</v>
      </c>
      <c r="AB525" s="4">
        <f t="shared" si="114"/>
        <v>11306.565629999999</v>
      </c>
      <c r="AC525" s="4">
        <f>Table1[[#This Row],[ScenarioRev]] - Table1[[#This Row],[ScenarioCostOfGoods]]</f>
        <v>1362.2910000000011</v>
      </c>
      <c r="AD525" s="6">
        <v>6.9000000000000006E-2</v>
      </c>
      <c r="AE525" s="6">
        <f>MIN(Table1[[#This Row],[DiscountPct]], WhatIf!$B$2)</f>
        <v>6.9000000000000006E-2</v>
      </c>
      <c r="AF525" s="6">
        <f>IF(Table1[[#This Row],[DiscountPct]]&gt;0.2, 1, 0)</f>
        <v>0</v>
      </c>
      <c r="AG525" s="6" t="str">
        <f t="shared" si="115"/>
        <v>High</v>
      </c>
      <c r="AH525" s="6">
        <f t="shared" si="116"/>
        <v>0.49194602961727291</v>
      </c>
      <c r="AI525" s="5">
        <v>9</v>
      </c>
      <c r="AJ525" s="6">
        <f>Table1[[#This Row],[Quantity]]*(1+WhatIf!$B$4)</f>
        <v>9.9</v>
      </c>
    </row>
    <row r="526" spans="1:36" x14ac:dyDescent="0.3">
      <c r="A526" t="s">
        <v>268</v>
      </c>
      <c r="B526" s="3">
        <v>45592</v>
      </c>
      <c r="C526" s="3">
        <v>45616</v>
      </c>
      <c r="D526" s="3">
        <f t="shared" si="105"/>
        <v>45616</v>
      </c>
      <c r="E526" s="4">
        <f t="shared" si="104"/>
        <v>24</v>
      </c>
      <c r="F526" s="4">
        <f t="shared" si="106"/>
        <v>24</v>
      </c>
      <c r="G526" s="4">
        <f>IF(Table1[[#This Row],[CorrectedLeadTimeDays]]&lt;=7, 1, 0)</f>
        <v>0</v>
      </c>
      <c r="H526" s="4" t="str">
        <f t="shared" si="107"/>
        <v>October</v>
      </c>
      <c r="I526" s="4" t="str">
        <f t="shared" si="108"/>
        <v>Q4-2024</v>
      </c>
      <c r="J526" s="4" t="str">
        <f t="shared" si="109"/>
        <v>2023-03</v>
      </c>
      <c r="K526" s="3">
        <f t="shared" si="110"/>
        <v>44988</v>
      </c>
      <c r="L526" t="s">
        <v>647</v>
      </c>
      <c r="M526" t="s">
        <v>652</v>
      </c>
      <c r="N526" t="s">
        <v>694</v>
      </c>
      <c r="O526" t="s">
        <v>703</v>
      </c>
      <c r="P526" t="s">
        <v>708</v>
      </c>
      <c r="Q526" t="s">
        <v>722</v>
      </c>
      <c r="R526">
        <f t="shared" si="111"/>
        <v>19</v>
      </c>
      <c r="S526" t="s">
        <v>732</v>
      </c>
      <c r="T526" t="s">
        <v>988</v>
      </c>
      <c r="U526" s="4">
        <v>317.25</v>
      </c>
      <c r="V526" s="4">
        <f>Table1[[#This Row],[UnitCost]]*(1+WhatIf!$B$3)</f>
        <v>333.11250000000001</v>
      </c>
      <c r="W526" s="4">
        <f t="shared" si="112"/>
        <v>2855.25</v>
      </c>
      <c r="X526" s="4">
        <f>Table1[[#This Row],[ScenarioRev]]-Table1[[#This Row],[ScenarioUnitCost]]</f>
        <v>6781.9901759999993</v>
      </c>
      <c r="Y526" s="4">
        <v>758.92</v>
      </c>
      <c r="Z526" s="4">
        <f t="shared" si="113"/>
        <v>6468.2751599999992</v>
      </c>
      <c r="AA526" s="4">
        <f>Table1[[#This Row],[ScenarioQuanity]]*Table1[[#This Row],[UnitPrice]]*(1-Table1[[#This Row],[ScenarioDiscPct]])</f>
        <v>7115.1026759999995</v>
      </c>
      <c r="AB526" s="4">
        <f t="shared" si="114"/>
        <v>3613.0251599999992</v>
      </c>
      <c r="AC526" s="4">
        <f>Table1[[#This Row],[ScenarioRev]] - Table1[[#This Row],[ScenarioCostOfGoods]]</f>
        <v>333.11250000000018</v>
      </c>
      <c r="AD526" s="6">
        <v>5.2999999999999999E-2</v>
      </c>
      <c r="AE526" s="6">
        <f>MIN(Table1[[#This Row],[DiscountPct]], WhatIf!$B$2)</f>
        <v>5.2999999999999999E-2</v>
      </c>
      <c r="AF526" s="6">
        <f>IF(Table1[[#This Row],[DiscountPct]]&gt;0.2, 1, 0)</f>
        <v>0</v>
      </c>
      <c r="AG526" s="6" t="str">
        <f t="shared" si="115"/>
        <v>Low</v>
      </c>
      <c r="AH526" s="6">
        <f t="shared" si="116"/>
        <v>0.5585762928489888</v>
      </c>
      <c r="AI526" s="5">
        <v>9</v>
      </c>
      <c r="AJ526" s="6">
        <f>Table1[[#This Row],[Quantity]]*(1+WhatIf!$B$4)</f>
        <v>9.9</v>
      </c>
    </row>
    <row r="527" spans="1:36" x14ac:dyDescent="0.3">
      <c r="A527" t="s">
        <v>561</v>
      </c>
      <c r="B527" s="3">
        <v>45177</v>
      </c>
      <c r="C527" s="3">
        <v>45201</v>
      </c>
      <c r="D527" s="3">
        <f t="shared" si="105"/>
        <v>45201</v>
      </c>
      <c r="E527" s="4">
        <f t="shared" si="104"/>
        <v>24</v>
      </c>
      <c r="F527" s="4">
        <f t="shared" si="106"/>
        <v>24</v>
      </c>
      <c r="G527" s="4">
        <f>IF(Table1[[#This Row],[CorrectedLeadTimeDays]]&lt;=7, 1, 0)</f>
        <v>0</v>
      </c>
      <c r="H527" s="4" t="str">
        <f t="shared" si="107"/>
        <v>September</v>
      </c>
      <c r="I527" s="4" t="str">
        <f t="shared" si="108"/>
        <v>Q3-2023</v>
      </c>
      <c r="J527" s="4" t="str">
        <f t="shared" si="109"/>
        <v>2023-01</v>
      </c>
      <c r="K527" s="3">
        <f t="shared" si="110"/>
        <v>44928</v>
      </c>
      <c r="L527" t="s">
        <v>648</v>
      </c>
      <c r="M527" t="s">
        <v>653</v>
      </c>
      <c r="N527" t="s">
        <v>667</v>
      </c>
      <c r="O527" t="s">
        <v>702</v>
      </c>
      <c r="P527" t="s">
        <v>711</v>
      </c>
      <c r="Q527" t="s">
        <v>720</v>
      </c>
      <c r="R527">
        <f t="shared" si="111"/>
        <v>8</v>
      </c>
      <c r="S527" t="s">
        <v>733</v>
      </c>
      <c r="T527" t="s">
        <v>1279</v>
      </c>
      <c r="U527" s="4">
        <v>1299.03</v>
      </c>
      <c r="V527" s="4">
        <f>Table1[[#This Row],[UnitCost]]*(1+WhatIf!$B$3)</f>
        <v>1363.9815000000001</v>
      </c>
      <c r="W527" s="4">
        <f t="shared" si="112"/>
        <v>10392.24</v>
      </c>
      <c r="X527" s="4">
        <f>Table1[[#This Row],[ScenarioRev]]-Table1[[#This Row],[ScenarioUnitCost]]</f>
        <v>15892.607300000001</v>
      </c>
      <c r="Y527" s="4">
        <v>2451.2199999999998</v>
      </c>
      <c r="Z527" s="4">
        <f t="shared" si="113"/>
        <v>15530.929919999999</v>
      </c>
      <c r="AA527" s="4">
        <f>Table1[[#This Row],[ScenarioQuanity]]*Table1[[#This Row],[UnitPrice]]*(1-Table1[[#This Row],[ScenarioDiscPct]])</f>
        <v>17256.588800000001</v>
      </c>
      <c r="AB527" s="4">
        <f t="shared" si="114"/>
        <v>5138.6899199999989</v>
      </c>
      <c r="AC527" s="4">
        <f>Table1[[#This Row],[ScenarioRev]] - Table1[[#This Row],[ScenarioCostOfGoods]]</f>
        <v>1363.9814999999999</v>
      </c>
      <c r="AD527" s="6">
        <v>0.20799999999999999</v>
      </c>
      <c r="AE527" s="6">
        <f>MIN(Table1[[#This Row],[DiscountPct]], WhatIf!$B$2)</f>
        <v>0.2</v>
      </c>
      <c r="AF527" s="6">
        <f>IF(Table1[[#This Row],[DiscountPct]]&gt;0.2, 1, 0)</f>
        <v>1</v>
      </c>
      <c r="AG527" s="6" t="str">
        <f t="shared" si="115"/>
        <v>High</v>
      </c>
      <c r="AH527" s="6">
        <f t="shared" si="116"/>
        <v>0.3308681416032041</v>
      </c>
      <c r="AI527" s="5">
        <v>8</v>
      </c>
      <c r="AJ527" s="6">
        <f>Table1[[#This Row],[Quantity]]*(1+WhatIf!$B$4)</f>
        <v>8.8000000000000007</v>
      </c>
    </row>
    <row r="528" spans="1:36" x14ac:dyDescent="0.3">
      <c r="A528" t="s">
        <v>233</v>
      </c>
      <c r="B528" s="3">
        <v>45554</v>
      </c>
      <c r="C528" s="3">
        <v>45579</v>
      </c>
      <c r="D528" s="3">
        <f t="shared" si="105"/>
        <v>45579</v>
      </c>
      <c r="E528" s="4">
        <f t="shared" si="104"/>
        <v>25</v>
      </c>
      <c r="F528" s="4">
        <f t="shared" si="106"/>
        <v>25</v>
      </c>
      <c r="G528" s="4">
        <f>IF(Table1[[#This Row],[CorrectedLeadTimeDays]]&lt;=7, 1, 0)</f>
        <v>0</v>
      </c>
      <c r="H528" s="4" t="str">
        <f t="shared" si="107"/>
        <v>September</v>
      </c>
      <c r="I528" s="4" t="str">
        <f t="shared" si="108"/>
        <v>Q3-2024</v>
      </c>
      <c r="J528" s="4" t="str">
        <f t="shared" si="109"/>
        <v>2023-01</v>
      </c>
      <c r="K528" s="3">
        <f t="shared" si="110"/>
        <v>44955</v>
      </c>
      <c r="L528" t="s">
        <v>648</v>
      </c>
      <c r="M528" t="s">
        <v>655</v>
      </c>
      <c r="N528" t="s">
        <v>692</v>
      </c>
      <c r="O528" t="s">
        <v>705</v>
      </c>
      <c r="P528" t="s">
        <v>707</v>
      </c>
      <c r="Q528" t="s">
        <v>723</v>
      </c>
      <c r="R528">
        <f t="shared" si="111"/>
        <v>19</v>
      </c>
      <c r="S528" t="s">
        <v>728</v>
      </c>
      <c r="T528" t="s">
        <v>953</v>
      </c>
      <c r="U528" s="4">
        <v>386.96</v>
      </c>
      <c r="V528" s="4">
        <f>Table1[[#This Row],[UnitCost]]*(1+WhatIf!$B$3)</f>
        <v>406.30799999999999</v>
      </c>
      <c r="W528" s="4">
        <f t="shared" si="112"/>
        <v>15865.359999999999</v>
      </c>
      <c r="X528" s="4">
        <f>Table1[[#This Row],[ScenarioRev]]-Table1[[#This Row],[ScenarioUnitCost]]</f>
        <v>33417.248800000008</v>
      </c>
      <c r="Y528" s="4">
        <v>937.46</v>
      </c>
      <c r="Z528" s="4">
        <f t="shared" si="113"/>
        <v>28211.92124</v>
      </c>
      <c r="AA528" s="4">
        <f>Table1[[#This Row],[ScenarioQuanity]]*Table1[[#This Row],[UnitPrice]]*(1-Table1[[#This Row],[ScenarioDiscPct]])</f>
        <v>33823.556800000006</v>
      </c>
      <c r="AB528" s="4">
        <f t="shared" si="114"/>
        <v>12346.561240000001</v>
      </c>
      <c r="AC528" s="4">
        <f>Table1[[#This Row],[ScenarioRev]] - Table1[[#This Row],[ScenarioCostOfGoods]]</f>
        <v>406.30799999999726</v>
      </c>
      <c r="AD528" s="6">
        <v>0.26600000000000001</v>
      </c>
      <c r="AE528" s="6">
        <f>MIN(Table1[[#This Row],[DiscountPct]], WhatIf!$B$2)</f>
        <v>0.2</v>
      </c>
      <c r="AF528" s="6">
        <f>IF(Table1[[#This Row],[DiscountPct]]&gt;0.2, 1, 0)</f>
        <v>1</v>
      </c>
      <c r="AG528" s="6" t="str">
        <f t="shared" si="115"/>
        <v>High</v>
      </c>
      <c r="AH528" s="6">
        <f t="shared" si="116"/>
        <v>0.43763631462626335</v>
      </c>
      <c r="AI528" s="5">
        <v>41</v>
      </c>
      <c r="AJ528" s="6">
        <f>Table1[[#This Row],[Quantity]]*(1+WhatIf!$B$4)</f>
        <v>45.1</v>
      </c>
    </row>
    <row r="529" spans="1:36" x14ac:dyDescent="0.3">
      <c r="A529" t="s">
        <v>396</v>
      </c>
      <c r="B529" s="3">
        <v>45861</v>
      </c>
      <c r="C529" s="3">
        <v>45886</v>
      </c>
      <c r="D529" s="3">
        <f t="shared" si="105"/>
        <v>45886</v>
      </c>
      <c r="E529" s="4">
        <f t="shared" si="104"/>
        <v>25</v>
      </c>
      <c r="F529" s="4">
        <f t="shared" si="106"/>
        <v>25</v>
      </c>
      <c r="G529" s="4">
        <f>IF(Table1[[#This Row],[CorrectedLeadTimeDays]]&lt;=7, 1, 0)</f>
        <v>0</v>
      </c>
      <c r="H529" s="4" t="str">
        <f t="shared" si="107"/>
        <v>July</v>
      </c>
      <c r="I529" s="4" t="str">
        <f t="shared" si="108"/>
        <v>Q3-2025</v>
      </c>
      <c r="J529" s="4" t="str">
        <f t="shared" si="109"/>
        <v>2023-01</v>
      </c>
      <c r="K529" s="3">
        <f t="shared" si="110"/>
        <v>44945</v>
      </c>
      <c r="L529" t="s">
        <v>649</v>
      </c>
      <c r="M529" t="s">
        <v>658</v>
      </c>
      <c r="N529" t="s">
        <v>674</v>
      </c>
      <c r="O529" t="s">
        <v>702</v>
      </c>
      <c r="P529" t="s">
        <v>708</v>
      </c>
      <c r="Q529" t="s">
        <v>714</v>
      </c>
      <c r="R529">
        <f t="shared" si="111"/>
        <v>30</v>
      </c>
      <c r="S529" t="s">
        <v>728</v>
      </c>
      <c r="T529" t="s">
        <v>1115</v>
      </c>
      <c r="U529" s="4">
        <v>1142.06</v>
      </c>
      <c r="V529" s="4">
        <f>Table1[[#This Row],[UnitCost]]*(1+WhatIf!$B$3)</f>
        <v>1199.163</v>
      </c>
      <c r="W529" s="4">
        <f t="shared" si="112"/>
        <v>31977.68</v>
      </c>
      <c r="X529" s="4">
        <f>Table1[[#This Row],[ScenarioRev]]-Table1[[#This Row],[ScenarioUnitCost]]</f>
        <v>40119.345000000008</v>
      </c>
      <c r="Y529" s="4">
        <v>1455</v>
      </c>
      <c r="Z529" s="4">
        <f t="shared" si="113"/>
        <v>37562.28</v>
      </c>
      <c r="AA529" s="4">
        <f>Table1[[#This Row],[ScenarioQuanity]]*Table1[[#This Row],[UnitPrice]]*(1-Table1[[#This Row],[ScenarioDiscPct]])</f>
        <v>41318.508000000009</v>
      </c>
      <c r="AB529" s="4">
        <f t="shared" si="114"/>
        <v>5584.5999999999985</v>
      </c>
      <c r="AC529" s="4">
        <f>Table1[[#This Row],[ScenarioRev]] - Table1[[#This Row],[ScenarioCostOfGoods]]</f>
        <v>1199.1630000000005</v>
      </c>
      <c r="AD529" s="6">
        <v>7.8E-2</v>
      </c>
      <c r="AE529" s="6">
        <f>MIN(Table1[[#This Row],[DiscountPct]], WhatIf!$B$2)</f>
        <v>7.8E-2</v>
      </c>
      <c r="AF529" s="6">
        <f>IF(Table1[[#This Row],[DiscountPct]]&gt;0.2, 1, 0)</f>
        <v>0</v>
      </c>
      <c r="AG529" s="6" t="str">
        <f t="shared" si="115"/>
        <v>High</v>
      </c>
      <c r="AH529" s="6">
        <f t="shared" si="116"/>
        <v>0.1486757459877302</v>
      </c>
      <c r="AI529" s="5">
        <v>28</v>
      </c>
      <c r="AJ529" s="6">
        <f>Table1[[#This Row],[Quantity]]*(1+WhatIf!$B$4)</f>
        <v>30.800000000000004</v>
      </c>
    </row>
    <row r="530" spans="1:36" x14ac:dyDescent="0.3">
      <c r="A530" t="s">
        <v>266</v>
      </c>
      <c r="B530" s="3">
        <v>45366</v>
      </c>
      <c r="C530" s="3">
        <v>45391</v>
      </c>
      <c r="D530" s="3">
        <f t="shared" si="105"/>
        <v>45391</v>
      </c>
      <c r="E530" s="4">
        <f t="shared" si="104"/>
        <v>25</v>
      </c>
      <c r="F530" s="4">
        <f t="shared" si="106"/>
        <v>25</v>
      </c>
      <c r="G530" s="4">
        <f>IF(Table1[[#This Row],[CorrectedLeadTimeDays]]&lt;=7, 1, 0)</f>
        <v>0</v>
      </c>
      <c r="H530" s="4" t="str">
        <f t="shared" si="107"/>
        <v>March</v>
      </c>
      <c r="I530" s="4" t="str">
        <f t="shared" si="108"/>
        <v>Q1-2024</v>
      </c>
      <c r="J530" s="4" t="str">
        <f t="shared" si="109"/>
        <v>2023-01</v>
      </c>
      <c r="K530" s="3">
        <f t="shared" si="110"/>
        <v>44928</v>
      </c>
      <c r="L530" t="s">
        <v>648</v>
      </c>
      <c r="M530" t="s">
        <v>653</v>
      </c>
      <c r="N530" t="s">
        <v>688</v>
      </c>
      <c r="O530" t="s">
        <v>704</v>
      </c>
      <c r="P530" t="s">
        <v>708</v>
      </c>
      <c r="Q530" t="s">
        <v>721</v>
      </c>
      <c r="R530">
        <f t="shared" si="111"/>
        <v>14</v>
      </c>
      <c r="S530" t="s">
        <v>732</v>
      </c>
      <c r="T530" t="s">
        <v>986</v>
      </c>
      <c r="U530" s="4">
        <v>648.64</v>
      </c>
      <c r="V530" s="4">
        <f>Table1[[#This Row],[UnitCost]]*(1+WhatIf!$B$3)</f>
        <v>681.072</v>
      </c>
      <c r="W530" s="4">
        <f t="shared" si="112"/>
        <v>18161.919999999998</v>
      </c>
      <c r="X530" s="4">
        <f>Table1[[#This Row],[ScenarioRev]]-Table1[[#This Row],[ScenarioUnitCost]]</f>
        <v>19405.209600000006</v>
      </c>
      <c r="Y530" s="4">
        <v>815.19</v>
      </c>
      <c r="Z530" s="4">
        <f t="shared" si="113"/>
        <v>17689.623</v>
      </c>
      <c r="AA530" s="4">
        <f>Table1[[#This Row],[ScenarioQuanity]]*Table1[[#This Row],[UnitPrice]]*(1-Table1[[#This Row],[ScenarioDiscPct]])</f>
        <v>20086.281600000006</v>
      </c>
      <c r="AB530" s="4">
        <f t="shared" si="114"/>
        <v>-472.29699999999866</v>
      </c>
      <c r="AC530" s="4">
        <f>Table1[[#This Row],[ScenarioRev]] - Table1[[#This Row],[ScenarioCostOfGoods]]</f>
        <v>681.07200000000012</v>
      </c>
      <c r="AD530" s="6">
        <v>0.22500000000000001</v>
      </c>
      <c r="AE530" s="6">
        <f>MIN(Table1[[#This Row],[DiscountPct]], WhatIf!$B$2)</f>
        <v>0.2</v>
      </c>
      <c r="AF530" s="6">
        <f>IF(Table1[[#This Row],[DiscountPct]]&gt;0.2, 1, 0)</f>
        <v>1</v>
      </c>
      <c r="AG530" s="6" t="str">
        <f t="shared" si="115"/>
        <v>Low</v>
      </c>
      <c r="AH530" s="6">
        <f t="shared" si="116"/>
        <v>-2.6699099240272032E-2</v>
      </c>
      <c r="AI530" s="5">
        <v>28</v>
      </c>
      <c r="AJ530" s="6">
        <f>Table1[[#This Row],[Quantity]]*(1+WhatIf!$B$4)</f>
        <v>30.800000000000004</v>
      </c>
    </row>
    <row r="531" spans="1:36" x14ac:dyDescent="0.3">
      <c r="A531" t="s">
        <v>63</v>
      </c>
      <c r="B531" s="3">
        <v>45579</v>
      </c>
      <c r="C531" s="3">
        <v>45604</v>
      </c>
      <c r="D531" s="3">
        <f t="shared" si="105"/>
        <v>45604</v>
      </c>
      <c r="E531" s="4">
        <f t="shared" si="104"/>
        <v>25</v>
      </c>
      <c r="F531" s="4">
        <f t="shared" si="106"/>
        <v>25</v>
      </c>
      <c r="G531" s="4">
        <f>IF(Table1[[#This Row],[CorrectedLeadTimeDays]]&lt;=7, 1, 0)</f>
        <v>0</v>
      </c>
      <c r="H531" s="4" t="str">
        <f t="shared" si="107"/>
        <v>October</v>
      </c>
      <c r="I531" s="4" t="str">
        <f t="shared" si="108"/>
        <v>Q4-2024</v>
      </c>
      <c r="J531" s="4" t="str">
        <f t="shared" si="109"/>
        <v>2023-01</v>
      </c>
      <c r="K531" s="3">
        <f t="shared" si="110"/>
        <v>44941</v>
      </c>
      <c r="L531" t="s">
        <v>646</v>
      </c>
      <c r="M531" t="s">
        <v>651</v>
      </c>
      <c r="N531" t="s">
        <v>665</v>
      </c>
      <c r="O531" t="s">
        <v>706</v>
      </c>
      <c r="P531" t="s">
        <v>708</v>
      </c>
      <c r="Q531" t="s">
        <v>719</v>
      </c>
      <c r="R531">
        <f t="shared" si="111"/>
        <v>20</v>
      </c>
      <c r="S531" t="s">
        <v>729</v>
      </c>
      <c r="T531" t="s">
        <v>782</v>
      </c>
      <c r="U531" s="4">
        <v>859.35</v>
      </c>
      <c r="V531" s="4">
        <f>Table1[[#This Row],[UnitCost]]*(1+WhatIf!$B$3)</f>
        <v>902.31750000000011</v>
      </c>
      <c r="W531" s="4">
        <f t="shared" si="112"/>
        <v>20624.400000000001</v>
      </c>
      <c r="X531" s="4">
        <f>Table1[[#This Row],[ScenarioRev]]-Table1[[#This Row],[ScenarioUnitCost]]</f>
        <v>38281.115052000001</v>
      </c>
      <c r="Y531" s="4">
        <v>1825.61</v>
      </c>
      <c r="Z531" s="4">
        <f t="shared" si="113"/>
        <v>35621.302319999995</v>
      </c>
      <c r="AA531" s="4">
        <f>Table1[[#This Row],[ScenarioQuanity]]*Table1[[#This Row],[UnitPrice]]*(1-Table1[[#This Row],[ScenarioDiscPct]])</f>
        <v>39183.432551999998</v>
      </c>
      <c r="AB531" s="4">
        <f t="shared" si="114"/>
        <v>14996.902319999994</v>
      </c>
      <c r="AC531" s="4">
        <f>Table1[[#This Row],[ScenarioRev]] - Table1[[#This Row],[ScenarioCostOfGoods]]</f>
        <v>902.31749999999738</v>
      </c>
      <c r="AD531" s="6">
        <v>0.187</v>
      </c>
      <c r="AE531" s="6">
        <f>MIN(Table1[[#This Row],[DiscountPct]], WhatIf!$B$2)</f>
        <v>0.187</v>
      </c>
      <c r="AF531" s="6">
        <f>IF(Table1[[#This Row],[DiscountPct]]&gt;0.2, 1, 0)</f>
        <v>0</v>
      </c>
      <c r="AG531" s="6" t="str">
        <f t="shared" si="115"/>
        <v>High</v>
      </c>
      <c r="AH531" s="6">
        <f t="shared" si="116"/>
        <v>0.42100937762681989</v>
      </c>
      <c r="AI531" s="5">
        <v>24</v>
      </c>
      <c r="AJ531" s="6">
        <f>Table1[[#This Row],[Quantity]]*(1+WhatIf!$B$4)</f>
        <v>26.400000000000002</v>
      </c>
    </row>
    <row r="532" spans="1:36" x14ac:dyDescent="0.3">
      <c r="A532" t="s">
        <v>642</v>
      </c>
      <c r="B532" s="3">
        <v>45100</v>
      </c>
      <c r="C532" s="3">
        <v>45125</v>
      </c>
      <c r="D532" s="3">
        <f t="shared" si="105"/>
        <v>45125</v>
      </c>
      <c r="E532" s="4">
        <f t="shared" si="104"/>
        <v>25</v>
      </c>
      <c r="F532" s="4">
        <f t="shared" si="106"/>
        <v>25</v>
      </c>
      <c r="G532" s="4">
        <f>IF(Table1[[#This Row],[CorrectedLeadTimeDays]]&lt;=7, 1, 0)</f>
        <v>0</v>
      </c>
      <c r="H532" s="4" t="str">
        <f t="shared" si="107"/>
        <v>June</v>
      </c>
      <c r="I532" s="4" t="str">
        <f t="shared" si="108"/>
        <v>Q2-2023</v>
      </c>
      <c r="J532" s="4" t="str">
        <f t="shared" si="109"/>
        <v>2023-01</v>
      </c>
      <c r="K532" s="3">
        <f t="shared" si="110"/>
        <v>44928</v>
      </c>
      <c r="L532" t="s">
        <v>648</v>
      </c>
      <c r="M532" t="s">
        <v>653</v>
      </c>
      <c r="N532" t="s">
        <v>688</v>
      </c>
      <c r="O532" t="s">
        <v>706</v>
      </c>
      <c r="P532" t="s">
        <v>708</v>
      </c>
      <c r="Q532" t="s">
        <v>725</v>
      </c>
      <c r="R532">
        <f t="shared" si="111"/>
        <v>5</v>
      </c>
      <c r="S532" t="s">
        <v>730</v>
      </c>
      <c r="T532" t="s">
        <v>1360</v>
      </c>
      <c r="U532" s="4">
        <v>807.02</v>
      </c>
      <c r="V532" s="4">
        <f>Table1[[#This Row],[UnitCost]]*(1+WhatIf!$B$3)</f>
        <v>847.37099999999998</v>
      </c>
      <c r="W532" s="4">
        <f t="shared" si="112"/>
        <v>18561.46</v>
      </c>
      <c r="X532" s="4">
        <f>Table1[[#This Row],[ScenarioRev]]-Table1[[#This Row],[ScenarioUnitCost]]</f>
        <v>35471.790999999997</v>
      </c>
      <c r="Y532" s="4">
        <v>1435.54</v>
      </c>
      <c r="Z532" s="4">
        <f t="shared" si="113"/>
        <v>33017.42</v>
      </c>
      <c r="AA532" s="4">
        <f>Table1[[#This Row],[ScenarioQuanity]]*Table1[[#This Row],[UnitPrice]]*(1-Table1[[#This Row],[ScenarioDiscPct]])</f>
        <v>36319.161999999997</v>
      </c>
      <c r="AB532" s="4">
        <f t="shared" si="114"/>
        <v>14455.96</v>
      </c>
      <c r="AC532" s="4">
        <f>Table1[[#This Row],[ScenarioRev]] - Table1[[#This Row],[ScenarioCostOfGoods]]</f>
        <v>847.37099999999919</v>
      </c>
      <c r="AD532" s="6">
        <v>0</v>
      </c>
      <c r="AE532" s="6">
        <f>MIN(Table1[[#This Row],[DiscountPct]], WhatIf!$B$2)</f>
        <v>0</v>
      </c>
      <c r="AF532" s="6">
        <f>IF(Table1[[#This Row],[DiscountPct]]&gt;0.2, 1, 0)</f>
        <v>0</v>
      </c>
      <c r="AG532" s="6" t="str">
        <f t="shared" si="115"/>
        <v>High</v>
      </c>
      <c r="AH532" s="6">
        <f t="shared" si="116"/>
        <v>0.43782827368098415</v>
      </c>
      <c r="AI532" s="5">
        <v>23</v>
      </c>
      <c r="AJ532" s="6">
        <f>Table1[[#This Row],[Quantity]]*(1+WhatIf!$B$4)</f>
        <v>25.3</v>
      </c>
    </row>
    <row r="533" spans="1:36" x14ac:dyDescent="0.3">
      <c r="A533" t="s">
        <v>153</v>
      </c>
      <c r="B533" s="3">
        <v>45616</v>
      </c>
      <c r="C533" s="3">
        <v>45641</v>
      </c>
      <c r="D533" s="3">
        <f t="shared" si="105"/>
        <v>45641</v>
      </c>
      <c r="E533" s="4">
        <f t="shared" si="104"/>
        <v>25</v>
      </c>
      <c r="F533" s="4">
        <f t="shared" si="106"/>
        <v>25</v>
      </c>
      <c r="G533" s="4">
        <f>IF(Table1[[#This Row],[CorrectedLeadTimeDays]]&lt;=7, 1, 0)</f>
        <v>0</v>
      </c>
      <c r="H533" s="4" t="str">
        <f t="shared" si="107"/>
        <v>November</v>
      </c>
      <c r="I533" s="4" t="str">
        <f t="shared" si="108"/>
        <v>Q4-2024</v>
      </c>
      <c r="J533" s="4" t="str">
        <f t="shared" si="109"/>
        <v>2023-01</v>
      </c>
      <c r="K533" s="3">
        <f t="shared" si="110"/>
        <v>44936</v>
      </c>
      <c r="L533" t="s">
        <v>649</v>
      </c>
      <c r="M533" t="s">
        <v>657</v>
      </c>
      <c r="N533" t="s">
        <v>690</v>
      </c>
      <c r="O533" t="s">
        <v>701</v>
      </c>
      <c r="P533" t="s">
        <v>708</v>
      </c>
      <c r="Q533" t="s">
        <v>715</v>
      </c>
      <c r="R533">
        <f t="shared" si="111"/>
        <v>22</v>
      </c>
      <c r="S533" t="s">
        <v>728</v>
      </c>
      <c r="T533" t="s">
        <v>872</v>
      </c>
      <c r="U533" s="4">
        <v>1203.58</v>
      </c>
      <c r="V533" s="4">
        <f>Table1[[#This Row],[UnitCost]]*(1+WhatIf!$B$3)</f>
        <v>1263.759</v>
      </c>
      <c r="W533" s="4">
        <f t="shared" si="112"/>
        <v>26478.76</v>
      </c>
      <c r="X533" s="4">
        <f>Table1[[#This Row],[ScenarioRev]]-Table1[[#This Row],[ScenarioUnitCost]]</f>
        <v>37860.752712000009</v>
      </c>
      <c r="Y533" s="4">
        <v>1856.16</v>
      </c>
      <c r="Z533" s="4">
        <f t="shared" si="113"/>
        <v>35567.737920000007</v>
      </c>
      <c r="AA533" s="4">
        <f>Table1[[#This Row],[ScenarioQuanity]]*Table1[[#This Row],[UnitPrice]]*(1-Table1[[#This Row],[ScenarioDiscPct]])</f>
        <v>39124.511712000007</v>
      </c>
      <c r="AB533" s="4">
        <f t="shared" si="114"/>
        <v>9088.9779200000085</v>
      </c>
      <c r="AC533" s="4">
        <f>Table1[[#This Row],[ScenarioRev]] - Table1[[#This Row],[ScenarioCostOfGoods]]</f>
        <v>1263.7589999999982</v>
      </c>
      <c r="AD533" s="6">
        <v>0.129</v>
      </c>
      <c r="AE533" s="6">
        <f>MIN(Table1[[#This Row],[DiscountPct]], WhatIf!$B$2)</f>
        <v>0.129</v>
      </c>
      <c r="AF533" s="6">
        <f>IF(Table1[[#This Row],[DiscountPct]]&gt;0.2, 1, 0)</f>
        <v>0</v>
      </c>
      <c r="AG533" s="6" t="str">
        <f t="shared" si="115"/>
        <v>High</v>
      </c>
      <c r="AH533" s="6">
        <f t="shared" si="116"/>
        <v>0.25553994860295032</v>
      </c>
      <c r="AI533" s="5">
        <v>22</v>
      </c>
      <c r="AJ533" s="6">
        <f>Table1[[#This Row],[Quantity]]*(1+WhatIf!$B$4)</f>
        <v>24.200000000000003</v>
      </c>
    </row>
    <row r="534" spans="1:36" x14ac:dyDescent="0.3">
      <c r="A534" t="s">
        <v>164</v>
      </c>
      <c r="B534" s="3">
        <v>45558</v>
      </c>
      <c r="C534" s="3">
        <v>45583</v>
      </c>
      <c r="D534" s="3">
        <f t="shared" si="105"/>
        <v>45583</v>
      </c>
      <c r="E534" s="4">
        <f t="shared" si="104"/>
        <v>25</v>
      </c>
      <c r="F534" s="4">
        <f t="shared" si="106"/>
        <v>25</v>
      </c>
      <c r="G534" s="4">
        <f>IF(Table1[[#This Row],[CorrectedLeadTimeDays]]&lt;=7, 1, 0)</f>
        <v>0</v>
      </c>
      <c r="H534" s="4" t="str">
        <f t="shared" si="107"/>
        <v>September</v>
      </c>
      <c r="I534" s="4" t="str">
        <f t="shared" si="108"/>
        <v>Q3-2024</v>
      </c>
      <c r="J534" s="4" t="str">
        <f t="shared" si="109"/>
        <v>2023-01</v>
      </c>
      <c r="K534" s="3">
        <f t="shared" si="110"/>
        <v>44928</v>
      </c>
      <c r="L534" t="s">
        <v>648</v>
      </c>
      <c r="M534" t="s">
        <v>653</v>
      </c>
      <c r="N534" t="s">
        <v>688</v>
      </c>
      <c r="O534" t="s">
        <v>705</v>
      </c>
      <c r="P534" t="s">
        <v>708</v>
      </c>
      <c r="Q534" t="s">
        <v>725</v>
      </c>
      <c r="R534">
        <f t="shared" si="111"/>
        <v>20</v>
      </c>
      <c r="S534" t="s">
        <v>730</v>
      </c>
      <c r="T534" t="s">
        <v>883</v>
      </c>
      <c r="U534" s="4">
        <v>1297</v>
      </c>
      <c r="V534" s="4">
        <f>Table1[[#This Row],[UnitCost]]*(1+WhatIf!$B$3)</f>
        <v>1361.8500000000001</v>
      </c>
      <c r="W534" s="4">
        <f t="shared" si="112"/>
        <v>23346</v>
      </c>
      <c r="X534" s="4">
        <f>Table1[[#This Row],[ScenarioRev]]-Table1[[#This Row],[ScenarioUnitCost]]</f>
        <v>45383.535984000002</v>
      </c>
      <c r="Y534" s="4">
        <v>2411.52</v>
      </c>
      <c r="Z534" s="4">
        <f t="shared" si="113"/>
        <v>42495.805439999996</v>
      </c>
      <c r="AA534" s="4">
        <f>Table1[[#This Row],[ScenarioQuanity]]*Table1[[#This Row],[UnitPrice]]*(1-Table1[[#This Row],[ScenarioDiscPct]])</f>
        <v>46745.385984</v>
      </c>
      <c r="AB534" s="4">
        <f t="shared" si="114"/>
        <v>19149.805439999996</v>
      </c>
      <c r="AC534" s="4">
        <f>Table1[[#This Row],[ScenarioRev]] - Table1[[#This Row],[ScenarioCostOfGoods]]</f>
        <v>1361.8499999999985</v>
      </c>
      <c r="AD534" s="6">
        <v>2.1000000000000001E-2</v>
      </c>
      <c r="AE534" s="6">
        <f>MIN(Table1[[#This Row],[DiscountPct]], WhatIf!$B$2)</f>
        <v>2.1000000000000001E-2</v>
      </c>
      <c r="AF534" s="6">
        <f>IF(Table1[[#This Row],[DiscountPct]]&gt;0.2, 1, 0)</f>
        <v>0</v>
      </c>
      <c r="AG534" s="6" t="str">
        <f t="shared" si="115"/>
        <v>High</v>
      </c>
      <c r="AH534" s="6">
        <f t="shared" si="116"/>
        <v>0.45062813239385913</v>
      </c>
      <c r="AI534" s="5">
        <v>18</v>
      </c>
      <c r="AJ534" s="6">
        <f>Table1[[#This Row],[Quantity]]*(1+WhatIf!$B$4)</f>
        <v>19.8</v>
      </c>
    </row>
    <row r="535" spans="1:36" x14ac:dyDescent="0.3">
      <c r="A535" t="s">
        <v>441</v>
      </c>
      <c r="B535" s="3">
        <v>45522</v>
      </c>
      <c r="C535" s="3">
        <v>45547</v>
      </c>
      <c r="D535" s="3">
        <f t="shared" si="105"/>
        <v>45547</v>
      </c>
      <c r="E535" s="4">
        <f t="shared" si="104"/>
        <v>25</v>
      </c>
      <c r="F535" s="4">
        <f t="shared" si="106"/>
        <v>25</v>
      </c>
      <c r="G535" s="4">
        <f>IF(Table1[[#This Row],[CorrectedLeadTimeDays]]&lt;=7, 1, 0)</f>
        <v>0</v>
      </c>
      <c r="H535" s="4" t="str">
        <f t="shared" si="107"/>
        <v>August</v>
      </c>
      <c r="I535" s="4" t="str">
        <f t="shared" si="108"/>
        <v>Q3-2024</v>
      </c>
      <c r="J535" s="4" t="str">
        <f t="shared" si="109"/>
        <v>2023-01</v>
      </c>
      <c r="K535" s="3">
        <f t="shared" si="110"/>
        <v>44955</v>
      </c>
      <c r="L535" t="s">
        <v>647</v>
      </c>
      <c r="M535" t="s">
        <v>654</v>
      </c>
      <c r="N535" t="s">
        <v>691</v>
      </c>
      <c r="O535" t="s">
        <v>704</v>
      </c>
      <c r="P535" t="s">
        <v>709</v>
      </c>
      <c r="Q535" t="s">
        <v>712</v>
      </c>
      <c r="R535">
        <f t="shared" si="111"/>
        <v>18</v>
      </c>
      <c r="S535" t="s">
        <v>730</v>
      </c>
      <c r="T535" t="s">
        <v>1160</v>
      </c>
      <c r="U535" s="4">
        <v>1154.03</v>
      </c>
      <c r="V535" s="4">
        <f>Table1[[#This Row],[UnitCost]]*(1+WhatIf!$B$3)</f>
        <v>1211.7315000000001</v>
      </c>
      <c r="W535" s="4">
        <f t="shared" si="112"/>
        <v>20772.54</v>
      </c>
      <c r="X535" s="4">
        <f>Table1[[#This Row],[ScenarioRev]]-Table1[[#This Row],[ScenarioUnitCost]]</f>
        <v>23979.570899999999</v>
      </c>
      <c r="Y535" s="4">
        <v>1590.36</v>
      </c>
      <c r="Z535" s="4">
        <f t="shared" si="113"/>
        <v>19637.76528</v>
      </c>
      <c r="AA535" s="4">
        <f>Table1[[#This Row],[ScenarioQuanity]]*Table1[[#This Row],[UnitPrice]]*(1-Table1[[#This Row],[ScenarioDiscPct]])</f>
        <v>25191.3024</v>
      </c>
      <c r="AB535" s="4">
        <f t="shared" si="114"/>
        <v>-1134.7747200000013</v>
      </c>
      <c r="AC535" s="4">
        <f>Table1[[#This Row],[ScenarioRev]] - Table1[[#This Row],[ScenarioCostOfGoods]]</f>
        <v>1211.7315000000017</v>
      </c>
      <c r="AD535" s="6">
        <v>0.314</v>
      </c>
      <c r="AE535" s="6">
        <f>MIN(Table1[[#This Row],[DiscountPct]], WhatIf!$B$2)</f>
        <v>0.2</v>
      </c>
      <c r="AF535" s="6">
        <f>IF(Table1[[#This Row],[DiscountPct]]&gt;0.2, 1, 0)</f>
        <v>1</v>
      </c>
      <c r="AG535" s="6" t="str">
        <f t="shared" si="115"/>
        <v>High</v>
      </c>
      <c r="AH535" s="6">
        <f t="shared" si="116"/>
        <v>-5.7785328616576745E-2</v>
      </c>
      <c r="AI535" s="5">
        <v>18</v>
      </c>
      <c r="AJ535" s="6">
        <f>Table1[[#This Row],[Quantity]]*(1+WhatIf!$B$4)</f>
        <v>19.8</v>
      </c>
    </row>
    <row r="536" spans="1:36" x14ac:dyDescent="0.3">
      <c r="A536" t="s">
        <v>87</v>
      </c>
      <c r="B536" s="3">
        <v>45394</v>
      </c>
      <c r="C536" s="3">
        <v>45419</v>
      </c>
      <c r="D536" s="3">
        <f t="shared" si="105"/>
        <v>45419</v>
      </c>
      <c r="E536" s="4">
        <f t="shared" si="104"/>
        <v>25</v>
      </c>
      <c r="F536" s="4">
        <f t="shared" si="106"/>
        <v>25</v>
      </c>
      <c r="G536" s="4">
        <f>IF(Table1[[#This Row],[CorrectedLeadTimeDays]]&lt;=7, 1, 0)</f>
        <v>0</v>
      </c>
      <c r="H536" s="4" t="str">
        <f t="shared" si="107"/>
        <v>April</v>
      </c>
      <c r="I536" s="4" t="str">
        <f t="shared" si="108"/>
        <v>Q2-2024</v>
      </c>
      <c r="J536" s="4" t="str">
        <f t="shared" si="109"/>
        <v>2023-01</v>
      </c>
      <c r="K536" s="3">
        <f t="shared" si="110"/>
        <v>44933</v>
      </c>
      <c r="L536" t="s">
        <v>646</v>
      </c>
      <c r="M536" t="s">
        <v>661</v>
      </c>
      <c r="N536" t="s">
        <v>682</v>
      </c>
      <c r="O536" t="s">
        <v>702</v>
      </c>
      <c r="P536" t="s">
        <v>710</v>
      </c>
      <c r="Q536" t="s">
        <v>720</v>
      </c>
      <c r="R536">
        <f t="shared" si="111"/>
        <v>15</v>
      </c>
      <c r="S536" t="s">
        <v>731</v>
      </c>
      <c r="T536" t="s">
        <v>806</v>
      </c>
      <c r="U536" s="4">
        <v>1376.51</v>
      </c>
      <c r="V536" s="4">
        <f>Table1[[#This Row],[UnitCost]]*(1+WhatIf!$B$3)</f>
        <v>1445.3355000000001</v>
      </c>
      <c r="W536" s="4">
        <f t="shared" si="112"/>
        <v>23400.67</v>
      </c>
      <c r="X536" s="4">
        <f>Table1[[#This Row],[ScenarioRev]]-Table1[[#This Row],[ScenarioUnitCost]]</f>
        <v>20743.460855000005</v>
      </c>
      <c r="Y536" s="4">
        <v>1455.91</v>
      </c>
      <c r="Z536" s="4">
        <f t="shared" si="113"/>
        <v>20171.63305</v>
      </c>
      <c r="AA536" s="4">
        <f>Table1[[#This Row],[ScenarioQuanity]]*Table1[[#This Row],[UnitPrice]]*(1-Table1[[#This Row],[ScenarioDiscPct]])</f>
        <v>22188.796355000006</v>
      </c>
      <c r="AB536" s="4">
        <f t="shared" si="114"/>
        <v>-3229.0369499999979</v>
      </c>
      <c r="AC536" s="4">
        <f>Table1[[#This Row],[ScenarioRev]] - Table1[[#This Row],[ScenarioCostOfGoods]]</f>
        <v>1445.335500000001</v>
      </c>
      <c r="AD536" s="6">
        <v>0.185</v>
      </c>
      <c r="AE536" s="6">
        <f>MIN(Table1[[#This Row],[DiscountPct]], WhatIf!$B$2)</f>
        <v>0.185</v>
      </c>
      <c r="AF536" s="6">
        <f>IF(Table1[[#This Row],[DiscountPct]]&gt;0.2, 1, 0)</f>
        <v>0</v>
      </c>
      <c r="AG536" s="6" t="str">
        <f t="shared" si="115"/>
        <v>High</v>
      </c>
      <c r="AH536" s="6">
        <f t="shared" si="116"/>
        <v>-0.1600781127634085</v>
      </c>
      <c r="AI536" s="5">
        <v>17</v>
      </c>
      <c r="AJ536" s="6">
        <f>Table1[[#This Row],[Quantity]]*(1+WhatIf!$B$4)</f>
        <v>18.700000000000003</v>
      </c>
    </row>
    <row r="537" spans="1:36" x14ac:dyDescent="0.3">
      <c r="A537" t="s">
        <v>640</v>
      </c>
      <c r="B537" s="3">
        <v>45282</v>
      </c>
      <c r="C537" s="3">
        <v>45307</v>
      </c>
      <c r="D537" s="3">
        <f t="shared" si="105"/>
        <v>45307</v>
      </c>
      <c r="E537" s="4">
        <f t="shared" si="104"/>
        <v>25</v>
      </c>
      <c r="F537" s="4">
        <f t="shared" si="106"/>
        <v>25</v>
      </c>
      <c r="G537" s="4">
        <f>IF(Table1[[#This Row],[CorrectedLeadTimeDays]]&lt;=7, 1, 0)</f>
        <v>0</v>
      </c>
      <c r="H537" s="4" t="str">
        <f t="shared" si="107"/>
        <v>December</v>
      </c>
      <c r="I537" s="4" t="str">
        <f t="shared" si="108"/>
        <v>Q4-2023</v>
      </c>
      <c r="J537" s="4" t="str">
        <f t="shared" si="109"/>
        <v>2023-01</v>
      </c>
      <c r="K537" s="3">
        <f t="shared" si="110"/>
        <v>44955</v>
      </c>
      <c r="L537" t="s">
        <v>647</v>
      </c>
      <c r="M537" t="s">
        <v>654</v>
      </c>
      <c r="N537" t="s">
        <v>696</v>
      </c>
      <c r="O537" t="s">
        <v>705</v>
      </c>
      <c r="P537" t="s">
        <v>707</v>
      </c>
      <c r="Q537" t="s">
        <v>720</v>
      </c>
      <c r="R537">
        <f t="shared" si="111"/>
        <v>10</v>
      </c>
      <c r="S537" t="s">
        <v>727</v>
      </c>
      <c r="T537" t="s">
        <v>1358</v>
      </c>
      <c r="U537" s="4">
        <v>1346.81</v>
      </c>
      <c r="V537" s="4">
        <f>Table1[[#This Row],[UnitCost]]*(1+WhatIf!$B$3)</f>
        <v>1414.1505</v>
      </c>
      <c r="W537" s="4">
        <f t="shared" si="112"/>
        <v>22895.77</v>
      </c>
      <c r="X537" s="4">
        <f>Table1[[#This Row],[ScenarioRev]]-Table1[[#This Row],[ScenarioUnitCost]]</f>
        <v>13967.977503000002</v>
      </c>
      <c r="Y537" s="4">
        <v>978.09</v>
      </c>
      <c r="Z537" s="4">
        <f t="shared" si="113"/>
        <v>13983.752729999998</v>
      </c>
      <c r="AA537" s="4">
        <f>Table1[[#This Row],[ScenarioQuanity]]*Table1[[#This Row],[UnitPrice]]*(1-Table1[[#This Row],[ScenarioDiscPct]])</f>
        <v>15382.128003000002</v>
      </c>
      <c r="AB537" s="4">
        <f t="shared" si="114"/>
        <v>-8912.0172700000021</v>
      </c>
      <c r="AC537" s="4">
        <f>Table1[[#This Row],[ScenarioRev]] - Table1[[#This Row],[ScenarioCostOfGoods]]</f>
        <v>1414.1504999999997</v>
      </c>
      <c r="AD537" s="6">
        <v>0.159</v>
      </c>
      <c r="AE537" s="6">
        <f>MIN(Table1[[#This Row],[DiscountPct]], WhatIf!$B$2)</f>
        <v>0.159</v>
      </c>
      <c r="AF537" s="6">
        <f>IF(Table1[[#This Row],[DiscountPct]]&gt;0.2, 1, 0)</f>
        <v>0</v>
      </c>
      <c r="AG537" s="6" t="str">
        <f t="shared" si="115"/>
        <v>High</v>
      </c>
      <c r="AH537" s="6">
        <f t="shared" si="116"/>
        <v>-0.6373122753293996</v>
      </c>
      <c r="AI537" s="5">
        <v>17</v>
      </c>
      <c r="AJ537" s="6">
        <f>Table1[[#This Row],[Quantity]]*(1+WhatIf!$B$4)</f>
        <v>18.700000000000003</v>
      </c>
    </row>
    <row r="538" spans="1:36" x14ac:dyDescent="0.3">
      <c r="A538" t="s">
        <v>253</v>
      </c>
      <c r="B538" s="3">
        <v>45381</v>
      </c>
      <c r="C538" s="3">
        <v>45406</v>
      </c>
      <c r="D538" s="3">
        <f t="shared" si="105"/>
        <v>45406</v>
      </c>
      <c r="E538" s="4">
        <f t="shared" si="104"/>
        <v>25</v>
      </c>
      <c r="F538" s="4">
        <f t="shared" si="106"/>
        <v>25</v>
      </c>
      <c r="G538" s="4">
        <f>IF(Table1[[#This Row],[CorrectedLeadTimeDays]]&lt;=7, 1, 0)</f>
        <v>0</v>
      </c>
      <c r="H538" s="4" t="str">
        <f t="shared" si="107"/>
        <v>March</v>
      </c>
      <c r="I538" s="4" t="str">
        <f t="shared" si="108"/>
        <v>Q1-2024</v>
      </c>
      <c r="J538" s="4" t="str">
        <f t="shared" si="109"/>
        <v>2023-01</v>
      </c>
      <c r="K538" s="3">
        <f t="shared" si="110"/>
        <v>44939</v>
      </c>
      <c r="L538" t="s">
        <v>648</v>
      </c>
      <c r="M538" t="s">
        <v>660</v>
      </c>
      <c r="N538" t="s">
        <v>697</v>
      </c>
      <c r="O538" t="s">
        <v>703</v>
      </c>
      <c r="P538" t="s">
        <v>708</v>
      </c>
      <c r="Q538" t="s">
        <v>715</v>
      </c>
      <c r="R538">
        <f t="shared" si="111"/>
        <v>14</v>
      </c>
      <c r="S538" t="s">
        <v>731</v>
      </c>
      <c r="T538" t="s">
        <v>973</v>
      </c>
      <c r="U538" s="4">
        <v>160.82</v>
      </c>
      <c r="V538" s="4">
        <f>Table1[[#This Row],[UnitCost]]*(1+WhatIf!$B$3)</f>
        <v>168.86099999999999</v>
      </c>
      <c r="W538" s="4">
        <f t="shared" si="112"/>
        <v>2733.94</v>
      </c>
      <c r="X538" s="4">
        <f>Table1[[#This Row],[ScenarioRev]]-Table1[[#This Row],[ScenarioUnitCost]]</f>
        <v>4037.0008800000005</v>
      </c>
      <c r="Y538" s="4">
        <v>258.52</v>
      </c>
      <c r="Z538" s="4">
        <f t="shared" si="113"/>
        <v>3823.5108</v>
      </c>
      <c r="AA538" s="4">
        <f>Table1[[#This Row],[ScenarioQuanity]]*Table1[[#This Row],[UnitPrice]]*(1-Table1[[#This Row],[ScenarioDiscPct]])</f>
        <v>4205.8618800000004</v>
      </c>
      <c r="AB538" s="4">
        <f t="shared" si="114"/>
        <v>1089.5708</v>
      </c>
      <c r="AC538" s="4">
        <f>Table1[[#This Row],[ScenarioRev]] - Table1[[#This Row],[ScenarioCostOfGoods]]</f>
        <v>168.86099999999988</v>
      </c>
      <c r="AD538" s="6">
        <v>0.13</v>
      </c>
      <c r="AE538" s="6">
        <f>MIN(Table1[[#This Row],[DiscountPct]], WhatIf!$B$2)</f>
        <v>0.13</v>
      </c>
      <c r="AF538" s="6">
        <f>IF(Table1[[#This Row],[DiscountPct]]&gt;0.2, 1, 0)</f>
        <v>0</v>
      </c>
      <c r="AG538" s="6" t="str">
        <f t="shared" si="115"/>
        <v>Low</v>
      </c>
      <c r="AH538" s="6">
        <f t="shared" si="116"/>
        <v>0.28496605789631874</v>
      </c>
      <c r="AI538" s="5">
        <v>17</v>
      </c>
      <c r="AJ538" s="6">
        <f>Table1[[#This Row],[Quantity]]*(1+WhatIf!$B$4)</f>
        <v>18.700000000000003</v>
      </c>
    </row>
    <row r="539" spans="1:36" x14ac:dyDescent="0.3">
      <c r="A539" t="s">
        <v>19</v>
      </c>
      <c r="B539" s="3">
        <v>45266</v>
      </c>
      <c r="C539" s="3">
        <v>45291</v>
      </c>
      <c r="D539" s="3">
        <f t="shared" si="105"/>
        <v>45291</v>
      </c>
      <c r="E539" s="4">
        <f t="shared" si="104"/>
        <v>25</v>
      </c>
      <c r="F539" s="4">
        <f t="shared" si="106"/>
        <v>25</v>
      </c>
      <c r="G539" s="4">
        <f>IF(Table1[[#This Row],[CorrectedLeadTimeDays]]&lt;=7, 1, 0)</f>
        <v>0</v>
      </c>
      <c r="H539" s="4" t="str">
        <f t="shared" si="107"/>
        <v>December</v>
      </c>
      <c r="I539" s="4" t="str">
        <f t="shared" si="108"/>
        <v>Q4-2023</v>
      </c>
      <c r="J539" s="4" t="str">
        <f t="shared" si="109"/>
        <v>2023-03</v>
      </c>
      <c r="K539" s="3">
        <f t="shared" si="110"/>
        <v>44988</v>
      </c>
      <c r="L539" t="s">
        <v>647</v>
      </c>
      <c r="M539" t="s">
        <v>652</v>
      </c>
      <c r="N539" t="s">
        <v>666</v>
      </c>
      <c r="O539" t="s">
        <v>704</v>
      </c>
      <c r="P539" t="s">
        <v>707</v>
      </c>
      <c r="Q539" t="s">
        <v>716</v>
      </c>
      <c r="R539">
        <f t="shared" si="111"/>
        <v>9</v>
      </c>
      <c r="S539" t="s">
        <v>728</v>
      </c>
      <c r="T539" t="s">
        <v>738</v>
      </c>
      <c r="U539" s="4">
        <v>663.03</v>
      </c>
      <c r="V539" s="4">
        <f>Table1[[#This Row],[UnitCost]]*(1+WhatIf!$B$3)</f>
        <v>696.18150000000003</v>
      </c>
      <c r="W539" s="4">
        <f t="shared" si="112"/>
        <v>9945.4499999999989</v>
      </c>
      <c r="X539" s="4">
        <f>Table1[[#This Row],[ScenarioRev]]-Table1[[#This Row],[ScenarioUnitCost]]</f>
        <v>11357.596169999999</v>
      </c>
      <c r="Y539" s="4">
        <v>813.51</v>
      </c>
      <c r="Z539" s="4">
        <f t="shared" si="113"/>
        <v>10957.9797</v>
      </c>
      <c r="AA539" s="4">
        <f>Table1[[#This Row],[ScenarioQuanity]]*Table1[[#This Row],[UnitPrice]]*(1-Table1[[#This Row],[ScenarioDiscPct]])</f>
        <v>12053.777669999999</v>
      </c>
      <c r="AB539" s="4">
        <f t="shared" si="114"/>
        <v>1012.529700000001</v>
      </c>
      <c r="AC539" s="4">
        <f>Table1[[#This Row],[ScenarioRev]] - Table1[[#This Row],[ScenarioCostOfGoods]]</f>
        <v>696.1815000000006</v>
      </c>
      <c r="AD539" s="6">
        <v>0.10199999999999999</v>
      </c>
      <c r="AE539" s="6">
        <f>MIN(Table1[[#This Row],[DiscountPct]], WhatIf!$B$2)</f>
        <v>0.10199999999999999</v>
      </c>
      <c r="AF539" s="6">
        <f>IF(Table1[[#This Row],[DiscountPct]]&gt;0.2, 1, 0)</f>
        <v>0</v>
      </c>
      <c r="AG539" s="6" t="str">
        <f t="shared" si="115"/>
        <v>Low</v>
      </c>
      <c r="AH539" s="6">
        <f t="shared" si="116"/>
        <v>9.2401129379715952E-2</v>
      </c>
      <c r="AI539" s="5">
        <v>15</v>
      </c>
      <c r="AJ539" s="6">
        <f>Table1[[#This Row],[Quantity]]*(1+WhatIf!$B$4)</f>
        <v>16.5</v>
      </c>
    </row>
    <row r="540" spans="1:36" x14ac:dyDescent="0.3">
      <c r="A540" t="s">
        <v>420</v>
      </c>
      <c r="B540" s="3">
        <v>45646</v>
      </c>
      <c r="C540" s="3">
        <v>45671</v>
      </c>
      <c r="D540" s="3">
        <f t="shared" si="105"/>
        <v>45671</v>
      </c>
      <c r="E540" s="4">
        <f t="shared" si="104"/>
        <v>25</v>
      </c>
      <c r="F540" s="4">
        <f t="shared" si="106"/>
        <v>25</v>
      </c>
      <c r="G540" s="4">
        <f>IF(Table1[[#This Row],[CorrectedLeadTimeDays]]&lt;=7, 1, 0)</f>
        <v>0</v>
      </c>
      <c r="H540" s="4" t="str">
        <f t="shared" si="107"/>
        <v>December</v>
      </c>
      <c r="I540" s="4" t="str">
        <f t="shared" si="108"/>
        <v>Q4-2024</v>
      </c>
      <c r="J540" s="4" t="str">
        <f t="shared" si="109"/>
        <v>2023-01</v>
      </c>
      <c r="K540" s="3">
        <f t="shared" si="110"/>
        <v>44955</v>
      </c>
      <c r="L540" t="s">
        <v>647</v>
      </c>
      <c r="M540" t="s">
        <v>654</v>
      </c>
      <c r="N540" t="s">
        <v>680</v>
      </c>
      <c r="O540" t="s">
        <v>705</v>
      </c>
      <c r="P540" t="s">
        <v>707</v>
      </c>
      <c r="Q540" t="s">
        <v>724</v>
      </c>
      <c r="R540">
        <f t="shared" si="111"/>
        <v>22</v>
      </c>
      <c r="S540" t="s">
        <v>728</v>
      </c>
      <c r="T540" t="s">
        <v>1139</v>
      </c>
      <c r="U540" s="4">
        <v>1361.34</v>
      </c>
      <c r="V540" s="4">
        <f>Table1[[#This Row],[UnitCost]]*(1+WhatIf!$B$3)</f>
        <v>1429.4069999999999</v>
      </c>
      <c r="W540" s="4">
        <f t="shared" si="112"/>
        <v>19058.759999999998</v>
      </c>
      <c r="X540" s="4">
        <f>Table1[[#This Row],[ScenarioRev]]-Table1[[#This Row],[ScenarioUnitCost]]</f>
        <v>23273.451180000004</v>
      </c>
      <c r="Y540" s="4">
        <v>1737.9</v>
      </c>
      <c r="Z540" s="4">
        <f t="shared" si="113"/>
        <v>22457.143800000002</v>
      </c>
      <c r="AA540" s="4">
        <f>Table1[[#This Row],[ScenarioQuanity]]*Table1[[#This Row],[UnitPrice]]*(1-Table1[[#This Row],[ScenarioDiscPct]])</f>
        <v>24702.858180000003</v>
      </c>
      <c r="AB540" s="4">
        <f t="shared" si="114"/>
        <v>3398.3838000000032</v>
      </c>
      <c r="AC540" s="4">
        <f>Table1[[#This Row],[ScenarioRev]] - Table1[[#This Row],[ScenarioCostOfGoods]]</f>
        <v>1429.4069999999992</v>
      </c>
      <c r="AD540" s="6">
        <v>7.6999999999999999E-2</v>
      </c>
      <c r="AE540" s="6">
        <f>MIN(Table1[[#This Row],[DiscountPct]], WhatIf!$B$2)</f>
        <v>7.6999999999999999E-2</v>
      </c>
      <c r="AF540" s="6">
        <f>IF(Table1[[#This Row],[DiscountPct]]&gt;0.2, 1, 0)</f>
        <v>0</v>
      </c>
      <c r="AG540" s="6" t="str">
        <f t="shared" si="115"/>
        <v>High</v>
      </c>
      <c r="AH540" s="6">
        <f t="shared" si="116"/>
        <v>0.15132751654731813</v>
      </c>
      <c r="AI540" s="5">
        <v>14</v>
      </c>
      <c r="AJ540" s="6">
        <f>Table1[[#This Row],[Quantity]]*(1+WhatIf!$B$4)</f>
        <v>15.400000000000002</v>
      </c>
    </row>
    <row r="541" spans="1:36" x14ac:dyDescent="0.3">
      <c r="A541" t="s">
        <v>140</v>
      </c>
      <c r="B541" s="3">
        <v>45150</v>
      </c>
      <c r="C541" s="3">
        <v>45175</v>
      </c>
      <c r="D541" s="3">
        <f t="shared" si="105"/>
        <v>45175</v>
      </c>
      <c r="E541" s="4">
        <f t="shared" si="104"/>
        <v>25</v>
      </c>
      <c r="F541" s="4">
        <f t="shared" si="106"/>
        <v>25</v>
      </c>
      <c r="G541" s="4">
        <f>IF(Table1[[#This Row],[CorrectedLeadTimeDays]]&lt;=7, 1, 0)</f>
        <v>0</v>
      </c>
      <c r="H541" s="4" t="str">
        <f t="shared" si="107"/>
        <v>August</v>
      </c>
      <c r="I541" s="4" t="str">
        <f t="shared" si="108"/>
        <v>Q3-2023</v>
      </c>
      <c r="J541" s="4" t="str">
        <f t="shared" si="109"/>
        <v>2023-01</v>
      </c>
      <c r="K541" s="3">
        <f t="shared" si="110"/>
        <v>44938</v>
      </c>
      <c r="L541" t="s">
        <v>647</v>
      </c>
      <c r="M541" t="s">
        <v>659</v>
      </c>
      <c r="N541" t="s">
        <v>685</v>
      </c>
      <c r="O541" t="s">
        <v>705</v>
      </c>
      <c r="P541" t="s">
        <v>707</v>
      </c>
      <c r="Q541" t="s">
        <v>717</v>
      </c>
      <c r="R541">
        <f t="shared" si="111"/>
        <v>7</v>
      </c>
      <c r="S541" t="s">
        <v>727</v>
      </c>
      <c r="T541" t="s">
        <v>859</v>
      </c>
      <c r="U541" s="4">
        <v>950.77</v>
      </c>
      <c r="V541" s="4">
        <f>Table1[[#This Row],[UnitCost]]*(1+WhatIf!$B$3)</f>
        <v>998.30849999999998</v>
      </c>
      <c r="W541" s="4">
        <f t="shared" si="112"/>
        <v>13310.779999999999</v>
      </c>
      <c r="X541" s="4">
        <f>Table1[[#This Row],[ScenarioRev]]-Table1[[#This Row],[ScenarioUnitCost]]</f>
        <v>8802.5360920000021</v>
      </c>
      <c r="Y541" s="4">
        <v>694.78</v>
      </c>
      <c r="Z541" s="4">
        <f t="shared" si="113"/>
        <v>8909.8587200000002</v>
      </c>
      <c r="AA541" s="4">
        <f>Table1[[#This Row],[ScenarioQuanity]]*Table1[[#This Row],[UnitPrice]]*(1-Table1[[#This Row],[ScenarioDiscPct]])</f>
        <v>9800.8445920000013</v>
      </c>
      <c r="AB541" s="4">
        <f t="shared" si="114"/>
        <v>-4400.9212799999987</v>
      </c>
      <c r="AC541" s="4">
        <f>Table1[[#This Row],[ScenarioRev]] - Table1[[#This Row],[ScenarioCostOfGoods]]</f>
        <v>998.30849999999919</v>
      </c>
      <c r="AD541" s="6">
        <v>8.4000000000000005E-2</v>
      </c>
      <c r="AE541" s="6">
        <f>MIN(Table1[[#This Row],[DiscountPct]], WhatIf!$B$2)</f>
        <v>8.4000000000000005E-2</v>
      </c>
      <c r="AF541" s="6">
        <f>IF(Table1[[#This Row],[DiscountPct]]&gt;0.2, 1, 0)</f>
        <v>0</v>
      </c>
      <c r="AG541" s="6" t="str">
        <f t="shared" si="115"/>
        <v>Low</v>
      </c>
      <c r="AH541" s="6">
        <f t="shared" si="116"/>
        <v>-0.49393839097821279</v>
      </c>
      <c r="AI541" s="5">
        <v>14</v>
      </c>
      <c r="AJ541" s="6">
        <f>Table1[[#This Row],[Quantity]]*(1+WhatIf!$B$4)</f>
        <v>15.400000000000002</v>
      </c>
    </row>
    <row r="542" spans="1:36" x14ac:dyDescent="0.3">
      <c r="A542" t="s">
        <v>17</v>
      </c>
      <c r="B542" s="3">
        <v>44985</v>
      </c>
      <c r="C542" s="3">
        <v>45010</v>
      </c>
      <c r="D542" s="3">
        <f t="shared" si="105"/>
        <v>45010</v>
      </c>
      <c r="E542" s="4">
        <f t="shared" si="104"/>
        <v>25</v>
      </c>
      <c r="F542" s="4">
        <f t="shared" si="106"/>
        <v>25</v>
      </c>
      <c r="G542" s="4">
        <f>IF(Table1[[#This Row],[CorrectedLeadTimeDays]]&lt;=7, 1, 0)</f>
        <v>0</v>
      </c>
      <c r="H542" s="4" t="str">
        <f t="shared" si="107"/>
        <v>February</v>
      </c>
      <c r="I542" s="4" t="str">
        <f t="shared" si="108"/>
        <v>Q1-2023</v>
      </c>
      <c r="J542" s="4" t="str">
        <f t="shared" si="109"/>
        <v>2023-01</v>
      </c>
      <c r="K542" s="3">
        <f t="shared" si="110"/>
        <v>44946</v>
      </c>
      <c r="L542" t="s">
        <v>646</v>
      </c>
      <c r="M542" t="s">
        <v>650</v>
      </c>
      <c r="N542" t="s">
        <v>664</v>
      </c>
      <c r="O542" t="s">
        <v>701</v>
      </c>
      <c r="P542" t="s">
        <v>707</v>
      </c>
      <c r="Q542" t="s">
        <v>714</v>
      </c>
      <c r="R542">
        <f t="shared" si="111"/>
        <v>1</v>
      </c>
      <c r="S542" t="s">
        <v>729</v>
      </c>
      <c r="T542" t="s">
        <v>736</v>
      </c>
      <c r="U542" s="4">
        <v>1460.76</v>
      </c>
      <c r="V542" s="4">
        <f>Table1[[#This Row],[UnitCost]]*(1+WhatIf!$B$3)</f>
        <v>1533.798</v>
      </c>
      <c r="W542" s="4">
        <f t="shared" si="112"/>
        <v>17529.12</v>
      </c>
      <c r="X542" s="4">
        <f>Table1[[#This Row],[ScenarioRev]]-Table1[[#This Row],[ScenarioUnitCost]]</f>
        <v>-1182.1032719999998</v>
      </c>
      <c r="Y542" s="4">
        <v>30.66</v>
      </c>
      <c r="Z542" s="4">
        <f t="shared" si="113"/>
        <v>319.72248000000002</v>
      </c>
      <c r="AA542" s="4">
        <f>Table1[[#This Row],[ScenarioQuanity]]*Table1[[#This Row],[UnitPrice]]*(1-Table1[[#This Row],[ScenarioDiscPct]])</f>
        <v>351.69472800000005</v>
      </c>
      <c r="AB542" s="4">
        <f t="shared" si="114"/>
        <v>-17209.397519999999</v>
      </c>
      <c r="AC542" s="4">
        <f>Table1[[#This Row],[ScenarioRev]] - Table1[[#This Row],[ScenarioCostOfGoods]]</f>
        <v>1533.7979999999998</v>
      </c>
      <c r="AD542" s="6">
        <v>0.13100000000000001</v>
      </c>
      <c r="AE542" s="6">
        <f>MIN(Table1[[#This Row],[DiscountPct]], WhatIf!$B$2)</f>
        <v>0.13100000000000001</v>
      </c>
      <c r="AF542" s="6">
        <f>IF(Table1[[#This Row],[DiscountPct]]&gt;0.2, 1, 0)</f>
        <v>0</v>
      </c>
      <c r="AG542" s="6" t="str">
        <f t="shared" si="115"/>
        <v>Low</v>
      </c>
      <c r="AH542" s="6">
        <f t="shared" si="116"/>
        <v>-53.826047890032626</v>
      </c>
      <c r="AI542" s="5">
        <v>12</v>
      </c>
      <c r="AJ542" s="6">
        <f>Table1[[#This Row],[Quantity]]*(1+WhatIf!$B$4)</f>
        <v>13.200000000000001</v>
      </c>
    </row>
    <row r="543" spans="1:36" x14ac:dyDescent="0.3">
      <c r="A543" t="s">
        <v>343</v>
      </c>
      <c r="B543" s="3">
        <v>45221</v>
      </c>
      <c r="C543" s="3">
        <v>45246</v>
      </c>
      <c r="D543" s="3">
        <f t="shared" si="105"/>
        <v>45246</v>
      </c>
      <c r="E543" s="4">
        <f t="shared" si="104"/>
        <v>25</v>
      </c>
      <c r="F543" s="4">
        <f t="shared" si="106"/>
        <v>25</v>
      </c>
      <c r="G543" s="4">
        <f>IF(Table1[[#This Row],[CorrectedLeadTimeDays]]&lt;=7, 1, 0)</f>
        <v>0</v>
      </c>
      <c r="H543" s="4" t="str">
        <f t="shared" si="107"/>
        <v>October</v>
      </c>
      <c r="I543" s="4" t="str">
        <f t="shared" si="108"/>
        <v>Q4-2023</v>
      </c>
      <c r="J543" s="4" t="str">
        <f t="shared" si="109"/>
        <v>2023-01</v>
      </c>
      <c r="K543" s="3">
        <f t="shared" si="110"/>
        <v>44928</v>
      </c>
      <c r="L543" t="s">
        <v>648</v>
      </c>
      <c r="M543" t="s">
        <v>653</v>
      </c>
      <c r="N543" t="s">
        <v>667</v>
      </c>
      <c r="O543" t="s">
        <v>705</v>
      </c>
      <c r="P543" t="s">
        <v>709</v>
      </c>
      <c r="Q543" t="s">
        <v>714</v>
      </c>
      <c r="R543">
        <f t="shared" si="111"/>
        <v>9</v>
      </c>
      <c r="S543" t="s">
        <v>731</v>
      </c>
      <c r="T543" t="s">
        <v>1063</v>
      </c>
      <c r="U543" s="4">
        <v>1373.31</v>
      </c>
      <c r="V543" s="4">
        <f>Table1[[#This Row],[UnitCost]]*(1+WhatIf!$B$3)</f>
        <v>1441.9755</v>
      </c>
      <c r="W543" s="4">
        <f t="shared" si="112"/>
        <v>15106.41</v>
      </c>
      <c r="X543" s="4">
        <f>Table1[[#This Row],[ScenarioRev]]-Table1[[#This Row],[ScenarioUnitCost]]</f>
        <v>29090.099700000006</v>
      </c>
      <c r="Y543" s="4">
        <v>3154.14</v>
      </c>
      <c r="Z543" s="4">
        <f t="shared" si="113"/>
        <v>27756.432000000001</v>
      </c>
      <c r="AA543" s="4">
        <f>Table1[[#This Row],[ScenarioQuanity]]*Table1[[#This Row],[UnitPrice]]*(1-Table1[[#This Row],[ScenarioDiscPct]])</f>
        <v>30532.075200000007</v>
      </c>
      <c r="AB543" s="4">
        <f t="shared" si="114"/>
        <v>12650.022000000001</v>
      </c>
      <c r="AC543" s="4">
        <f>Table1[[#This Row],[ScenarioRev]] - Table1[[#This Row],[ScenarioCostOfGoods]]</f>
        <v>1441.9755000000005</v>
      </c>
      <c r="AD543" s="6">
        <v>0.2</v>
      </c>
      <c r="AE543" s="6">
        <f>MIN(Table1[[#This Row],[DiscountPct]], WhatIf!$B$2)</f>
        <v>0.2</v>
      </c>
      <c r="AF543" s="6">
        <f>IF(Table1[[#This Row],[DiscountPct]]&gt;0.2, 1, 0)</f>
        <v>0</v>
      </c>
      <c r="AG543" s="6" t="str">
        <f t="shared" si="115"/>
        <v>High</v>
      </c>
      <c r="AH543" s="6">
        <f t="shared" si="116"/>
        <v>0.45575101295440279</v>
      </c>
      <c r="AI543" s="5">
        <v>11</v>
      </c>
      <c r="AJ543" s="6">
        <f>Table1[[#This Row],[Quantity]]*(1+WhatIf!$B$4)</f>
        <v>12.100000000000001</v>
      </c>
    </row>
    <row r="544" spans="1:36" x14ac:dyDescent="0.3">
      <c r="A544" t="s">
        <v>243</v>
      </c>
      <c r="B544" s="3">
        <v>44992</v>
      </c>
      <c r="C544" s="3">
        <v>45017</v>
      </c>
      <c r="D544" s="3">
        <f t="shared" si="105"/>
        <v>45017</v>
      </c>
      <c r="E544" s="4">
        <f t="shared" si="104"/>
        <v>25</v>
      </c>
      <c r="F544" s="4">
        <f t="shared" si="106"/>
        <v>25</v>
      </c>
      <c r="G544" s="4">
        <f>IF(Table1[[#This Row],[CorrectedLeadTimeDays]]&lt;=7, 1, 0)</f>
        <v>0</v>
      </c>
      <c r="H544" s="4" t="str">
        <f t="shared" si="107"/>
        <v>March</v>
      </c>
      <c r="I544" s="4" t="str">
        <f t="shared" si="108"/>
        <v>Q1-2023</v>
      </c>
      <c r="J544" s="4" t="str">
        <f t="shared" si="109"/>
        <v>2023-01</v>
      </c>
      <c r="K544" s="3">
        <f t="shared" si="110"/>
        <v>44946</v>
      </c>
      <c r="L544" t="s">
        <v>646</v>
      </c>
      <c r="M544" t="s">
        <v>650</v>
      </c>
      <c r="N544" t="s">
        <v>664</v>
      </c>
      <c r="O544" t="s">
        <v>704</v>
      </c>
      <c r="P544" t="s">
        <v>709</v>
      </c>
      <c r="Q544" t="s">
        <v>726</v>
      </c>
      <c r="R544">
        <f t="shared" si="111"/>
        <v>1</v>
      </c>
      <c r="S544" t="s">
        <v>728</v>
      </c>
      <c r="T544" t="s">
        <v>963</v>
      </c>
      <c r="U544" s="4">
        <v>1024.0999999999999</v>
      </c>
      <c r="V544" s="4">
        <f>Table1[[#This Row],[UnitCost]]*(1+WhatIf!$B$3)</f>
        <v>1075.3049999999998</v>
      </c>
      <c r="W544" s="4">
        <f t="shared" si="112"/>
        <v>10241</v>
      </c>
      <c r="X544" s="4">
        <f>Table1[[#This Row],[ScenarioRev]]-Table1[[#This Row],[ScenarioUnitCost]]</f>
        <v>7115.8679899999988</v>
      </c>
      <c r="Y544" s="4">
        <v>918.19</v>
      </c>
      <c r="Z544" s="4">
        <f t="shared" si="113"/>
        <v>7446.5209000000004</v>
      </c>
      <c r="AA544" s="4">
        <f>Table1[[#This Row],[ScenarioQuanity]]*Table1[[#This Row],[UnitPrice]]*(1-Table1[[#This Row],[ScenarioDiscPct]])</f>
        <v>8191.1729899999991</v>
      </c>
      <c r="AB544" s="4">
        <f t="shared" si="114"/>
        <v>-2794.4790999999996</v>
      </c>
      <c r="AC544" s="4">
        <f>Table1[[#This Row],[ScenarioRev]] - Table1[[#This Row],[ScenarioCostOfGoods]]</f>
        <v>1075.3050000000003</v>
      </c>
      <c r="AD544" s="6">
        <v>0.189</v>
      </c>
      <c r="AE544" s="6">
        <f>MIN(Table1[[#This Row],[DiscountPct]], WhatIf!$B$2)</f>
        <v>0.189</v>
      </c>
      <c r="AF544" s="6">
        <f>IF(Table1[[#This Row],[DiscountPct]]&gt;0.2, 1, 0)</f>
        <v>0</v>
      </c>
      <c r="AG544" s="6" t="str">
        <f t="shared" si="115"/>
        <v>High</v>
      </c>
      <c r="AH544" s="6">
        <f t="shared" si="116"/>
        <v>-0.37527311579827827</v>
      </c>
      <c r="AI544" s="5">
        <v>10</v>
      </c>
      <c r="AJ544" s="6">
        <f>Table1[[#This Row],[Quantity]]*(1+WhatIf!$B$4)</f>
        <v>11</v>
      </c>
    </row>
    <row r="545" spans="1:36" x14ac:dyDescent="0.3">
      <c r="A545" t="s">
        <v>27</v>
      </c>
      <c r="B545" s="3">
        <v>45722</v>
      </c>
      <c r="C545" s="3">
        <v>45747</v>
      </c>
      <c r="D545" s="3">
        <f t="shared" si="105"/>
        <v>45747</v>
      </c>
      <c r="E545" s="4">
        <f t="shared" si="104"/>
        <v>25</v>
      </c>
      <c r="F545" s="4">
        <f t="shared" si="106"/>
        <v>25</v>
      </c>
      <c r="G545" s="4">
        <f>IF(Table1[[#This Row],[CorrectedLeadTimeDays]]&lt;=7, 1, 0)</f>
        <v>0</v>
      </c>
      <c r="H545" s="4" t="str">
        <f t="shared" si="107"/>
        <v>March</v>
      </c>
      <c r="I545" s="4" t="str">
        <f t="shared" si="108"/>
        <v>Q1-2025</v>
      </c>
      <c r="J545" s="4" t="str">
        <f t="shared" si="109"/>
        <v>2023-01</v>
      </c>
      <c r="K545" s="3">
        <f t="shared" si="110"/>
        <v>44955</v>
      </c>
      <c r="L545" t="s">
        <v>648</v>
      </c>
      <c r="M545" t="s">
        <v>655</v>
      </c>
      <c r="N545" t="s">
        <v>672</v>
      </c>
      <c r="O545" t="s">
        <v>703</v>
      </c>
      <c r="P545" t="s">
        <v>708</v>
      </c>
      <c r="Q545" t="s">
        <v>713</v>
      </c>
      <c r="R545">
        <f t="shared" si="111"/>
        <v>25</v>
      </c>
      <c r="S545" t="s">
        <v>727</v>
      </c>
      <c r="T545" t="s">
        <v>746</v>
      </c>
      <c r="U545" s="4">
        <v>331.57</v>
      </c>
      <c r="V545" s="4">
        <f>Table1[[#This Row],[UnitCost]]*(1+WhatIf!$B$3)</f>
        <v>348.14850000000001</v>
      </c>
      <c r="W545" s="4">
        <f t="shared" si="112"/>
        <v>3315.7</v>
      </c>
      <c r="X545" s="4">
        <f>Table1[[#This Row],[ScenarioRev]]-Table1[[#This Row],[ScenarioUnitCost]]</f>
        <v>5117.2058999999999</v>
      </c>
      <c r="Y545" s="4">
        <v>548.4</v>
      </c>
      <c r="Z545" s="4">
        <f t="shared" si="113"/>
        <v>4968.5039999999999</v>
      </c>
      <c r="AA545" s="4">
        <f>Table1[[#This Row],[ScenarioQuanity]]*Table1[[#This Row],[UnitPrice]]*(1-Table1[[#This Row],[ScenarioDiscPct]])</f>
        <v>5465.3544000000002</v>
      </c>
      <c r="AB545" s="4">
        <f t="shared" si="114"/>
        <v>1652.8040000000001</v>
      </c>
      <c r="AC545" s="4">
        <f>Table1[[#This Row],[ScenarioRev]] - Table1[[#This Row],[ScenarioCostOfGoods]]</f>
        <v>348.14850000000024</v>
      </c>
      <c r="AD545" s="6">
        <v>9.4E-2</v>
      </c>
      <c r="AE545" s="6">
        <f>MIN(Table1[[#This Row],[DiscountPct]], WhatIf!$B$2)</f>
        <v>9.4E-2</v>
      </c>
      <c r="AF545" s="6">
        <f>IF(Table1[[#This Row],[DiscountPct]]&gt;0.2, 1, 0)</f>
        <v>0</v>
      </c>
      <c r="AG545" s="6" t="str">
        <f t="shared" si="115"/>
        <v>Low</v>
      </c>
      <c r="AH545" s="6">
        <f t="shared" si="116"/>
        <v>0.33265626836568918</v>
      </c>
      <c r="AI545" s="5">
        <v>10</v>
      </c>
      <c r="AJ545" s="6">
        <f>Table1[[#This Row],[Quantity]]*(1+WhatIf!$B$4)</f>
        <v>11</v>
      </c>
    </row>
    <row r="546" spans="1:36" x14ac:dyDescent="0.3">
      <c r="A546" t="s">
        <v>230</v>
      </c>
      <c r="B546" s="3">
        <v>45280</v>
      </c>
      <c r="C546" s="3">
        <v>45305</v>
      </c>
      <c r="D546" s="3">
        <f t="shared" si="105"/>
        <v>45305</v>
      </c>
      <c r="E546" s="4">
        <f t="shared" si="104"/>
        <v>25</v>
      </c>
      <c r="F546" s="4">
        <f t="shared" si="106"/>
        <v>25</v>
      </c>
      <c r="G546" s="4">
        <f>IF(Table1[[#This Row],[CorrectedLeadTimeDays]]&lt;=7, 1, 0)</f>
        <v>0</v>
      </c>
      <c r="H546" s="4" t="str">
        <f t="shared" si="107"/>
        <v>December</v>
      </c>
      <c r="I546" s="4" t="str">
        <f t="shared" si="108"/>
        <v>Q4-2023</v>
      </c>
      <c r="J546" s="4" t="str">
        <f t="shared" si="109"/>
        <v>2023-01</v>
      </c>
      <c r="K546" s="3">
        <f t="shared" si="110"/>
        <v>44955</v>
      </c>
      <c r="L546" t="s">
        <v>647</v>
      </c>
      <c r="M546" t="s">
        <v>654</v>
      </c>
      <c r="N546" t="s">
        <v>691</v>
      </c>
      <c r="O546" t="s">
        <v>703</v>
      </c>
      <c r="P546" t="s">
        <v>709</v>
      </c>
      <c r="Q546" t="s">
        <v>716</v>
      </c>
      <c r="R546">
        <f t="shared" si="111"/>
        <v>10</v>
      </c>
      <c r="S546" t="s">
        <v>732</v>
      </c>
      <c r="T546" t="s">
        <v>950</v>
      </c>
      <c r="U546" s="4">
        <v>1085.6099999999999</v>
      </c>
      <c r="V546" s="4">
        <f>Table1[[#This Row],[UnitCost]]*(1+WhatIf!$B$3)</f>
        <v>1139.8905</v>
      </c>
      <c r="W546" s="4">
        <f t="shared" si="112"/>
        <v>7599.2699999999995</v>
      </c>
      <c r="X546" s="4">
        <f>Table1[[#This Row],[ScenarioRev]]-Table1[[#This Row],[ScenarioUnitCost]]</f>
        <v>7372.965159000003</v>
      </c>
      <c r="Y546" s="4">
        <v>1246.4100000000001</v>
      </c>
      <c r="Z546" s="4">
        <f t="shared" si="113"/>
        <v>7738.9596900000006</v>
      </c>
      <c r="AA546" s="4">
        <f>Table1[[#This Row],[ScenarioQuanity]]*Table1[[#This Row],[UnitPrice]]*(1-Table1[[#This Row],[ScenarioDiscPct]])</f>
        <v>8512.8556590000026</v>
      </c>
      <c r="AB546" s="4">
        <f t="shared" si="114"/>
        <v>139.68969000000106</v>
      </c>
      <c r="AC546" s="4">
        <f>Table1[[#This Row],[ScenarioRev]] - Table1[[#This Row],[ScenarioCostOfGoods]]</f>
        <v>1139.8904999999995</v>
      </c>
      <c r="AD546" s="6">
        <v>0.113</v>
      </c>
      <c r="AE546" s="6">
        <f>MIN(Table1[[#This Row],[DiscountPct]], WhatIf!$B$2)</f>
        <v>0.113</v>
      </c>
      <c r="AF546" s="6">
        <f>IF(Table1[[#This Row],[DiscountPct]]&gt;0.2, 1, 0)</f>
        <v>0</v>
      </c>
      <c r="AG546" s="6" t="str">
        <f t="shared" si="115"/>
        <v>High</v>
      </c>
      <c r="AH546" s="6">
        <f t="shared" si="116"/>
        <v>1.8050189637310417E-2</v>
      </c>
      <c r="AI546" s="5">
        <v>7</v>
      </c>
      <c r="AJ546" s="6">
        <f>Table1[[#This Row],[Quantity]]*(1+WhatIf!$B$4)</f>
        <v>7.7000000000000011</v>
      </c>
    </row>
    <row r="547" spans="1:36" x14ac:dyDescent="0.3">
      <c r="A547" t="s">
        <v>532</v>
      </c>
      <c r="B547" s="3">
        <v>45413</v>
      </c>
      <c r="C547" s="3">
        <v>45438</v>
      </c>
      <c r="D547" s="3">
        <f t="shared" si="105"/>
        <v>45438</v>
      </c>
      <c r="E547" s="4">
        <f t="shared" si="104"/>
        <v>25</v>
      </c>
      <c r="F547" s="4">
        <f t="shared" si="106"/>
        <v>25</v>
      </c>
      <c r="G547" s="4">
        <f>IF(Table1[[#This Row],[CorrectedLeadTimeDays]]&lt;=7, 1, 0)</f>
        <v>0</v>
      </c>
      <c r="H547" s="4" t="str">
        <f t="shared" si="107"/>
        <v>May</v>
      </c>
      <c r="I547" s="4" t="str">
        <f t="shared" si="108"/>
        <v>Q2-2024</v>
      </c>
      <c r="J547" s="4" t="str">
        <f t="shared" si="109"/>
        <v>2023-01</v>
      </c>
      <c r="K547" s="3">
        <f t="shared" si="110"/>
        <v>44948</v>
      </c>
      <c r="L547" t="s">
        <v>649</v>
      </c>
      <c r="M547" t="s">
        <v>656</v>
      </c>
      <c r="N547" t="s">
        <v>671</v>
      </c>
      <c r="O547" t="s">
        <v>703</v>
      </c>
      <c r="P547" t="s">
        <v>707</v>
      </c>
      <c r="Q547" t="s">
        <v>717</v>
      </c>
      <c r="R547">
        <f t="shared" si="111"/>
        <v>15</v>
      </c>
      <c r="S547" t="s">
        <v>729</v>
      </c>
      <c r="T547" t="s">
        <v>1251</v>
      </c>
      <c r="U547" s="4">
        <v>930.71</v>
      </c>
      <c r="V547" s="4">
        <f>Table1[[#This Row],[UnitCost]]*(1+WhatIf!$B$3)</f>
        <v>977.24550000000011</v>
      </c>
      <c r="W547" s="4">
        <f t="shared" si="112"/>
        <v>6514.97</v>
      </c>
      <c r="X547" s="4">
        <f>Table1[[#This Row],[ScenarioRev]]-Table1[[#This Row],[ScenarioUnitCost]]</f>
        <v>9811.3172080000004</v>
      </c>
      <c r="Y547" s="4">
        <v>1625.42</v>
      </c>
      <c r="Z547" s="4">
        <f t="shared" si="113"/>
        <v>9807.7842799999999</v>
      </c>
      <c r="AA547" s="4">
        <f>Table1[[#This Row],[ScenarioQuanity]]*Table1[[#This Row],[UnitPrice]]*(1-Table1[[#This Row],[ScenarioDiscPct]])</f>
        <v>10788.562708000001</v>
      </c>
      <c r="AB547" s="4">
        <f t="shared" si="114"/>
        <v>3292.8142799999996</v>
      </c>
      <c r="AC547" s="4">
        <f>Table1[[#This Row],[ScenarioRev]] - Table1[[#This Row],[ScenarioCostOfGoods]]</f>
        <v>977.2455000000009</v>
      </c>
      <c r="AD547" s="6">
        <v>0.13800000000000001</v>
      </c>
      <c r="AE547" s="6">
        <f>MIN(Table1[[#This Row],[DiscountPct]], WhatIf!$B$2)</f>
        <v>0.13800000000000001</v>
      </c>
      <c r="AF547" s="6">
        <f>IF(Table1[[#This Row],[DiscountPct]]&gt;0.2, 1, 0)</f>
        <v>0</v>
      </c>
      <c r="AG547" s="6" t="str">
        <f t="shared" si="115"/>
        <v>High</v>
      </c>
      <c r="AH547" s="6">
        <f t="shared" si="116"/>
        <v>0.33573477821231196</v>
      </c>
      <c r="AI547" s="5">
        <v>7</v>
      </c>
      <c r="AJ547" s="6">
        <f>Table1[[#This Row],[Quantity]]*(1+WhatIf!$B$4)</f>
        <v>7.7000000000000011</v>
      </c>
    </row>
    <row r="548" spans="1:36" x14ac:dyDescent="0.3">
      <c r="A548" t="s">
        <v>23</v>
      </c>
      <c r="B548" s="3">
        <v>45416</v>
      </c>
      <c r="C548" s="3">
        <v>45441</v>
      </c>
      <c r="D548" s="3">
        <f t="shared" si="105"/>
        <v>45441</v>
      </c>
      <c r="E548" s="4">
        <f t="shared" si="104"/>
        <v>25</v>
      </c>
      <c r="F548" s="4">
        <f t="shared" si="106"/>
        <v>25</v>
      </c>
      <c r="G548" s="4">
        <f>IF(Table1[[#This Row],[CorrectedLeadTimeDays]]&lt;=7, 1, 0)</f>
        <v>0</v>
      </c>
      <c r="H548" s="4" t="str">
        <f t="shared" si="107"/>
        <v>May</v>
      </c>
      <c r="I548" s="4" t="str">
        <f t="shared" si="108"/>
        <v>Q2-2024</v>
      </c>
      <c r="J548" s="4" t="str">
        <f t="shared" si="109"/>
        <v>2023-01</v>
      </c>
      <c r="K548" s="3">
        <f t="shared" si="110"/>
        <v>44941</v>
      </c>
      <c r="L548" t="s">
        <v>646</v>
      </c>
      <c r="M548" t="s">
        <v>651</v>
      </c>
      <c r="N548" t="s">
        <v>669</v>
      </c>
      <c r="O548" t="s">
        <v>703</v>
      </c>
      <c r="P548" t="s">
        <v>709</v>
      </c>
      <c r="Q548" t="s">
        <v>719</v>
      </c>
      <c r="R548">
        <f t="shared" si="111"/>
        <v>15</v>
      </c>
      <c r="S548" t="s">
        <v>732</v>
      </c>
      <c r="T548" t="s">
        <v>742</v>
      </c>
      <c r="U548" s="4">
        <v>1295.3399999999999</v>
      </c>
      <c r="V548" s="4">
        <f>Table1[[#This Row],[UnitCost]]*(1+WhatIf!$B$3)</f>
        <v>1360.107</v>
      </c>
      <c r="W548" s="4">
        <f t="shared" si="112"/>
        <v>7772.0399999999991</v>
      </c>
      <c r="X548" s="4">
        <f>Table1[[#This Row],[ScenarioRev]]-Table1[[#This Row],[ScenarioUnitCost]]</f>
        <v>14825.435274000001</v>
      </c>
      <c r="Y548" s="4">
        <v>2530.81</v>
      </c>
      <c r="Z548" s="4">
        <f t="shared" si="113"/>
        <v>14714.12934</v>
      </c>
      <c r="AA548" s="4">
        <f>Table1[[#This Row],[ScenarioQuanity]]*Table1[[#This Row],[UnitPrice]]*(1-Table1[[#This Row],[ScenarioDiscPct]])</f>
        <v>16185.542274000001</v>
      </c>
      <c r="AB548" s="4">
        <f t="shared" si="114"/>
        <v>6942.0893400000004</v>
      </c>
      <c r="AC548" s="4">
        <f>Table1[[#This Row],[ScenarioRev]] - Table1[[#This Row],[ScenarioCostOfGoods]]</f>
        <v>1360.107</v>
      </c>
      <c r="AD548" s="6">
        <v>3.1E-2</v>
      </c>
      <c r="AE548" s="6">
        <f>MIN(Table1[[#This Row],[DiscountPct]], WhatIf!$B$2)</f>
        <v>3.1E-2</v>
      </c>
      <c r="AF548" s="6">
        <f>IF(Table1[[#This Row],[DiscountPct]]&gt;0.2, 1, 0)</f>
        <v>0</v>
      </c>
      <c r="AG548" s="6" t="str">
        <f t="shared" si="115"/>
        <v>High</v>
      </c>
      <c r="AH548" s="6">
        <f t="shared" si="116"/>
        <v>0.4717974933880798</v>
      </c>
      <c r="AI548" s="5">
        <v>6</v>
      </c>
      <c r="AJ548" s="6">
        <f>Table1[[#This Row],[Quantity]]*(1+WhatIf!$B$4)</f>
        <v>6.6000000000000005</v>
      </c>
    </row>
    <row r="549" spans="1:36" x14ac:dyDescent="0.3">
      <c r="A549" t="s">
        <v>432</v>
      </c>
      <c r="B549" s="3">
        <v>45730</v>
      </c>
      <c r="C549" s="3">
        <v>45755</v>
      </c>
      <c r="D549" s="3">
        <f t="shared" si="105"/>
        <v>45755</v>
      </c>
      <c r="E549" s="4">
        <f t="shared" si="104"/>
        <v>25</v>
      </c>
      <c r="F549" s="4">
        <f t="shared" si="106"/>
        <v>25</v>
      </c>
      <c r="G549" s="4">
        <f>IF(Table1[[#This Row],[CorrectedLeadTimeDays]]&lt;=7, 1, 0)</f>
        <v>0</v>
      </c>
      <c r="H549" s="4" t="str">
        <f t="shared" si="107"/>
        <v>March</v>
      </c>
      <c r="I549" s="4" t="str">
        <f t="shared" si="108"/>
        <v>Q1-2025</v>
      </c>
      <c r="J549" s="4" t="str">
        <f t="shared" si="109"/>
        <v>2023-01</v>
      </c>
      <c r="K549" s="3">
        <f t="shared" si="110"/>
        <v>44938</v>
      </c>
      <c r="L549" t="s">
        <v>647</v>
      </c>
      <c r="M549" t="s">
        <v>659</v>
      </c>
      <c r="O549" t="s">
        <v>701</v>
      </c>
      <c r="P549" t="s">
        <v>710</v>
      </c>
      <c r="Q549" t="s">
        <v>726</v>
      </c>
      <c r="R549">
        <f t="shared" si="111"/>
        <v>26</v>
      </c>
      <c r="S549" t="s">
        <v>728</v>
      </c>
      <c r="T549" t="s">
        <v>1151</v>
      </c>
      <c r="U549" s="4">
        <v>80.59</v>
      </c>
      <c r="V549" s="4">
        <f>Table1[[#This Row],[UnitCost]]*(1+WhatIf!$B$3)</f>
        <v>84.619500000000002</v>
      </c>
      <c r="W549" s="4">
        <f t="shared" si="112"/>
        <v>483.54</v>
      </c>
      <c r="X549" s="4">
        <f>Table1[[#This Row],[ScenarioRev]]-Table1[[#This Row],[ScenarioUnitCost]]</f>
        <v>748.67010000000005</v>
      </c>
      <c r="Y549" s="4">
        <v>157.82</v>
      </c>
      <c r="Z549" s="4">
        <f t="shared" si="113"/>
        <v>741.43835999999999</v>
      </c>
      <c r="AA549" s="4">
        <f>Table1[[#This Row],[ScenarioQuanity]]*Table1[[#This Row],[UnitPrice]]*(1-Table1[[#This Row],[ScenarioDiscPct]])</f>
        <v>833.28960000000006</v>
      </c>
      <c r="AB549" s="4">
        <f t="shared" si="114"/>
        <v>257.89835999999997</v>
      </c>
      <c r="AC549" s="4">
        <f>Table1[[#This Row],[ScenarioRev]] - Table1[[#This Row],[ScenarioCostOfGoods]]</f>
        <v>84.619500000000016</v>
      </c>
      <c r="AD549" s="6">
        <v>0.217</v>
      </c>
      <c r="AE549" s="6">
        <f>MIN(Table1[[#This Row],[DiscountPct]], WhatIf!$B$2)</f>
        <v>0.2</v>
      </c>
      <c r="AF549" s="6">
        <f>IF(Table1[[#This Row],[DiscountPct]]&gt;0.2, 1, 0)</f>
        <v>1</v>
      </c>
      <c r="AG549" s="6" t="str">
        <f t="shared" si="115"/>
        <v>Low</v>
      </c>
      <c r="AH549" s="6">
        <f t="shared" si="116"/>
        <v>0.34783519967863541</v>
      </c>
      <c r="AI549" s="5">
        <v>6</v>
      </c>
      <c r="AJ549" s="6">
        <f>Table1[[#This Row],[Quantity]]*(1+WhatIf!$B$4)</f>
        <v>6.6000000000000005</v>
      </c>
    </row>
    <row r="550" spans="1:36" x14ac:dyDescent="0.3">
      <c r="A550" t="s">
        <v>176</v>
      </c>
      <c r="B550" s="3">
        <v>45595</v>
      </c>
      <c r="C550" s="3">
        <v>45620</v>
      </c>
      <c r="D550" s="3">
        <f t="shared" si="105"/>
        <v>45620</v>
      </c>
      <c r="E550" s="4">
        <f t="shared" si="104"/>
        <v>25</v>
      </c>
      <c r="F550" s="4">
        <f t="shared" si="106"/>
        <v>25</v>
      </c>
      <c r="G550" s="4">
        <f>IF(Table1[[#This Row],[CorrectedLeadTimeDays]]&lt;=7, 1, 0)</f>
        <v>0</v>
      </c>
      <c r="H550" s="4" t="str">
        <f t="shared" si="107"/>
        <v>October</v>
      </c>
      <c r="I550" s="4" t="str">
        <f t="shared" si="108"/>
        <v>Q4-2024</v>
      </c>
      <c r="J550" s="4" t="str">
        <f t="shared" si="109"/>
        <v>2023-01</v>
      </c>
      <c r="K550" s="3">
        <f t="shared" si="110"/>
        <v>44938</v>
      </c>
      <c r="L550" t="s">
        <v>647</v>
      </c>
      <c r="M550" t="s">
        <v>659</v>
      </c>
      <c r="N550" t="s">
        <v>676</v>
      </c>
      <c r="O550" t="s">
        <v>705</v>
      </c>
      <c r="P550" t="s">
        <v>708</v>
      </c>
      <c r="Q550" t="s">
        <v>718</v>
      </c>
      <c r="R550">
        <f t="shared" si="111"/>
        <v>21</v>
      </c>
      <c r="S550" t="s">
        <v>727</v>
      </c>
      <c r="T550" t="s">
        <v>895</v>
      </c>
      <c r="U550" s="4">
        <v>811.05</v>
      </c>
      <c r="V550" s="4">
        <f>Table1[[#This Row],[UnitCost]]*(1+WhatIf!$B$3)</f>
        <v>851.60249999999996</v>
      </c>
      <c r="W550" s="4">
        <f t="shared" si="112"/>
        <v>4055.25</v>
      </c>
      <c r="X550" s="4">
        <f>Table1[[#This Row],[ScenarioRev]]-Table1[[#This Row],[ScenarioUnitCost]]</f>
        <v>5363.5893400000014</v>
      </c>
      <c r="Y550" s="4">
        <v>1217.71</v>
      </c>
      <c r="Z550" s="4">
        <f t="shared" si="113"/>
        <v>5650.1744000000008</v>
      </c>
      <c r="AA550" s="4">
        <f>Table1[[#This Row],[ScenarioQuanity]]*Table1[[#This Row],[UnitPrice]]*(1-Table1[[#This Row],[ScenarioDiscPct]])</f>
        <v>6215.1918400000013</v>
      </c>
      <c r="AB550" s="4">
        <f t="shared" si="114"/>
        <v>1594.9244000000008</v>
      </c>
      <c r="AC550" s="4">
        <f>Table1[[#This Row],[ScenarioRev]] - Table1[[#This Row],[ScenarioCostOfGoods]]</f>
        <v>851.60249999999996</v>
      </c>
      <c r="AD550" s="6">
        <v>7.1999999999999995E-2</v>
      </c>
      <c r="AE550" s="6">
        <f>MIN(Table1[[#This Row],[DiscountPct]], WhatIf!$B$2)</f>
        <v>7.1999999999999995E-2</v>
      </c>
      <c r="AF550" s="6">
        <f>IF(Table1[[#This Row],[DiscountPct]]&gt;0.2, 1, 0)</f>
        <v>0</v>
      </c>
      <c r="AG550" s="6" t="str">
        <f t="shared" si="115"/>
        <v>High</v>
      </c>
      <c r="AH550" s="6">
        <f t="shared" si="116"/>
        <v>0.28227879125288602</v>
      </c>
      <c r="AI550" s="5">
        <v>5</v>
      </c>
      <c r="AJ550" s="6">
        <f>Table1[[#This Row],[Quantity]]*(1+WhatIf!$B$4)</f>
        <v>5.5</v>
      </c>
    </row>
    <row r="551" spans="1:36" x14ac:dyDescent="0.3">
      <c r="A551" t="s">
        <v>241</v>
      </c>
      <c r="B551" s="3">
        <v>45203</v>
      </c>
      <c r="C551" s="3">
        <v>45228</v>
      </c>
      <c r="D551" s="3">
        <f t="shared" si="105"/>
        <v>45228</v>
      </c>
      <c r="E551" s="4">
        <f t="shared" si="104"/>
        <v>25</v>
      </c>
      <c r="F551" s="4">
        <f t="shared" si="106"/>
        <v>25</v>
      </c>
      <c r="G551" s="4">
        <f>IF(Table1[[#This Row],[CorrectedLeadTimeDays]]&lt;=7, 1, 0)</f>
        <v>0</v>
      </c>
      <c r="H551" s="4" t="str">
        <f t="shared" si="107"/>
        <v>October</v>
      </c>
      <c r="I551" s="4" t="str">
        <f t="shared" si="108"/>
        <v>Q4-2023</v>
      </c>
      <c r="J551" s="4" t="str">
        <f t="shared" si="109"/>
        <v>2023-01</v>
      </c>
      <c r="K551" s="3">
        <f t="shared" si="110"/>
        <v>44939</v>
      </c>
      <c r="L551" t="s">
        <v>648</v>
      </c>
      <c r="M551" t="s">
        <v>660</v>
      </c>
      <c r="N551" t="s">
        <v>686</v>
      </c>
      <c r="O551" t="s">
        <v>705</v>
      </c>
      <c r="P551" t="s">
        <v>710</v>
      </c>
      <c r="Q551" t="s">
        <v>719</v>
      </c>
      <c r="R551">
        <f t="shared" si="111"/>
        <v>8</v>
      </c>
      <c r="S551" t="s">
        <v>733</v>
      </c>
      <c r="T551" t="s">
        <v>961</v>
      </c>
      <c r="U551" s="4">
        <v>1239.8399999999999</v>
      </c>
      <c r="V551" s="4">
        <f>Table1[[#This Row],[UnitCost]]*(1+WhatIf!$B$3)</f>
        <v>1301.8319999999999</v>
      </c>
      <c r="W551" s="4">
        <f t="shared" si="112"/>
        <v>4959.3599999999997</v>
      </c>
      <c r="X551" s="4">
        <f>Table1[[#This Row],[ScenarioRev]]-Table1[[#This Row],[ScenarioUnitCost]]</f>
        <v>4785.1532999999999</v>
      </c>
      <c r="Y551" s="4">
        <v>1482.75</v>
      </c>
      <c r="Z551" s="4">
        <f t="shared" si="113"/>
        <v>5533.6230000000005</v>
      </c>
      <c r="AA551" s="4">
        <f>Table1[[#This Row],[ScenarioQuanity]]*Table1[[#This Row],[UnitPrice]]*(1-Table1[[#This Row],[ScenarioDiscPct]])</f>
        <v>6086.9853000000003</v>
      </c>
      <c r="AB551" s="4">
        <f t="shared" si="114"/>
        <v>574.26300000000083</v>
      </c>
      <c r="AC551" s="4">
        <f>Table1[[#This Row],[ScenarioRev]] - Table1[[#This Row],[ScenarioCostOfGoods]]</f>
        <v>1301.8320000000003</v>
      </c>
      <c r="AD551" s="6">
        <v>6.7000000000000004E-2</v>
      </c>
      <c r="AE551" s="6">
        <f>MIN(Table1[[#This Row],[DiscountPct]], WhatIf!$B$2)</f>
        <v>6.7000000000000004E-2</v>
      </c>
      <c r="AF551" s="6">
        <f>IF(Table1[[#This Row],[DiscountPct]]&gt;0.2, 1, 0)</f>
        <v>0</v>
      </c>
      <c r="AG551" s="6" t="str">
        <f t="shared" si="115"/>
        <v>High</v>
      </c>
      <c r="AH551" s="6">
        <f t="shared" si="116"/>
        <v>0.10377703721413634</v>
      </c>
      <c r="AI551" s="5">
        <v>4</v>
      </c>
      <c r="AJ551" s="6">
        <f>Table1[[#This Row],[Quantity]]*(1+WhatIf!$B$4)</f>
        <v>4.4000000000000004</v>
      </c>
    </row>
    <row r="552" spans="1:36" x14ac:dyDescent="0.3">
      <c r="A552" t="s">
        <v>612</v>
      </c>
      <c r="B552" s="3">
        <v>45726</v>
      </c>
      <c r="C552" s="3">
        <v>45751</v>
      </c>
      <c r="D552" s="3">
        <f t="shared" si="105"/>
        <v>45751</v>
      </c>
      <c r="E552" s="4">
        <f t="shared" si="104"/>
        <v>25</v>
      </c>
      <c r="F552" s="4">
        <f t="shared" si="106"/>
        <v>25</v>
      </c>
      <c r="G552" s="4">
        <f>IF(Table1[[#This Row],[CorrectedLeadTimeDays]]&lt;=7, 1, 0)</f>
        <v>0</v>
      </c>
      <c r="H552" s="4" t="str">
        <f t="shared" si="107"/>
        <v>March</v>
      </c>
      <c r="I552" s="4" t="str">
        <f t="shared" si="108"/>
        <v>Q1-2025</v>
      </c>
      <c r="J552" s="4" t="str">
        <f t="shared" si="109"/>
        <v>2023-03</v>
      </c>
      <c r="K552" s="3">
        <f t="shared" si="110"/>
        <v>44988</v>
      </c>
      <c r="L552" t="s">
        <v>647</v>
      </c>
      <c r="M552" t="s">
        <v>652</v>
      </c>
      <c r="N552" t="s">
        <v>666</v>
      </c>
      <c r="O552" t="s">
        <v>701</v>
      </c>
      <c r="P552" t="s">
        <v>711</v>
      </c>
      <c r="Q552" t="s">
        <v>722</v>
      </c>
      <c r="R552">
        <f t="shared" si="111"/>
        <v>24</v>
      </c>
      <c r="S552" t="s">
        <v>728</v>
      </c>
      <c r="T552" t="s">
        <v>1330</v>
      </c>
      <c r="U552" s="4">
        <v>783.72</v>
      </c>
      <c r="V552" s="4">
        <f>Table1[[#This Row],[UnitCost]]*(1+WhatIf!$B$3)</f>
        <v>822.90600000000006</v>
      </c>
      <c r="W552" s="4">
        <f t="shared" si="112"/>
        <v>3134.88</v>
      </c>
      <c r="X552" s="4">
        <f>Table1[[#This Row],[ScenarioRev]]-Table1[[#This Row],[ScenarioUnitCost]]</f>
        <v>4027.5625680000003</v>
      </c>
      <c r="Y552" s="4">
        <v>1355.94</v>
      </c>
      <c r="Z552" s="4">
        <f t="shared" si="113"/>
        <v>4409.5168800000001</v>
      </c>
      <c r="AA552" s="4">
        <f>Table1[[#This Row],[ScenarioQuanity]]*Table1[[#This Row],[UnitPrice]]*(1-Table1[[#This Row],[ScenarioDiscPct]])</f>
        <v>4850.4685680000002</v>
      </c>
      <c r="AB552" s="4">
        <f t="shared" si="114"/>
        <v>1274.63688</v>
      </c>
      <c r="AC552" s="4">
        <f>Table1[[#This Row],[ScenarioRev]] - Table1[[#This Row],[ScenarioCostOfGoods]]</f>
        <v>822.90599999999995</v>
      </c>
      <c r="AD552" s="6">
        <v>0.187</v>
      </c>
      <c r="AE552" s="6">
        <f>MIN(Table1[[#This Row],[DiscountPct]], WhatIf!$B$2)</f>
        <v>0.187</v>
      </c>
      <c r="AF552" s="6">
        <f>IF(Table1[[#This Row],[DiscountPct]]&gt;0.2, 1, 0)</f>
        <v>0</v>
      </c>
      <c r="AG552" s="6" t="str">
        <f t="shared" si="115"/>
        <v>High</v>
      </c>
      <c r="AH552" s="6">
        <f t="shared" si="116"/>
        <v>0.28906497348525856</v>
      </c>
      <c r="AI552" s="5">
        <v>4</v>
      </c>
      <c r="AJ552" s="6">
        <f>Table1[[#This Row],[Quantity]]*(1+WhatIf!$B$4)</f>
        <v>4.4000000000000004</v>
      </c>
    </row>
    <row r="553" spans="1:36" x14ac:dyDescent="0.3">
      <c r="A553" t="s">
        <v>50</v>
      </c>
      <c r="B553" s="3">
        <v>45012</v>
      </c>
      <c r="C553" s="3">
        <v>45038</v>
      </c>
      <c r="D553" s="3">
        <f t="shared" si="105"/>
        <v>45038</v>
      </c>
      <c r="E553" s="4">
        <f t="shared" si="104"/>
        <v>26</v>
      </c>
      <c r="F553" s="4">
        <f t="shared" si="106"/>
        <v>26</v>
      </c>
      <c r="G553" s="4">
        <f>IF(Table1[[#This Row],[CorrectedLeadTimeDays]]&lt;=7, 1, 0)</f>
        <v>0</v>
      </c>
      <c r="H553" s="4" t="str">
        <f t="shared" si="107"/>
        <v>March</v>
      </c>
      <c r="I553" s="4" t="str">
        <f t="shared" si="108"/>
        <v>Q1-2023</v>
      </c>
      <c r="J553" s="4" t="str">
        <f t="shared" si="109"/>
        <v>2023-01</v>
      </c>
      <c r="K553" s="3">
        <f t="shared" si="110"/>
        <v>44955</v>
      </c>
      <c r="L553" t="s">
        <v>647</v>
      </c>
      <c r="M553" t="s">
        <v>654</v>
      </c>
      <c r="N553" t="s">
        <v>680</v>
      </c>
      <c r="O553" t="s">
        <v>703</v>
      </c>
      <c r="P553" t="s">
        <v>709</v>
      </c>
      <c r="Q553" t="s">
        <v>713</v>
      </c>
      <c r="R553">
        <f t="shared" si="111"/>
        <v>1</v>
      </c>
      <c r="S553" t="s">
        <v>728</v>
      </c>
      <c r="T553" t="s">
        <v>769</v>
      </c>
      <c r="U553" s="4">
        <v>178.53</v>
      </c>
      <c r="V553" s="4">
        <f>Table1[[#This Row],[UnitCost]]*(1+WhatIf!$B$3)</f>
        <v>187.45650000000001</v>
      </c>
      <c r="W553" s="4">
        <f t="shared" si="112"/>
        <v>6605.61</v>
      </c>
      <c r="X553" s="4">
        <f>Table1[[#This Row],[ScenarioRev]]-Table1[[#This Row],[ScenarioUnitCost]]</f>
        <v>7107.3522410000005</v>
      </c>
      <c r="Y553" s="4">
        <v>199.37</v>
      </c>
      <c r="Z553" s="4">
        <f t="shared" si="113"/>
        <v>6631.6443100000006</v>
      </c>
      <c r="AA553" s="4">
        <f>Table1[[#This Row],[ScenarioQuanity]]*Table1[[#This Row],[UnitPrice]]*(1-Table1[[#This Row],[ScenarioDiscPct]])</f>
        <v>7294.8087410000007</v>
      </c>
      <c r="AB553" s="4">
        <f t="shared" si="114"/>
        <v>26.034310000000914</v>
      </c>
      <c r="AC553" s="4">
        <f>Table1[[#This Row],[ScenarioRev]] - Table1[[#This Row],[ScenarioCostOfGoods]]</f>
        <v>187.45650000000023</v>
      </c>
      <c r="AD553" s="6">
        <v>0.10100000000000001</v>
      </c>
      <c r="AE553" s="6">
        <f>MIN(Table1[[#This Row],[DiscountPct]], WhatIf!$B$2)</f>
        <v>0.10100000000000001</v>
      </c>
      <c r="AF553" s="6">
        <f>IF(Table1[[#This Row],[DiscountPct]]&gt;0.2, 1, 0)</f>
        <v>0</v>
      </c>
      <c r="AG553" s="6" t="str">
        <f t="shared" si="115"/>
        <v>Low</v>
      </c>
      <c r="AH553" s="6">
        <f t="shared" si="116"/>
        <v>3.9257699573457538E-3</v>
      </c>
      <c r="AI553" s="5">
        <v>37</v>
      </c>
      <c r="AJ553" s="6">
        <f>Table1[[#This Row],[Quantity]]*(1+WhatIf!$B$4)</f>
        <v>40.700000000000003</v>
      </c>
    </row>
    <row r="554" spans="1:36" x14ac:dyDescent="0.3">
      <c r="A554" t="s">
        <v>636</v>
      </c>
      <c r="B554" s="3">
        <v>45501</v>
      </c>
      <c r="C554" s="3">
        <v>45527</v>
      </c>
      <c r="D554" s="3">
        <f t="shared" si="105"/>
        <v>45527</v>
      </c>
      <c r="E554" s="4">
        <f t="shared" si="104"/>
        <v>26</v>
      </c>
      <c r="F554" s="4">
        <f t="shared" si="106"/>
        <v>26</v>
      </c>
      <c r="G554" s="4">
        <f>IF(Table1[[#This Row],[CorrectedLeadTimeDays]]&lt;=7, 1, 0)</f>
        <v>0</v>
      </c>
      <c r="H554" s="4" t="str">
        <f t="shared" si="107"/>
        <v>July</v>
      </c>
      <c r="I554" s="4" t="str">
        <f t="shared" si="108"/>
        <v>Q3-2024</v>
      </c>
      <c r="J554" s="4" t="str">
        <f t="shared" si="109"/>
        <v>2023-01</v>
      </c>
      <c r="K554" s="3">
        <f t="shared" si="110"/>
        <v>44955</v>
      </c>
      <c r="L554" t="s">
        <v>647</v>
      </c>
      <c r="M554" t="s">
        <v>654</v>
      </c>
      <c r="N554" t="s">
        <v>696</v>
      </c>
      <c r="O554" t="s">
        <v>701</v>
      </c>
      <c r="P554" t="s">
        <v>707</v>
      </c>
      <c r="Q554" t="s">
        <v>713</v>
      </c>
      <c r="R554">
        <f t="shared" si="111"/>
        <v>17</v>
      </c>
      <c r="S554" t="s">
        <v>729</v>
      </c>
      <c r="T554" t="s">
        <v>1354</v>
      </c>
      <c r="U554" s="4">
        <v>1339.24</v>
      </c>
      <c r="V554" s="4">
        <f>Table1[[#This Row],[UnitCost]]*(1+WhatIf!$B$3)</f>
        <v>1406.202</v>
      </c>
      <c r="W554" s="4">
        <f t="shared" si="112"/>
        <v>32141.760000000002</v>
      </c>
      <c r="X554" s="4">
        <f>Table1[[#This Row],[ScenarioRev]]-Table1[[#This Row],[ScenarioUnitCost]]</f>
        <v>31846.792368000006</v>
      </c>
      <c r="Y554" s="4">
        <v>1558.89</v>
      </c>
      <c r="Z554" s="4">
        <f t="shared" si="113"/>
        <v>30229.994880000002</v>
      </c>
      <c r="AA554" s="4">
        <f>Table1[[#This Row],[ScenarioQuanity]]*Table1[[#This Row],[UnitPrice]]*(1-Table1[[#This Row],[ScenarioDiscPct]])</f>
        <v>33252.994368000007</v>
      </c>
      <c r="AB554" s="4">
        <f t="shared" si="114"/>
        <v>-1911.76512</v>
      </c>
      <c r="AC554" s="4">
        <f>Table1[[#This Row],[ScenarioRev]] - Table1[[#This Row],[ScenarioCostOfGoods]]</f>
        <v>1406.2020000000011</v>
      </c>
      <c r="AD554" s="6">
        <v>0.192</v>
      </c>
      <c r="AE554" s="6">
        <f>MIN(Table1[[#This Row],[DiscountPct]], WhatIf!$B$2)</f>
        <v>0.192</v>
      </c>
      <c r="AF554" s="6">
        <f>IF(Table1[[#This Row],[DiscountPct]]&gt;0.2, 1, 0)</f>
        <v>0</v>
      </c>
      <c r="AG554" s="6" t="str">
        <f t="shared" si="115"/>
        <v>High</v>
      </c>
      <c r="AH554" s="6">
        <f t="shared" si="116"/>
        <v>-6.3240669659021781E-2</v>
      </c>
      <c r="AI554" s="5">
        <v>24</v>
      </c>
      <c r="AJ554" s="6">
        <f>Table1[[#This Row],[Quantity]]*(1+WhatIf!$B$4)</f>
        <v>26.400000000000002</v>
      </c>
    </row>
    <row r="555" spans="1:36" x14ac:dyDescent="0.3">
      <c r="A555" t="s">
        <v>354</v>
      </c>
      <c r="B555" s="3">
        <v>45131</v>
      </c>
      <c r="C555" s="3">
        <v>45157</v>
      </c>
      <c r="D555" s="3">
        <f t="shared" si="105"/>
        <v>45157</v>
      </c>
      <c r="E555" s="4">
        <f t="shared" si="104"/>
        <v>26</v>
      </c>
      <c r="F555" s="4">
        <f t="shared" si="106"/>
        <v>26</v>
      </c>
      <c r="G555" s="4">
        <f>IF(Table1[[#This Row],[CorrectedLeadTimeDays]]&lt;=7, 1, 0)</f>
        <v>0</v>
      </c>
      <c r="H555" s="4" t="str">
        <f t="shared" si="107"/>
        <v>July</v>
      </c>
      <c r="I555" s="4" t="str">
        <f t="shared" si="108"/>
        <v>Q3-2023</v>
      </c>
      <c r="J555" s="4" t="str">
        <f t="shared" si="109"/>
        <v>2023-01</v>
      </c>
      <c r="K555" s="3">
        <f t="shared" si="110"/>
        <v>44946</v>
      </c>
      <c r="L555" t="s">
        <v>646</v>
      </c>
      <c r="M555" t="s">
        <v>650</v>
      </c>
      <c r="N555" t="s">
        <v>664</v>
      </c>
      <c r="O555" t="s">
        <v>706</v>
      </c>
      <c r="P555" t="s">
        <v>710</v>
      </c>
      <c r="Q555" t="s">
        <v>724</v>
      </c>
      <c r="R555">
        <f t="shared" si="111"/>
        <v>6</v>
      </c>
      <c r="S555" t="s">
        <v>733</v>
      </c>
      <c r="T555" t="s">
        <v>1074</v>
      </c>
      <c r="U555" s="4">
        <v>661.45</v>
      </c>
      <c r="V555" s="4">
        <f>Table1[[#This Row],[UnitCost]]*(1+WhatIf!$B$3)</f>
        <v>694.52250000000004</v>
      </c>
      <c r="W555" s="4">
        <f t="shared" si="112"/>
        <v>15874.800000000001</v>
      </c>
      <c r="X555" s="4">
        <f>Table1[[#This Row],[ScenarioRev]]-Table1[[#This Row],[ScenarioUnitCost]]</f>
        <v>33833.720700000005</v>
      </c>
      <c r="Y555" s="4">
        <v>1634.86</v>
      </c>
      <c r="Z555" s="4">
        <f t="shared" si="113"/>
        <v>17067.938400000003</v>
      </c>
      <c r="AA555" s="4">
        <f>Table1[[#This Row],[ScenarioQuanity]]*Table1[[#This Row],[UnitPrice]]*(1-Table1[[#This Row],[ScenarioDiscPct]])</f>
        <v>34528.243200000004</v>
      </c>
      <c r="AB555" s="4">
        <f t="shared" si="114"/>
        <v>1193.1384000000016</v>
      </c>
      <c r="AC555" s="4">
        <f>Table1[[#This Row],[ScenarioRev]] - Table1[[#This Row],[ScenarioCostOfGoods]]</f>
        <v>694.52249999999913</v>
      </c>
      <c r="AD555" s="6">
        <v>0.56499999999999995</v>
      </c>
      <c r="AE555" s="6">
        <f>MIN(Table1[[#This Row],[DiscountPct]], WhatIf!$B$2)</f>
        <v>0.2</v>
      </c>
      <c r="AF555" s="6">
        <f>IF(Table1[[#This Row],[DiscountPct]]&gt;0.2, 1, 0)</f>
        <v>1</v>
      </c>
      <c r="AG555" s="6" t="str">
        <f t="shared" si="115"/>
        <v>High</v>
      </c>
      <c r="AH555" s="6">
        <f t="shared" si="116"/>
        <v>6.9905244092045793E-2</v>
      </c>
      <c r="AI555" s="5">
        <v>24</v>
      </c>
      <c r="AJ555" s="6">
        <f>Table1[[#This Row],[Quantity]]*(1+WhatIf!$B$4)</f>
        <v>26.400000000000002</v>
      </c>
    </row>
    <row r="556" spans="1:36" x14ac:dyDescent="0.3">
      <c r="A556" t="s">
        <v>369</v>
      </c>
      <c r="B556" s="3">
        <v>45292</v>
      </c>
      <c r="C556" s="3">
        <v>45318</v>
      </c>
      <c r="D556" s="3">
        <f t="shared" si="105"/>
        <v>45318</v>
      </c>
      <c r="E556" s="4">
        <f t="shared" si="104"/>
        <v>26</v>
      </c>
      <c r="F556" s="4">
        <f t="shared" si="106"/>
        <v>26</v>
      </c>
      <c r="G556" s="4">
        <f>IF(Table1[[#This Row],[CorrectedLeadTimeDays]]&lt;=7, 1, 0)</f>
        <v>0</v>
      </c>
      <c r="H556" s="4" t="str">
        <f t="shared" si="107"/>
        <v>January</v>
      </c>
      <c r="I556" s="4" t="str">
        <f t="shared" si="108"/>
        <v>Q1-2024</v>
      </c>
      <c r="J556" s="4" t="str">
        <f t="shared" si="109"/>
        <v>2023-01</v>
      </c>
      <c r="K556" s="3">
        <f t="shared" si="110"/>
        <v>44945</v>
      </c>
      <c r="L556" t="s">
        <v>649</v>
      </c>
      <c r="M556" t="s">
        <v>658</v>
      </c>
      <c r="N556" t="s">
        <v>693</v>
      </c>
      <c r="O556" t="s">
        <v>702</v>
      </c>
      <c r="P556" t="s">
        <v>710</v>
      </c>
      <c r="Q556" t="s">
        <v>726</v>
      </c>
      <c r="R556">
        <f t="shared" si="111"/>
        <v>11</v>
      </c>
      <c r="S556" t="s">
        <v>733</v>
      </c>
      <c r="T556" t="s">
        <v>1089</v>
      </c>
      <c r="U556" s="4">
        <v>657.45</v>
      </c>
      <c r="V556" s="4">
        <f>Table1[[#This Row],[UnitCost]]*(1+WhatIf!$B$3)</f>
        <v>690.3225000000001</v>
      </c>
      <c r="W556" s="4">
        <f t="shared" si="112"/>
        <v>13806.45</v>
      </c>
      <c r="X556" s="4">
        <f>Table1[[#This Row],[ScenarioRev]]-Table1[[#This Row],[ScenarioUnitCost]]</f>
        <v>24824.197608000002</v>
      </c>
      <c r="Y556" s="4">
        <v>1325.96</v>
      </c>
      <c r="Z556" s="4">
        <f t="shared" si="113"/>
        <v>23195.01828</v>
      </c>
      <c r="AA556" s="4">
        <f>Table1[[#This Row],[ScenarioQuanity]]*Table1[[#This Row],[UnitPrice]]*(1-Table1[[#This Row],[ScenarioDiscPct]])</f>
        <v>25514.520108000001</v>
      </c>
      <c r="AB556" s="4">
        <f t="shared" si="114"/>
        <v>9388.5682799999995</v>
      </c>
      <c r="AC556" s="4">
        <f>Table1[[#This Row],[ScenarioRev]] - Table1[[#This Row],[ScenarioCostOfGoods]]</f>
        <v>690.3224999999984</v>
      </c>
      <c r="AD556" s="6">
        <v>0.16700000000000001</v>
      </c>
      <c r="AE556" s="6">
        <f>MIN(Table1[[#This Row],[DiscountPct]], WhatIf!$B$2)</f>
        <v>0.16700000000000001</v>
      </c>
      <c r="AF556" s="6">
        <f>IF(Table1[[#This Row],[DiscountPct]]&gt;0.2, 1, 0)</f>
        <v>0</v>
      </c>
      <c r="AG556" s="6" t="str">
        <f t="shared" si="115"/>
        <v>High</v>
      </c>
      <c r="AH556" s="6">
        <f t="shared" si="116"/>
        <v>0.40476658249048808</v>
      </c>
      <c r="AI556" s="5">
        <v>21</v>
      </c>
      <c r="AJ556" s="6">
        <f>Table1[[#This Row],[Quantity]]*(1+WhatIf!$B$4)</f>
        <v>23.1</v>
      </c>
    </row>
    <row r="557" spans="1:36" x14ac:dyDescent="0.3">
      <c r="A557" t="s">
        <v>643</v>
      </c>
      <c r="B557" s="3">
        <v>45267</v>
      </c>
      <c r="C557" s="3">
        <v>45293</v>
      </c>
      <c r="D557" s="3">
        <f t="shared" si="105"/>
        <v>45293</v>
      </c>
      <c r="E557" s="4">
        <f t="shared" si="104"/>
        <v>26</v>
      </c>
      <c r="F557" s="4">
        <f t="shared" si="106"/>
        <v>26</v>
      </c>
      <c r="G557" s="4">
        <f>IF(Table1[[#This Row],[CorrectedLeadTimeDays]]&lt;=7, 1, 0)</f>
        <v>0</v>
      </c>
      <c r="H557" s="4" t="str">
        <f t="shared" si="107"/>
        <v>December</v>
      </c>
      <c r="I557" s="4" t="str">
        <f t="shared" si="108"/>
        <v>Q4-2023</v>
      </c>
      <c r="J557" s="4" t="str">
        <f t="shared" si="109"/>
        <v>2023-01</v>
      </c>
      <c r="K557" s="3">
        <f t="shared" si="110"/>
        <v>44948</v>
      </c>
      <c r="L557" t="s">
        <v>649</v>
      </c>
      <c r="M557" t="s">
        <v>656</v>
      </c>
      <c r="N557" t="s">
        <v>698</v>
      </c>
      <c r="O557" t="s">
        <v>706</v>
      </c>
      <c r="P557" t="s">
        <v>710</v>
      </c>
      <c r="Q557" t="s">
        <v>718</v>
      </c>
      <c r="R557">
        <f t="shared" si="111"/>
        <v>10</v>
      </c>
      <c r="S557" t="s">
        <v>727</v>
      </c>
      <c r="T557" t="s">
        <v>1361</v>
      </c>
      <c r="U557" s="4">
        <v>1071.99</v>
      </c>
      <c r="V557" s="4">
        <f>Table1[[#This Row],[UnitCost]]*(1+WhatIf!$B$3)</f>
        <v>1125.5895</v>
      </c>
      <c r="W557" s="4">
        <f t="shared" si="112"/>
        <v>19295.82</v>
      </c>
      <c r="X557" s="4">
        <f>Table1[[#This Row],[ScenarioRev]]-Table1[[#This Row],[ScenarioUnitCost]]</f>
        <v>43398.025020000001</v>
      </c>
      <c r="Y557" s="4">
        <v>2397.3000000000002</v>
      </c>
      <c r="Z557" s="4">
        <f t="shared" si="113"/>
        <v>40476.013200000001</v>
      </c>
      <c r="AA557" s="4">
        <f>Table1[[#This Row],[ScenarioQuanity]]*Table1[[#This Row],[UnitPrice]]*(1-Table1[[#This Row],[ScenarioDiscPct]])</f>
        <v>44523.614520000003</v>
      </c>
      <c r="AB557" s="4">
        <f t="shared" si="114"/>
        <v>21180.193200000002</v>
      </c>
      <c r="AC557" s="4">
        <f>Table1[[#This Row],[ScenarioRev]] - Table1[[#This Row],[ScenarioCostOfGoods]]</f>
        <v>1125.5895000000019</v>
      </c>
      <c r="AD557" s="6">
        <v>6.2E-2</v>
      </c>
      <c r="AE557" s="6">
        <f>MIN(Table1[[#This Row],[DiscountPct]], WhatIf!$B$2)</f>
        <v>6.2E-2</v>
      </c>
      <c r="AF557" s="6">
        <f>IF(Table1[[#This Row],[DiscountPct]]&gt;0.2, 1, 0)</f>
        <v>0</v>
      </c>
      <c r="AG557" s="6" t="str">
        <f t="shared" si="115"/>
        <v>High</v>
      </c>
      <c r="AH557" s="6">
        <f t="shared" si="116"/>
        <v>0.52327765324476183</v>
      </c>
      <c r="AI557" s="5">
        <v>18</v>
      </c>
      <c r="AJ557" s="6">
        <f>Table1[[#This Row],[Quantity]]*(1+WhatIf!$B$4)</f>
        <v>19.8</v>
      </c>
    </row>
    <row r="558" spans="1:36" x14ac:dyDescent="0.3">
      <c r="A558" t="s">
        <v>433</v>
      </c>
      <c r="B558" s="3">
        <v>45307</v>
      </c>
      <c r="C558" s="3">
        <v>45333</v>
      </c>
      <c r="D558" s="3">
        <f t="shared" si="105"/>
        <v>45333</v>
      </c>
      <c r="E558" s="4">
        <f t="shared" si="104"/>
        <v>26</v>
      </c>
      <c r="F558" s="4">
        <f t="shared" si="106"/>
        <v>26</v>
      </c>
      <c r="G558" s="4">
        <f>IF(Table1[[#This Row],[CorrectedLeadTimeDays]]&lt;=7, 1, 0)</f>
        <v>0</v>
      </c>
      <c r="H558" s="4" t="str">
        <f t="shared" si="107"/>
        <v>January</v>
      </c>
      <c r="I558" s="4" t="str">
        <f t="shared" si="108"/>
        <v>Q1-2024</v>
      </c>
      <c r="J558" s="4" t="str">
        <f t="shared" si="109"/>
        <v>2023-01</v>
      </c>
      <c r="K558" s="3">
        <f t="shared" si="110"/>
        <v>44948</v>
      </c>
      <c r="L558" t="s">
        <v>649</v>
      </c>
      <c r="M558" t="s">
        <v>656</v>
      </c>
      <c r="N558" t="s">
        <v>698</v>
      </c>
      <c r="O558" t="s">
        <v>703</v>
      </c>
      <c r="P558" t="s">
        <v>710</v>
      </c>
      <c r="Q558" t="s">
        <v>718</v>
      </c>
      <c r="R558">
        <f t="shared" si="111"/>
        <v>11</v>
      </c>
      <c r="S558" t="s">
        <v>732</v>
      </c>
      <c r="T558" t="s">
        <v>1152</v>
      </c>
      <c r="U558" s="4">
        <v>504.93</v>
      </c>
      <c r="V558" s="4">
        <f>Table1[[#This Row],[UnitCost]]*(1+WhatIf!$B$3)</f>
        <v>530.17650000000003</v>
      </c>
      <c r="W558" s="4">
        <f t="shared" si="112"/>
        <v>7573.95</v>
      </c>
      <c r="X558" s="4">
        <f>Table1[[#This Row],[ScenarioRev]]-Table1[[#This Row],[ScenarioUnitCost]]</f>
        <v>10281.415500000001</v>
      </c>
      <c r="Y558" s="4">
        <v>819.06</v>
      </c>
      <c r="Z558" s="4">
        <f t="shared" si="113"/>
        <v>9509.2865999999995</v>
      </c>
      <c r="AA558" s="4">
        <f>Table1[[#This Row],[ScenarioQuanity]]*Table1[[#This Row],[UnitPrice]]*(1-Table1[[#This Row],[ScenarioDiscPct]])</f>
        <v>10811.592000000001</v>
      </c>
      <c r="AB558" s="4">
        <f t="shared" si="114"/>
        <v>1935.3365999999996</v>
      </c>
      <c r="AC558" s="4">
        <f>Table1[[#This Row],[ScenarioRev]] - Table1[[#This Row],[ScenarioCostOfGoods]]</f>
        <v>530.17649999999958</v>
      </c>
      <c r="AD558" s="6">
        <v>0.22600000000000001</v>
      </c>
      <c r="AE558" s="6">
        <f>MIN(Table1[[#This Row],[DiscountPct]], WhatIf!$B$2)</f>
        <v>0.2</v>
      </c>
      <c r="AF558" s="6">
        <f>IF(Table1[[#This Row],[DiscountPct]]&gt;0.2, 1, 0)</f>
        <v>1</v>
      </c>
      <c r="AG558" s="6" t="str">
        <f t="shared" si="115"/>
        <v>High</v>
      </c>
      <c r="AH558" s="6">
        <f t="shared" si="116"/>
        <v>0.20352069312959814</v>
      </c>
      <c r="AI558" s="5">
        <v>15</v>
      </c>
      <c r="AJ558" s="6">
        <f>Table1[[#This Row],[Quantity]]*(1+WhatIf!$B$4)</f>
        <v>16.5</v>
      </c>
    </row>
    <row r="559" spans="1:36" x14ac:dyDescent="0.3">
      <c r="A559" t="s">
        <v>569</v>
      </c>
      <c r="B559" s="3">
        <v>45535</v>
      </c>
      <c r="C559" s="3">
        <v>45561</v>
      </c>
      <c r="D559" s="3">
        <f t="shared" si="105"/>
        <v>45561</v>
      </c>
      <c r="E559" s="4">
        <f t="shared" si="104"/>
        <v>26</v>
      </c>
      <c r="F559" s="4">
        <f t="shared" si="106"/>
        <v>26</v>
      </c>
      <c r="G559" s="4">
        <f>IF(Table1[[#This Row],[CorrectedLeadTimeDays]]&lt;=7, 1, 0)</f>
        <v>0</v>
      </c>
      <c r="H559" s="4" t="str">
        <f t="shared" si="107"/>
        <v>August</v>
      </c>
      <c r="I559" s="4" t="str">
        <f t="shared" si="108"/>
        <v>Q3-2024</v>
      </c>
      <c r="J559" s="4" t="str">
        <f t="shared" si="109"/>
        <v>2023-03</v>
      </c>
      <c r="K559" s="3">
        <f t="shared" si="110"/>
        <v>44988</v>
      </c>
      <c r="L559" t="s">
        <v>647</v>
      </c>
      <c r="M559" t="s">
        <v>652</v>
      </c>
      <c r="N559" t="s">
        <v>689</v>
      </c>
      <c r="O559" t="s">
        <v>702</v>
      </c>
      <c r="P559" t="s">
        <v>708</v>
      </c>
      <c r="Q559" t="s">
        <v>714</v>
      </c>
      <c r="R559">
        <f t="shared" si="111"/>
        <v>17</v>
      </c>
      <c r="S559" t="s">
        <v>730</v>
      </c>
      <c r="T559" t="s">
        <v>1287</v>
      </c>
      <c r="U559" s="4">
        <v>1189.03</v>
      </c>
      <c r="V559" s="4">
        <f>Table1[[#This Row],[UnitCost]]*(1+WhatIf!$B$3)</f>
        <v>1248.4815000000001</v>
      </c>
      <c r="W559" s="4">
        <f t="shared" si="112"/>
        <v>15457.39</v>
      </c>
      <c r="X559" s="4">
        <f>Table1[[#This Row],[ScenarioRev]]-Table1[[#This Row],[ScenarioUnitCost]]</f>
        <v>35658.638749999998</v>
      </c>
      <c r="Y559" s="4">
        <v>2949.62</v>
      </c>
      <c r="Z559" s="4">
        <f t="shared" si="113"/>
        <v>33551.927499999998</v>
      </c>
      <c r="AA559" s="4">
        <f>Table1[[#This Row],[ScenarioQuanity]]*Table1[[#This Row],[UnitPrice]]*(1-Table1[[#This Row],[ScenarioDiscPct]])</f>
        <v>36907.12025</v>
      </c>
      <c r="AB559" s="4">
        <f t="shared" si="114"/>
        <v>18094.537499999999</v>
      </c>
      <c r="AC559" s="4">
        <f>Table1[[#This Row],[ScenarioRev]] - Table1[[#This Row],[ScenarioCostOfGoods]]</f>
        <v>1248.4815000000017</v>
      </c>
      <c r="AD559" s="6">
        <v>0.125</v>
      </c>
      <c r="AE559" s="6">
        <f>MIN(Table1[[#This Row],[DiscountPct]], WhatIf!$B$2)</f>
        <v>0.125</v>
      </c>
      <c r="AF559" s="6">
        <f>IF(Table1[[#This Row],[DiscountPct]]&gt;0.2, 1, 0)</f>
        <v>0</v>
      </c>
      <c r="AG559" s="6" t="str">
        <f t="shared" si="115"/>
        <v>High</v>
      </c>
      <c r="AH559" s="6">
        <f t="shared" si="116"/>
        <v>0.53929949330034765</v>
      </c>
      <c r="AI559" s="5">
        <v>13</v>
      </c>
      <c r="AJ559" s="6">
        <f>Table1[[#This Row],[Quantity]]*(1+WhatIf!$B$4)</f>
        <v>14.3</v>
      </c>
    </row>
    <row r="560" spans="1:36" x14ac:dyDescent="0.3">
      <c r="A560" t="s">
        <v>68</v>
      </c>
      <c r="B560" s="3">
        <v>45678</v>
      </c>
      <c r="C560" s="3">
        <v>45704</v>
      </c>
      <c r="D560" s="3">
        <f t="shared" si="105"/>
        <v>45704</v>
      </c>
      <c r="E560" s="4">
        <f t="shared" si="104"/>
        <v>26</v>
      </c>
      <c r="F560" s="4">
        <f t="shared" si="106"/>
        <v>26</v>
      </c>
      <c r="G560" s="4">
        <f>IF(Table1[[#This Row],[CorrectedLeadTimeDays]]&lt;=7, 1, 0)</f>
        <v>0</v>
      </c>
      <c r="H560" s="4" t="str">
        <f t="shared" si="107"/>
        <v>January</v>
      </c>
      <c r="I560" s="4" t="str">
        <f t="shared" si="108"/>
        <v>Q1-2025</v>
      </c>
      <c r="J560" s="4" t="str">
        <f t="shared" si="109"/>
        <v>2023-01</v>
      </c>
      <c r="K560" s="3">
        <f t="shared" si="110"/>
        <v>44936</v>
      </c>
      <c r="L560" t="s">
        <v>649</v>
      </c>
      <c r="M560" t="s">
        <v>657</v>
      </c>
      <c r="N560" t="s">
        <v>679</v>
      </c>
      <c r="O560" t="s">
        <v>701</v>
      </c>
      <c r="P560" t="s">
        <v>710</v>
      </c>
      <c r="Q560" t="s">
        <v>719</v>
      </c>
      <c r="R560">
        <f t="shared" si="111"/>
        <v>24</v>
      </c>
      <c r="S560" t="s">
        <v>731</v>
      </c>
      <c r="T560" t="s">
        <v>787</v>
      </c>
      <c r="U560" s="4">
        <v>204.11</v>
      </c>
      <c r="V560" s="4">
        <f>Table1[[#This Row],[UnitCost]]*(1+WhatIf!$B$3)</f>
        <v>214.31550000000001</v>
      </c>
      <c r="W560" s="4">
        <f t="shared" si="112"/>
        <v>2653.4300000000003</v>
      </c>
      <c r="X560" s="4">
        <f>Table1[[#This Row],[ScenarioRev]]-Table1[[#This Row],[ScenarioUnitCost]]</f>
        <v>2556.4476380000006</v>
      </c>
      <c r="Y560" s="4">
        <v>236.87</v>
      </c>
      <c r="Z560" s="4">
        <f t="shared" si="113"/>
        <v>2518.8755800000004</v>
      </c>
      <c r="AA560" s="4">
        <f>Table1[[#This Row],[ScenarioQuanity]]*Table1[[#This Row],[UnitPrice]]*(1-Table1[[#This Row],[ScenarioDiscPct]])</f>
        <v>2770.7631380000007</v>
      </c>
      <c r="AB560" s="4">
        <f t="shared" si="114"/>
        <v>-134.55441999999994</v>
      </c>
      <c r="AC560" s="4">
        <f>Table1[[#This Row],[ScenarioRev]] - Table1[[#This Row],[ScenarioCostOfGoods]]</f>
        <v>214.31550000000016</v>
      </c>
      <c r="AD560" s="6">
        <v>0.182</v>
      </c>
      <c r="AE560" s="6">
        <f>MIN(Table1[[#This Row],[DiscountPct]], WhatIf!$B$2)</f>
        <v>0.182</v>
      </c>
      <c r="AF560" s="6">
        <f>IF(Table1[[#This Row],[DiscountPct]]&gt;0.2, 1, 0)</f>
        <v>0</v>
      </c>
      <c r="AG560" s="6" t="str">
        <f t="shared" si="115"/>
        <v>Low</v>
      </c>
      <c r="AH560" s="6">
        <f t="shared" si="116"/>
        <v>-5.3418446337075494E-2</v>
      </c>
      <c r="AI560" s="5">
        <v>13</v>
      </c>
      <c r="AJ560" s="6">
        <f>Table1[[#This Row],[Quantity]]*(1+WhatIf!$B$4)</f>
        <v>14.3</v>
      </c>
    </row>
    <row r="561" spans="1:36" x14ac:dyDescent="0.3">
      <c r="A561" t="s">
        <v>332</v>
      </c>
      <c r="B561" s="3">
        <v>45748</v>
      </c>
      <c r="C561" s="3">
        <v>45774</v>
      </c>
      <c r="D561" s="3">
        <f t="shared" si="105"/>
        <v>45774</v>
      </c>
      <c r="E561" s="4">
        <f t="shared" si="104"/>
        <v>26</v>
      </c>
      <c r="F561" s="4">
        <f t="shared" si="106"/>
        <v>26</v>
      </c>
      <c r="G561" s="4">
        <f>IF(Table1[[#This Row],[CorrectedLeadTimeDays]]&lt;=7, 1, 0)</f>
        <v>0</v>
      </c>
      <c r="H561" s="4" t="str">
        <f t="shared" si="107"/>
        <v>April</v>
      </c>
      <c r="I561" s="4" t="str">
        <f t="shared" si="108"/>
        <v>Q2-2025</v>
      </c>
      <c r="J561" s="4" t="str">
        <f t="shared" si="109"/>
        <v>2023-01</v>
      </c>
      <c r="K561" s="3">
        <f t="shared" si="110"/>
        <v>44939</v>
      </c>
      <c r="L561" t="s">
        <v>648</v>
      </c>
      <c r="M561" t="s">
        <v>660</v>
      </c>
      <c r="N561" t="s">
        <v>686</v>
      </c>
      <c r="O561" t="s">
        <v>701</v>
      </c>
      <c r="P561" t="s">
        <v>711</v>
      </c>
      <c r="Q561" t="s">
        <v>714</v>
      </c>
      <c r="R561">
        <f t="shared" si="111"/>
        <v>26</v>
      </c>
      <c r="S561" t="s">
        <v>732</v>
      </c>
      <c r="T561" t="s">
        <v>1052</v>
      </c>
      <c r="U561" s="4">
        <v>156.55000000000001</v>
      </c>
      <c r="V561" s="4">
        <f>Table1[[#This Row],[UnitCost]]*(1+WhatIf!$B$3)</f>
        <v>164.37750000000003</v>
      </c>
      <c r="W561" s="4">
        <f t="shared" si="112"/>
        <v>2035.15</v>
      </c>
      <c r="X561" s="4">
        <f>Table1[[#This Row],[ScenarioRev]]-Table1[[#This Row],[ScenarioUnitCost]]</f>
        <v>3042.6220099999996</v>
      </c>
      <c r="Y561" s="4">
        <v>227.45</v>
      </c>
      <c r="Z561" s="4">
        <f t="shared" si="113"/>
        <v>2915.4540999999999</v>
      </c>
      <c r="AA561" s="4">
        <f>Table1[[#This Row],[ScenarioQuanity]]*Table1[[#This Row],[UnitPrice]]*(1-Table1[[#This Row],[ScenarioDiscPct]])</f>
        <v>3206.9995099999996</v>
      </c>
      <c r="AB561" s="4">
        <f t="shared" si="114"/>
        <v>880.30409999999983</v>
      </c>
      <c r="AC561" s="4">
        <f>Table1[[#This Row],[ScenarioRev]] - Table1[[#This Row],[ScenarioCostOfGoods]]</f>
        <v>164.37750000000005</v>
      </c>
      <c r="AD561" s="6">
        <v>1.4E-2</v>
      </c>
      <c r="AE561" s="6">
        <f>MIN(Table1[[#This Row],[DiscountPct]], WhatIf!$B$2)</f>
        <v>1.4E-2</v>
      </c>
      <c r="AF561" s="6">
        <f>IF(Table1[[#This Row],[DiscountPct]]&gt;0.2, 1, 0)</f>
        <v>0</v>
      </c>
      <c r="AG561" s="6" t="str">
        <f t="shared" si="115"/>
        <v>Low</v>
      </c>
      <c r="AH561" s="6">
        <f t="shared" si="116"/>
        <v>0.3019440779396938</v>
      </c>
      <c r="AI561" s="5">
        <v>13</v>
      </c>
      <c r="AJ561" s="6">
        <f>Table1[[#This Row],[Quantity]]*(1+WhatIf!$B$4)</f>
        <v>14.3</v>
      </c>
    </row>
    <row r="562" spans="1:36" x14ac:dyDescent="0.3">
      <c r="A562" t="s">
        <v>315</v>
      </c>
      <c r="B562" s="3">
        <v>45204</v>
      </c>
      <c r="C562" s="3">
        <v>45230</v>
      </c>
      <c r="D562" s="3">
        <f t="shared" si="105"/>
        <v>45230</v>
      </c>
      <c r="E562" s="4">
        <f t="shared" si="104"/>
        <v>26</v>
      </c>
      <c r="F562" s="4">
        <f t="shared" si="106"/>
        <v>26</v>
      </c>
      <c r="G562" s="4">
        <f>IF(Table1[[#This Row],[CorrectedLeadTimeDays]]&lt;=7, 1, 0)</f>
        <v>0</v>
      </c>
      <c r="H562" s="4" t="str">
        <f t="shared" si="107"/>
        <v>October</v>
      </c>
      <c r="I562" s="4" t="str">
        <f t="shared" si="108"/>
        <v>Q4-2023</v>
      </c>
      <c r="J562" s="4" t="str">
        <f t="shared" si="109"/>
        <v>2023-01</v>
      </c>
      <c r="K562" s="3">
        <f t="shared" si="110"/>
        <v>44938</v>
      </c>
      <c r="L562" t="s">
        <v>647</v>
      </c>
      <c r="M562" t="s">
        <v>659</v>
      </c>
      <c r="N562" t="s">
        <v>685</v>
      </c>
      <c r="O562" t="s">
        <v>704</v>
      </c>
      <c r="Q562" t="s">
        <v>713</v>
      </c>
      <c r="R562">
        <f t="shared" si="111"/>
        <v>8</v>
      </c>
      <c r="S562" t="s">
        <v>728</v>
      </c>
      <c r="T562" t="s">
        <v>1035</v>
      </c>
      <c r="U562" s="4">
        <v>649.91</v>
      </c>
      <c r="V562" s="4">
        <f>Table1[[#This Row],[UnitCost]]*(1+WhatIf!$B$3)</f>
        <v>682.40549999999996</v>
      </c>
      <c r="W562" s="4">
        <f t="shared" si="112"/>
        <v>5849.19</v>
      </c>
      <c r="X562" s="4">
        <f>Table1[[#This Row],[ScenarioRev]]-Table1[[#This Row],[ScenarioUnitCost]]</f>
        <v>10170.536028</v>
      </c>
      <c r="Y562" s="4">
        <v>1360.12</v>
      </c>
      <c r="Z562" s="4">
        <f t="shared" si="113"/>
        <v>9866.3104799999983</v>
      </c>
      <c r="AA562" s="4">
        <f>Table1[[#This Row],[ScenarioQuanity]]*Table1[[#This Row],[UnitPrice]]*(1-Table1[[#This Row],[ScenarioDiscPct]])</f>
        <v>10852.941528000001</v>
      </c>
      <c r="AB562" s="4">
        <f t="shared" si="114"/>
        <v>4017.1204799999987</v>
      </c>
      <c r="AC562" s="4">
        <f>Table1[[#This Row],[ScenarioRev]] - Table1[[#This Row],[ScenarioCostOfGoods]]</f>
        <v>682.40550000000076</v>
      </c>
      <c r="AD562" s="6">
        <v>0.19400000000000001</v>
      </c>
      <c r="AE562" s="6">
        <f>MIN(Table1[[#This Row],[DiscountPct]], WhatIf!$B$2)</f>
        <v>0.19400000000000001</v>
      </c>
      <c r="AF562" s="6">
        <f>IF(Table1[[#This Row],[DiscountPct]]&gt;0.2, 1, 0)</f>
        <v>0</v>
      </c>
      <c r="AG562" s="6" t="str">
        <f t="shared" si="115"/>
        <v>High</v>
      </c>
      <c r="AH562" s="6">
        <f t="shared" si="116"/>
        <v>0.40715528749506769</v>
      </c>
      <c r="AI562" s="5">
        <v>9</v>
      </c>
      <c r="AJ562" s="6">
        <f>Table1[[#This Row],[Quantity]]*(1+WhatIf!$B$4)</f>
        <v>9.9</v>
      </c>
    </row>
    <row r="563" spans="1:36" x14ac:dyDescent="0.3">
      <c r="A563" t="s">
        <v>15</v>
      </c>
      <c r="B563" s="3">
        <v>45362</v>
      </c>
      <c r="C563" s="3">
        <v>45388</v>
      </c>
      <c r="D563" s="3">
        <f t="shared" si="105"/>
        <v>45388</v>
      </c>
      <c r="E563" s="4">
        <f t="shared" si="104"/>
        <v>26</v>
      </c>
      <c r="F563" s="4">
        <f t="shared" si="106"/>
        <v>26</v>
      </c>
      <c r="G563" s="4">
        <f>IF(Table1[[#This Row],[CorrectedLeadTimeDays]]&lt;=7, 1, 0)</f>
        <v>0</v>
      </c>
      <c r="H563" s="4" t="str">
        <f t="shared" si="107"/>
        <v>March</v>
      </c>
      <c r="I563" s="4" t="str">
        <f t="shared" si="108"/>
        <v>Q1-2024</v>
      </c>
      <c r="J563" s="4" t="str">
        <f t="shared" si="109"/>
        <v>2023-01</v>
      </c>
      <c r="K563" s="3">
        <f t="shared" si="110"/>
        <v>44946</v>
      </c>
      <c r="L563" t="s">
        <v>646</v>
      </c>
      <c r="M563" t="s">
        <v>650</v>
      </c>
      <c r="N563" t="s">
        <v>662</v>
      </c>
      <c r="O563" t="s">
        <v>701</v>
      </c>
      <c r="P563" t="s">
        <v>707</v>
      </c>
      <c r="Q563" t="s">
        <v>712</v>
      </c>
      <c r="R563">
        <f t="shared" si="111"/>
        <v>13</v>
      </c>
      <c r="S563" t="s">
        <v>727</v>
      </c>
      <c r="T563" t="s">
        <v>734</v>
      </c>
      <c r="U563" s="4">
        <v>279.24</v>
      </c>
      <c r="V563" s="4">
        <f>Table1[[#This Row],[UnitCost]]*(1+WhatIf!$B$3)</f>
        <v>293.202</v>
      </c>
      <c r="W563" s="4">
        <f t="shared" si="112"/>
        <v>2513.16</v>
      </c>
      <c r="X563" s="4">
        <f>Table1[[#This Row],[ScenarioRev]]-Table1[[#This Row],[ScenarioUnitCost]]</f>
        <v>5059.7596799999992</v>
      </c>
      <c r="Y563" s="4">
        <v>608.9</v>
      </c>
      <c r="Z563" s="4">
        <f t="shared" si="113"/>
        <v>4866.3287999999993</v>
      </c>
      <c r="AA563" s="4">
        <f>Table1[[#This Row],[ScenarioQuanity]]*Table1[[#This Row],[UnitPrice]]*(1-Table1[[#This Row],[ScenarioDiscPct]])</f>
        <v>5352.9616799999994</v>
      </c>
      <c r="AB563" s="4">
        <f t="shared" si="114"/>
        <v>2353.1687999999995</v>
      </c>
      <c r="AC563" s="4">
        <f>Table1[[#This Row],[ScenarioRev]] - Table1[[#This Row],[ScenarioCostOfGoods]]</f>
        <v>293.20200000000023</v>
      </c>
      <c r="AD563" s="6">
        <v>0.112</v>
      </c>
      <c r="AE563" s="6">
        <f>MIN(Table1[[#This Row],[DiscountPct]], WhatIf!$B$2)</f>
        <v>0.112</v>
      </c>
      <c r="AF563" s="6">
        <f>IF(Table1[[#This Row],[DiscountPct]]&gt;0.2, 1, 0)</f>
        <v>0</v>
      </c>
      <c r="AG563" s="6" t="str">
        <f t="shared" si="115"/>
        <v>Low</v>
      </c>
      <c r="AH563" s="6">
        <f t="shared" si="116"/>
        <v>0.48356140670149533</v>
      </c>
      <c r="AI563" s="5">
        <v>9</v>
      </c>
      <c r="AJ563" s="6">
        <f>Table1[[#This Row],[Quantity]]*(1+WhatIf!$B$4)</f>
        <v>9.9</v>
      </c>
    </row>
    <row r="564" spans="1:36" x14ac:dyDescent="0.3">
      <c r="A564" t="s">
        <v>309</v>
      </c>
      <c r="B564" s="3">
        <v>45809</v>
      </c>
      <c r="C564" s="3">
        <v>45835</v>
      </c>
      <c r="D564" s="3">
        <f t="shared" si="105"/>
        <v>45835</v>
      </c>
      <c r="E564" s="4">
        <f t="shared" si="104"/>
        <v>26</v>
      </c>
      <c r="F564" s="4">
        <f t="shared" si="106"/>
        <v>26</v>
      </c>
      <c r="G564" s="4">
        <f>IF(Table1[[#This Row],[CorrectedLeadTimeDays]]&lt;=7, 1, 0)</f>
        <v>0</v>
      </c>
      <c r="H564" s="4" t="str">
        <f t="shared" si="107"/>
        <v>June</v>
      </c>
      <c r="I564" s="4" t="str">
        <f t="shared" si="108"/>
        <v>Q2-2025</v>
      </c>
      <c r="J564" s="4" t="str">
        <f t="shared" si="109"/>
        <v>2023-01</v>
      </c>
      <c r="K564" s="3">
        <f t="shared" si="110"/>
        <v>44948</v>
      </c>
      <c r="L564" t="s">
        <v>649</v>
      </c>
      <c r="M564" t="s">
        <v>656</v>
      </c>
      <c r="N564" t="s">
        <v>684</v>
      </c>
      <c r="O564" t="s">
        <v>704</v>
      </c>
      <c r="P564" t="s">
        <v>710</v>
      </c>
      <c r="Q564" t="s">
        <v>718</v>
      </c>
      <c r="R564">
        <f t="shared" si="111"/>
        <v>28</v>
      </c>
      <c r="S564" t="s">
        <v>731</v>
      </c>
      <c r="T564" t="s">
        <v>1029</v>
      </c>
      <c r="U564" s="4">
        <v>1362.31</v>
      </c>
      <c r="V564" s="4">
        <f>Table1[[#This Row],[UnitCost]]*(1+WhatIf!$B$3)</f>
        <v>1430.4255000000001</v>
      </c>
      <c r="W564" s="4">
        <f t="shared" si="112"/>
        <v>9536.17</v>
      </c>
      <c r="X564" s="4">
        <f>Table1[[#This Row],[ScenarioRev]]-Table1[[#This Row],[ScenarioUnitCost]]</f>
        <v>21071.158143000004</v>
      </c>
      <c r="Y564" s="4">
        <v>3294.57</v>
      </c>
      <c r="Z564" s="4">
        <f t="shared" si="113"/>
        <v>20455.985130000001</v>
      </c>
      <c r="AA564" s="4">
        <f>Table1[[#This Row],[ScenarioQuanity]]*Table1[[#This Row],[UnitPrice]]*(1-Table1[[#This Row],[ScenarioDiscPct]])</f>
        <v>22501.583643000005</v>
      </c>
      <c r="AB564" s="4">
        <f t="shared" si="114"/>
        <v>10919.815130000001</v>
      </c>
      <c r="AC564" s="4">
        <f>Table1[[#This Row],[ScenarioRev]] - Table1[[#This Row],[ScenarioCostOfGoods]]</f>
        <v>1430.4255000000012</v>
      </c>
      <c r="AD564" s="6">
        <v>0.113</v>
      </c>
      <c r="AE564" s="6">
        <f>MIN(Table1[[#This Row],[DiscountPct]], WhatIf!$B$2)</f>
        <v>0.113</v>
      </c>
      <c r="AF564" s="6">
        <f>IF(Table1[[#This Row],[DiscountPct]]&gt;0.2, 1, 0)</f>
        <v>0</v>
      </c>
      <c r="AG564" s="6" t="str">
        <f t="shared" si="115"/>
        <v>High</v>
      </c>
      <c r="AH564" s="6">
        <f t="shared" si="116"/>
        <v>0.5338200561157721</v>
      </c>
      <c r="AI564" s="5">
        <v>7</v>
      </c>
      <c r="AJ564" s="6">
        <f>Table1[[#This Row],[Quantity]]*(1+WhatIf!$B$4)</f>
        <v>7.7000000000000011</v>
      </c>
    </row>
    <row r="565" spans="1:36" x14ac:dyDescent="0.3">
      <c r="A565" t="s">
        <v>201</v>
      </c>
      <c r="B565" s="3">
        <v>45670</v>
      </c>
      <c r="C565" s="3">
        <v>45696</v>
      </c>
      <c r="D565" s="3">
        <f t="shared" si="105"/>
        <v>45696</v>
      </c>
      <c r="E565" s="4">
        <f t="shared" si="104"/>
        <v>26</v>
      </c>
      <c r="F565" s="4">
        <f t="shared" si="106"/>
        <v>26</v>
      </c>
      <c r="G565" s="4">
        <f>IF(Table1[[#This Row],[CorrectedLeadTimeDays]]&lt;=7, 1, 0)</f>
        <v>0</v>
      </c>
      <c r="H565" s="4" t="str">
        <f t="shared" si="107"/>
        <v>January</v>
      </c>
      <c r="I565" s="4" t="str">
        <f t="shared" si="108"/>
        <v>Q1-2025</v>
      </c>
      <c r="J565" s="4" t="str">
        <f t="shared" si="109"/>
        <v>2023-01</v>
      </c>
      <c r="K565" s="3">
        <f t="shared" si="110"/>
        <v>44936</v>
      </c>
      <c r="L565" t="s">
        <v>649</v>
      </c>
      <c r="M565" t="s">
        <v>657</v>
      </c>
      <c r="N565" t="s">
        <v>690</v>
      </c>
      <c r="O565" t="s">
        <v>703</v>
      </c>
      <c r="Q565" t="s">
        <v>718</v>
      </c>
      <c r="R565">
        <f t="shared" si="111"/>
        <v>24</v>
      </c>
      <c r="S565" t="s">
        <v>732</v>
      </c>
      <c r="T565" t="s">
        <v>920</v>
      </c>
      <c r="U565" s="4">
        <v>594.74</v>
      </c>
      <c r="V565" s="4">
        <f>Table1[[#This Row],[UnitCost]]*(1+WhatIf!$B$3)</f>
        <v>624.47700000000009</v>
      </c>
      <c r="W565" s="4">
        <f t="shared" si="112"/>
        <v>3568.44</v>
      </c>
      <c r="X565" s="4">
        <f>Table1[[#This Row],[ScenarioRev]]-Table1[[#This Row],[ScenarioUnitCost]]</f>
        <v>4764.7662000000009</v>
      </c>
      <c r="Y565" s="4">
        <v>1020.69</v>
      </c>
      <c r="Z565" s="4">
        <f t="shared" si="113"/>
        <v>4831.9464600000001</v>
      </c>
      <c r="AA565" s="4">
        <f>Table1[[#This Row],[ScenarioQuanity]]*Table1[[#This Row],[UnitPrice]]*(1-Table1[[#This Row],[ScenarioDiscPct]])</f>
        <v>5389.2432000000008</v>
      </c>
      <c r="AB565" s="4">
        <f t="shared" si="114"/>
        <v>1263.5064600000001</v>
      </c>
      <c r="AC565" s="4">
        <f>Table1[[#This Row],[ScenarioRev]] - Table1[[#This Row],[ScenarioCostOfGoods]]</f>
        <v>624.47699999999986</v>
      </c>
      <c r="AD565" s="6">
        <v>0.21099999999999999</v>
      </c>
      <c r="AE565" s="6">
        <f>MIN(Table1[[#This Row],[DiscountPct]], WhatIf!$B$2)</f>
        <v>0.2</v>
      </c>
      <c r="AF565" s="6">
        <f>IF(Table1[[#This Row],[DiscountPct]]&gt;0.2, 1, 0)</f>
        <v>1</v>
      </c>
      <c r="AG565" s="6" t="str">
        <f t="shared" si="115"/>
        <v>High</v>
      </c>
      <c r="AH565" s="6">
        <f t="shared" si="116"/>
        <v>0.26149016146176424</v>
      </c>
      <c r="AI565" s="5">
        <v>6</v>
      </c>
      <c r="AJ565" s="6">
        <f>Table1[[#This Row],[Quantity]]*(1+WhatIf!$B$4)</f>
        <v>6.6000000000000005</v>
      </c>
    </row>
    <row r="566" spans="1:36" x14ac:dyDescent="0.3">
      <c r="A566" t="s">
        <v>121</v>
      </c>
      <c r="B566" s="3">
        <v>45057</v>
      </c>
      <c r="C566" s="3">
        <v>45084</v>
      </c>
      <c r="D566" s="3">
        <f t="shared" si="105"/>
        <v>45084</v>
      </c>
      <c r="E566" s="4">
        <f t="shared" si="104"/>
        <v>27</v>
      </c>
      <c r="F566" s="4">
        <f t="shared" si="106"/>
        <v>27</v>
      </c>
      <c r="G566" s="4">
        <f>IF(Table1[[#This Row],[CorrectedLeadTimeDays]]&lt;=7, 1, 0)</f>
        <v>0</v>
      </c>
      <c r="H566" s="4" t="str">
        <f t="shared" si="107"/>
        <v>May</v>
      </c>
      <c r="I566" s="4" t="str">
        <f t="shared" si="108"/>
        <v>Q2-2023</v>
      </c>
      <c r="J566" s="4" t="str">
        <f t="shared" si="109"/>
        <v>2023-01</v>
      </c>
      <c r="K566" s="3">
        <f t="shared" si="110"/>
        <v>44946</v>
      </c>
      <c r="L566" t="s">
        <v>646</v>
      </c>
      <c r="M566" t="s">
        <v>650</v>
      </c>
      <c r="N566" t="s">
        <v>675</v>
      </c>
      <c r="O566" t="s">
        <v>701</v>
      </c>
      <c r="P566" t="s">
        <v>708</v>
      </c>
      <c r="Q566" t="s">
        <v>713</v>
      </c>
      <c r="R566">
        <f t="shared" si="111"/>
        <v>3</v>
      </c>
      <c r="S566" t="s">
        <v>730</v>
      </c>
      <c r="T566" t="s">
        <v>840</v>
      </c>
      <c r="U566" s="4">
        <v>12.85</v>
      </c>
      <c r="V566" s="4">
        <f>Table1[[#This Row],[UnitCost]]*(1+WhatIf!$B$3)</f>
        <v>13.4925</v>
      </c>
      <c r="W566" s="4">
        <f t="shared" si="112"/>
        <v>501.15</v>
      </c>
      <c r="X566" s="4">
        <f>Table1[[#This Row],[ScenarioRev]]-Table1[[#This Row],[ScenarioUnitCost]]</f>
        <v>557.02730700000006</v>
      </c>
      <c r="Y566" s="4">
        <v>15.41</v>
      </c>
      <c r="Z566" s="4">
        <f t="shared" si="113"/>
        <v>518.65436999999997</v>
      </c>
      <c r="AA566" s="4">
        <f>Table1[[#This Row],[ScenarioQuanity]]*Table1[[#This Row],[UnitPrice]]*(1-Table1[[#This Row],[ScenarioDiscPct]])</f>
        <v>570.51980700000001</v>
      </c>
      <c r="AB566" s="4">
        <f t="shared" si="114"/>
        <v>17.504369999999994</v>
      </c>
      <c r="AC566" s="4">
        <f>Table1[[#This Row],[ScenarioRev]] - Table1[[#This Row],[ScenarioCostOfGoods]]</f>
        <v>13.49249999999995</v>
      </c>
      <c r="AD566" s="6">
        <v>0.13700000000000001</v>
      </c>
      <c r="AE566" s="6">
        <f>MIN(Table1[[#This Row],[DiscountPct]], WhatIf!$B$2)</f>
        <v>0.13700000000000001</v>
      </c>
      <c r="AF566" s="6">
        <f>IF(Table1[[#This Row],[DiscountPct]]&gt;0.2, 1, 0)</f>
        <v>0</v>
      </c>
      <c r="AG566" s="6" t="str">
        <f t="shared" si="115"/>
        <v>Low</v>
      </c>
      <c r="AH566" s="6">
        <f t="shared" si="116"/>
        <v>3.3749585489851353E-2</v>
      </c>
      <c r="AI566" s="5">
        <v>39</v>
      </c>
      <c r="AJ566" s="6">
        <f>Table1[[#This Row],[Quantity]]*(1+WhatIf!$B$4)</f>
        <v>42.900000000000006</v>
      </c>
    </row>
    <row r="567" spans="1:36" x14ac:dyDescent="0.3">
      <c r="A567" t="s">
        <v>113</v>
      </c>
      <c r="B567" s="3">
        <v>45860</v>
      </c>
      <c r="C567" s="3">
        <v>45887</v>
      </c>
      <c r="D567" s="3">
        <f t="shared" si="105"/>
        <v>45887</v>
      </c>
      <c r="E567" s="4">
        <f t="shared" si="104"/>
        <v>27</v>
      </c>
      <c r="F567" s="4">
        <f t="shared" si="106"/>
        <v>27</v>
      </c>
      <c r="G567" s="4">
        <f>IF(Table1[[#This Row],[CorrectedLeadTimeDays]]&lt;=7, 1, 0)</f>
        <v>0</v>
      </c>
      <c r="H567" s="4" t="str">
        <f t="shared" si="107"/>
        <v>July</v>
      </c>
      <c r="I567" s="4" t="str">
        <f t="shared" si="108"/>
        <v>Q3-2025</v>
      </c>
      <c r="J567" s="4" t="str">
        <f t="shared" si="109"/>
        <v>2023-01</v>
      </c>
      <c r="K567" s="3">
        <f t="shared" si="110"/>
        <v>44938</v>
      </c>
      <c r="L567" t="s">
        <v>647</v>
      </c>
      <c r="M567" t="s">
        <v>659</v>
      </c>
      <c r="N567" t="s">
        <v>676</v>
      </c>
      <c r="O567" t="s">
        <v>703</v>
      </c>
      <c r="P567" t="s">
        <v>709</v>
      </c>
      <c r="Q567" t="s">
        <v>724</v>
      </c>
      <c r="R567">
        <f t="shared" si="111"/>
        <v>30</v>
      </c>
      <c r="S567" t="s">
        <v>729</v>
      </c>
      <c r="T567" t="s">
        <v>832</v>
      </c>
      <c r="U567" s="4">
        <v>547.32000000000005</v>
      </c>
      <c r="V567" s="4">
        <f>Table1[[#This Row],[UnitCost]]*(1+WhatIf!$B$3)</f>
        <v>574.68600000000004</v>
      </c>
      <c r="W567" s="4">
        <f t="shared" si="112"/>
        <v>7662.4800000000005</v>
      </c>
      <c r="X567" s="4">
        <f>Table1[[#This Row],[ScenarioRev]]-Table1[[#This Row],[ScenarioUnitCost]]</f>
        <v>5286.6519440000011</v>
      </c>
      <c r="Y567" s="4">
        <v>419.17</v>
      </c>
      <c r="Z567" s="4">
        <f t="shared" si="113"/>
        <v>5328.4890400000004</v>
      </c>
      <c r="AA567" s="4">
        <f>Table1[[#This Row],[ScenarioQuanity]]*Table1[[#This Row],[UnitPrice]]*(1-Table1[[#This Row],[ScenarioDiscPct]])</f>
        <v>5861.3379440000008</v>
      </c>
      <c r="AB567" s="4">
        <f t="shared" si="114"/>
        <v>-2333.9909600000001</v>
      </c>
      <c r="AC567" s="4">
        <f>Table1[[#This Row],[ScenarioRev]] - Table1[[#This Row],[ScenarioCostOfGoods]]</f>
        <v>574.68599999999969</v>
      </c>
      <c r="AD567" s="6">
        <v>9.1999999999999998E-2</v>
      </c>
      <c r="AE567" s="6">
        <f>MIN(Table1[[#This Row],[DiscountPct]], WhatIf!$B$2)</f>
        <v>9.1999999999999998E-2</v>
      </c>
      <c r="AF567" s="6">
        <f>IF(Table1[[#This Row],[DiscountPct]]&gt;0.2, 1, 0)</f>
        <v>0</v>
      </c>
      <c r="AG567" s="6" t="str">
        <f t="shared" si="115"/>
        <v>Low</v>
      </c>
      <c r="AH567" s="6">
        <f t="shared" si="116"/>
        <v>-0.43802116181137907</v>
      </c>
      <c r="AI567" s="5">
        <v>14</v>
      </c>
      <c r="AJ567" s="6">
        <f>Table1[[#This Row],[Quantity]]*(1+WhatIf!$B$4)</f>
        <v>15.400000000000002</v>
      </c>
    </row>
    <row r="568" spans="1:36" x14ac:dyDescent="0.3">
      <c r="A568" t="s">
        <v>622</v>
      </c>
      <c r="B568" s="3">
        <v>45623</v>
      </c>
      <c r="C568" s="3">
        <v>45650</v>
      </c>
      <c r="D568" s="3">
        <f t="shared" si="105"/>
        <v>45650</v>
      </c>
      <c r="E568" s="4">
        <f t="shared" si="104"/>
        <v>27</v>
      </c>
      <c r="F568" s="4">
        <f t="shared" si="106"/>
        <v>27</v>
      </c>
      <c r="G568" s="4">
        <f>IF(Table1[[#This Row],[CorrectedLeadTimeDays]]&lt;=7, 1, 0)</f>
        <v>0</v>
      </c>
      <c r="H568" s="4" t="str">
        <f t="shared" si="107"/>
        <v>November</v>
      </c>
      <c r="I568" s="4" t="str">
        <f t="shared" si="108"/>
        <v>Q4-2024</v>
      </c>
      <c r="J568" s="4" t="str">
        <f t="shared" si="109"/>
        <v>2023-01</v>
      </c>
      <c r="K568" s="3">
        <f t="shared" si="110"/>
        <v>44946</v>
      </c>
      <c r="L568" t="s">
        <v>646</v>
      </c>
      <c r="M568" t="s">
        <v>650</v>
      </c>
      <c r="N568" t="s">
        <v>675</v>
      </c>
      <c r="O568" t="s">
        <v>701</v>
      </c>
      <c r="P568" t="s">
        <v>710</v>
      </c>
      <c r="Q568" t="s">
        <v>717</v>
      </c>
      <c r="R568">
        <f t="shared" si="111"/>
        <v>22</v>
      </c>
      <c r="S568" t="s">
        <v>728</v>
      </c>
      <c r="T568" t="s">
        <v>1340</v>
      </c>
      <c r="U568" s="4">
        <v>143.33000000000001</v>
      </c>
      <c r="V568" s="4">
        <f>Table1[[#This Row],[UnitCost]]*(1+WhatIf!$B$3)</f>
        <v>150.49650000000003</v>
      </c>
      <c r="W568" s="4">
        <f t="shared" si="112"/>
        <v>2006.6200000000001</v>
      </c>
      <c r="X568" s="4">
        <f>Table1[[#This Row],[ScenarioRev]]-Table1[[#This Row],[ScenarioUnitCost]]</f>
        <v>2859.4006979999999</v>
      </c>
      <c r="Y568" s="4">
        <v>233.51</v>
      </c>
      <c r="Z568" s="4">
        <f t="shared" si="113"/>
        <v>2736.27018</v>
      </c>
      <c r="AA568" s="4">
        <f>Table1[[#This Row],[ScenarioQuanity]]*Table1[[#This Row],[UnitPrice]]*(1-Table1[[#This Row],[ScenarioDiscPct]])</f>
        <v>3009.8971980000001</v>
      </c>
      <c r="AB568" s="4">
        <f t="shared" si="114"/>
        <v>729.65017999999986</v>
      </c>
      <c r="AC568" s="4">
        <f>Table1[[#This Row],[ScenarioRev]] - Table1[[#This Row],[ScenarioCostOfGoods]]</f>
        <v>150.4965000000002</v>
      </c>
      <c r="AD568" s="6">
        <v>0.16300000000000001</v>
      </c>
      <c r="AE568" s="6">
        <f>MIN(Table1[[#This Row],[DiscountPct]], WhatIf!$B$2)</f>
        <v>0.16300000000000001</v>
      </c>
      <c r="AF568" s="6">
        <f>IF(Table1[[#This Row],[DiscountPct]]&gt;0.2, 1, 0)</f>
        <v>0</v>
      </c>
      <c r="AG568" s="6" t="str">
        <f t="shared" si="115"/>
        <v>Low</v>
      </c>
      <c r="AH568" s="6">
        <f t="shared" si="116"/>
        <v>0.26665867476580835</v>
      </c>
      <c r="AI568" s="5">
        <v>14</v>
      </c>
      <c r="AJ568" s="6">
        <f>Table1[[#This Row],[Quantity]]*(1+WhatIf!$B$4)</f>
        <v>15.400000000000002</v>
      </c>
    </row>
    <row r="569" spans="1:36" x14ac:dyDescent="0.3">
      <c r="A569" t="s">
        <v>513</v>
      </c>
      <c r="B569" s="3">
        <v>45908</v>
      </c>
      <c r="C569" s="3">
        <v>45935</v>
      </c>
      <c r="D569" s="3">
        <f t="shared" si="105"/>
        <v>45935</v>
      </c>
      <c r="E569" s="4">
        <f t="shared" si="104"/>
        <v>27</v>
      </c>
      <c r="F569" s="4">
        <f t="shared" si="106"/>
        <v>27</v>
      </c>
      <c r="G569" s="4">
        <f>IF(Table1[[#This Row],[CorrectedLeadTimeDays]]&lt;=7, 1, 0)</f>
        <v>0</v>
      </c>
      <c r="H569" s="4" t="str">
        <f t="shared" si="107"/>
        <v>September</v>
      </c>
      <c r="I569" s="4" t="str">
        <f t="shared" si="108"/>
        <v>Q3-2025</v>
      </c>
      <c r="J569" s="4" t="str">
        <f t="shared" si="109"/>
        <v>2023-01</v>
      </c>
      <c r="K569" s="3">
        <f t="shared" si="110"/>
        <v>44955</v>
      </c>
      <c r="L569" t="s">
        <v>648</v>
      </c>
      <c r="M569" t="s">
        <v>655</v>
      </c>
      <c r="N569" t="s">
        <v>692</v>
      </c>
      <c r="O569" t="s">
        <v>702</v>
      </c>
      <c r="P569" t="s">
        <v>708</v>
      </c>
      <c r="Q569" t="s">
        <v>712</v>
      </c>
      <c r="R569">
        <f t="shared" si="111"/>
        <v>31</v>
      </c>
      <c r="S569" t="s">
        <v>732</v>
      </c>
      <c r="T569" t="s">
        <v>1232</v>
      </c>
      <c r="U569" s="4">
        <v>660.78</v>
      </c>
      <c r="V569" s="4">
        <f>Table1[[#This Row],[UnitCost]]*(1+WhatIf!$B$3)</f>
        <v>693.81899999999996</v>
      </c>
      <c r="W569" s="4">
        <f t="shared" si="112"/>
        <v>8590.14</v>
      </c>
      <c r="X569" s="4">
        <f>Table1[[#This Row],[ScenarioRev]]-Table1[[#This Row],[ScenarioUnitCost]]</f>
        <v>17957.842600000004</v>
      </c>
      <c r="Y569" s="4">
        <v>1630.39</v>
      </c>
      <c r="Z569" s="4">
        <f t="shared" si="113"/>
        <v>16574.544740000001</v>
      </c>
      <c r="AA569" s="4">
        <f>Table1[[#This Row],[ScenarioQuanity]]*Table1[[#This Row],[UnitPrice]]*(1-Table1[[#This Row],[ScenarioDiscPct]])</f>
        <v>18651.661600000003</v>
      </c>
      <c r="AB569" s="4">
        <f t="shared" si="114"/>
        <v>7984.4047400000018</v>
      </c>
      <c r="AC569" s="4">
        <f>Table1[[#This Row],[ScenarioRev]] - Table1[[#This Row],[ScenarioCostOfGoods]]</f>
        <v>693.81899999999951</v>
      </c>
      <c r="AD569" s="6">
        <v>0.218</v>
      </c>
      <c r="AE569" s="6">
        <f>MIN(Table1[[#This Row],[DiscountPct]], WhatIf!$B$2)</f>
        <v>0.2</v>
      </c>
      <c r="AF569" s="6">
        <f>IF(Table1[[#This Row],[DiscountPct]]&gt;0.2, 1, 0)</f>
        <v>1</v>
      </c>
      <c r="AG569" s="6" t="str">
        <f t="shared" si="115"/>
        <v>High</v>
      </c>
      <c r="AH569" s="6">
        <f t="shared" si="116"/>
        <v>0.48172694123724097</v>
      </c>
      <c r="AI569" s="5">
        <v>13</v>
      </c>
      <c r="AJ569" s="6">
        <f>Table1[[#This Row],[Quantity]]*(1+WhatIf!$B$4)</f>
        <v>14.3</v>
      </c>
    </row>
    <row r="570" spans="1:36" x14ac:dyDescent="0.3">
      <c r="A570" t="s">
        <v>608</v>
      </c>
      <c r="B570" s="3">
        <v>45823</v>
      </c>
      <c r="C570" s="3">
        <v>45850</v>
      </c>
      <c r="D570" s="3">
        <f t="shared" si="105"/>
        <v>45850</v>
      </c>
      <c r="E570" s="4">
        <f t="shared" si="104"/>
        <v>27</v>
      </c>
      <c r="F570" s="4">
        <f t="shared" si="106"/>
        <v>27</v>
      </c>
      <c r="G570" s="4">
        <f>IF(Table1[[#This Row],[CorrectedLeadTimeDays]]&lt;=7, 1, 0)</f>
        <v>0</v>
      </c>
      <c r="H570" s="4" t="str">
        <f t="shared" si="107"/>
        <v>June</v>
      </c>
      <c r="I570" s="4" t="str">
        <f t="shared" si="108"/>
        <v>Q2-2025</v>
      </c>
      <c r="J570" s="4" t="str">
        <f t="shared" si="109"/>
        <v>2023-01</v>
      </c>
      <c r="K570" s="3">
        <f t="shared" si="110"/>
        <v>44936</v>
      </c>
      <c r="L570" t="s">
        <v>649</v>
      </c>
      <c r="M570" t="s">
        <v>657</v>
      </c>
      <c r="N570" t="s">
        <v>673</v>
      </c>
      <c r="O570" t="s">
        <v>704</v>
      </c>
      <c r="P570" t="s">
        <v>711</v>
      </c>
      <c r="Q570" t="s">
        <v>712</v>
      </c>
      <c r="R570">
        <f t="shared" si="111"/>
        <v>29</v>
      </c>
      <c r="S570" t="s">
        <v>733</v>
      </c>
      <c r="T570" t="s">
        <v>1326</v>
      </c>
      <c r="U570" s="4">
        <v>318.83</v>
      </c>
      <c r="V570" s="4">
        <f>Table1[[#This Row],[UnitCost]]*(1+WhatIf!$B$3)</f>
        <v>334.7715</v>
      </c>
      <c r="W570" s="4">
        <f t="shared" si="112"/>
        <v>4144.79</v>
      </c>
      <c r="X570" s="4">
        <f>Table1[[#This Row],[ScenarioRev]]-Table1[[#This Row],[ScenarioUnitCost]]</f>
        <v>8867.8505000000005</v>
      </c>
      <c r="Y570" s="4">
        <v>699.5</v>
      </c>
      <c r="Z570" s="4">
        <f t="shared" si="113"/>
        <v>8366.02</v>
      </c>
      <c r="AA570" s="4">
        <f>Table1[[#This Row],[ScenarioQuanity]]*Table1[[#This Row],[UnitPrice]]*(1-Table1[[#This Row],[ScenarioDiscPct]])</f>
        <v>9202.6220000000012</v>
      </c>
      <c r="AB570" s="4">
        <f t="shared" si="114"/>
        <v>4221.2300000000005</v>
      </c>
      <c r="AC570" s="4">
        <f>Table1[[#This Row],[ScenarioRev]] - Table1[[#This Row],[ScenarioCostOfGoods]]</f>
        <v>334.77150000000074</v>
      </c>
      <c r="AD570" s="6">
        <v>0.08</v>
      </c>
      <c r="AE570" s="6">
        <f>MIN(Table1[[#This Row],[DiscountPct]], WhatIf!$B$2)</f>
        <v>0.08</v>
      </c>
      <c r="AF570" s="6">
        <f>IF(Table1[[#This Row],[DiscountPct]]&gt;0.2, 1, 0)</f>
        <v>0</v>
      </c>
      <c r="AG570" s="6" t="str">
        <f t="shared" si="115"/>
        <v>Low</v>
      </c>
      <c r="AH570" s="6">
        <f t="shared" si="116"/>
        <v>0.50456848059172699</v>
      </c>
      <c r="AI570" s="5">
        <v>13</v>
      </c>
      <c r="AJ570" s="6">
        <f>Table1[[#This Row],[Quantity]]*(1+WhatIf!$B$4)</f>
        <v>14.3</v>
      </c>
    </row>
    <row r="571" spans="1:36" x14ac:dyDescent="0.3">
      <c r="A571" t="s">
        <v>549</v>
      </c>
      <c r="B571" s="3">
        <v>45667</v>
      </c>
      <c r="C571" s="3">
        <v>45694</v>
      </c>
      <c r="D571" s="3">
        <f t="shared" si="105"/>
        <v>45694</v>
      </c>
      <c r="E571" s="4">
        <f t="shared" si="104"/>
        <v>27</v>
      </c>
      <c r="F571" s="4">
        <f t="shared" si="106"/>
        <v>27</v>
      </c>
      <c r="G571" s="4">
        <f>IF(Table1[[#This Row],[CorrectedLeadTimeDays]]&lt;=7, 1, 0)</f>
        <v>0</v>
      </c>
      <c r="H571" s="4" t="str">
        <f t="shared" si="107"/>
        <v>January</v>
      </c>
      <c r="I571" s="4" t="str">
        <f t="shared" si="108"/>
        <v>Q1-2025</v>
      </c>
      <c r="J571" s="4" t="str">
        <f t="shared" si="109"/>
        <v>2023-01</v>
      </c>
      <c r="K571" s="3">
        <f t="shared" si="110"/>
        <v>44955</v>
      </c>
      <c r="L571" t="s">
        <v>648</v>
      </c>
      <c r="M571" t="s">
        <v>655</v>
      </c>
      <c r="N571" t="s">
        <v>672</v>
      </c>
      <c r="O571" t="s">
        <v>703</v>
      </c>
      <c r="P571" t="s">
        <v>707</v>
      </c>
      <c r="Q571" t="s">
        <v>717</v>
      </c>
      <c r="R571">
        <f t="shared" si="111"/>
        <v>23</v>
      </c>
      <c r="S571" t="s">
        <v>731</v>
      </c>
      <c r="T571" t="s">
        <v>1268</v>
      </c>
      <c r="U571" s="4">
        <v>725.62</v>
      </c>
      <c r="V571" s="4">
        <f>Table1[[#This Row],[UnitCost]]*(1+WhatIf!$B$3)</f>
        <v>761.90100000000007</v>
      </c>
      <c r="W571" s="4">
        <f t="shared" si="112"/>
        <v>8707.44</v>
      </c>
      <c r="X571" s="4">
        <f>Table1[[#This Row],[ScenarioRev]]-Table1[[#This Row],[ScenarioUnitCost]]</f>
        <v>15908.958480000003</v>
      </c>
      <c r="Y571" s="4">
        <v>1559.19</v>
      </c>
      <c r="Z571" s="4">
        <f t="shared" si="113"/>
        <v>15155.326800000001</v>
      </c>
      <c r="AA571" s="4">
        <f>Table1[[#This Row],[ScenarioQuanity]]*Table1[[#This Row],[UnitPrice]]*(1-Table1[[#This Row],[ScenarioDiscPct]])</f>
        <v>16670.859480000003</v>
      </c>
      <c r="AB571" s="4">
        <f t="shared" si="114"/>
        <v>6447.8868000000002</v>
      </c>
      <c r="AC571" s="4">
        <f>Table1[[#This Row],[ScenarioRev]] - Table1[[#This Row],[ScenarioCostOfGoods]]</f>
        <v>761.90099999999984</v>
      </c>
      <c r="AD571" s="6">
        <v>0.19</v>
      </c>
      <c r="AE571" s="6">
        <f>MIN(Table1[[#This Row],[DiscountPct]], WhatIf!$B$2)</f>
        <v>0.19</v>
      </c>
      <c r="AF571" s="6">
        <f>IF(Table1[[#This Row],[DiscountPct]]&gt;0.2, 1, 0)</f>
        <v>0</v>
      </c>
      <c r="AG571" s="6" t="str">
        <f t="shared" si="115"/>
        <v>High</v>
      </c>
      <c r="AH571" s="6">
        <f t="shared" si="116"/>
        <v>0.42545349797405885</v>
      </c>
      <c r="AI571" s="5">
        <v>12</v>
      </c>
      <c r="AJ571" s="6">
        <f>Table1[[#This Row],[Quantity]]*(1+WhatIf!$B$4)</f>
        <v>13.200000000000001</v>
      </c>
    </row>
    <row r="572" spans="1:36" x14ac:dyDescent="0.3">
      <c r="A572" t="s">
        <v>86</v>
      </c>
      <c r="B572" s="3">
        <v>45756</v>
      </c>
      <c r="C572" s="3">
        <v>45783</v>
      </c>
      <c r="D572" s="3">
        <f t="shared" si="105"/>
        <v>45783</v>
      </c>
      <c r="E572" s="4">
        <f t="shared" si="104"/>
        <v>27</v>
      </c>
      <c r="F572" s="4">
        <f t="shared" si="106"/>
        <v>27</v>
      </c>
      <c r="G572" s="4">
        <f>IF(Table1[[#This Row],[CorrectedLeadTimeDays]]&lt;=7, 1, 0)</f>
        <v>0</v>
      </c>
      <c r="H572" s="4" t="str">
        <f t="shared" si="107"/>
        <v>April</v>
      </c>
      <c r="I572" s="4" t="str">
        <f t="shared" si="108"/>
        <v>Q2-2025</v>
      </c>
      <c r="J572" s="4" t="str">
        <f t="shared" si="109"/>
        <v>2023-01</v>
      </c>
      <c r="K572" s="3">
        <f t="shared" si="110"/>
        <v>44955</v>
      </c>
      <c r="L572" t="s">
        <v>648</v>
      </c>
      <c r="M572" t="s">
        <v>655</v>
      </c>
      <c r="N572" t="s">
        <v>672</v>
      </c>
      <c r="O572" t="s">
        <v>706</v>
      </c>
      <c r="P572" t="s">
        <v>709</v>
      </c>
      <c r="Q572" t="s">
        <v>721</v>
      </c>
      <c r="R572">
        <f t="shared" si="111"/>
        <v>26</v>
      </c>
      <c r="S572" t="s">
        <v>731</v>
      </c>
      <c r="T572" t="s">
        <v>805</v>
      </c>
      <c r="U572" s="4">
        <v>264.19</v>
      </c>
      <c r="V572" s="4">
        <f>Table1[[#This Row],[UnitCost]]*(1+WhatIf!$B$3)</f>
        <v>277.39949999999999</v>
      </c>
      <c r="W572" s="4">
        <f t="shared" si="112"/>
        <v>3170.2799999999997</v>
      </c>
      <c r="X572" s="4">
        <f>Table1[[#This Row],[ScenarioRev]]-Table1[[#This Row],[ScenarioUnitCost]]</f>
        <v>6755.0053079999998</v>
      </c>
      <c r="Y572" s="4">
        <v>620.92999999999995</v>
      </c>
      <c r="Z572" s="4">
        <f t="shared" si="113"/>
        <v>6393.0952799999995</v>
      </c>
      <c r="AA572" s="4">
        <f>Table1[[#This Row],[ScenarioQuanity]]*Table1[[#This Row],[UnitPrice]]*(1-Table1[[#This Row],[ScenarioDiscPct]])</f>
        <v>7032.4048079999993</v>
      </c>
      <c r="AB572" s="4">
        <f t="shared" si="114"/>
        <v>3222.8152799999998</v>
      </c>
      <c r="AC572" s="4">
        <f>Table1[[#This Row],[ScenarioRev]] - Table1[[#This Row],[ScenarioCostOfGoods]]</f>
        <v>277.39949999999953</v>
      </c>
      <c r="AD572" s="6">
        <v>0.14199999999999999</v>
      </c>
      <c r="AE572" s="6">
        <f>MIN(Table1[[#This Row],[DiscountPct]], WhatIf!$B$2)</f>
        <v>0.14199999999999999</v>
      </c>
      <c r="AF572" s="6">
        <f>IF(Table1[[#This Row],[DiscountPct]]&gt;0.2, 1, 0)</f>
        <v>0</v>
      </c>
      <c r="AG572" s="6" t="str">
        <f t="shared" si="115"/>
        <v>Low</v>
      </c>
      <c r="AH572" s="6">
        <f t="shared" si="116"/>
        <v>0.50410875152794532</v>
      </c>
      <c r="AI572" s="5">
        <v>12</v>
      </c>
      <c r="AJ572" s="6">
        <f>Table1[[#This Row],[Quantity]]*(1+WhatIf!$B$4)</f>
        <v>13.200000000000001</v>
      </c>
    </row>
    <row r="573" spans="1:36" x14ac:dyDescent="0.3">
      <c r="A573" t="s">
        <v>222</v>
      </c>
      <c r="B573" s="3">
        <v>45545</v>
      </c>
      <c r="C573" s="3">
        <v>45572</v>
      </c>
      <c r="D573" s="3">
        <f t="shared" si="105"/>
        <v>45572</v>
      </c>
      <c r="E573" s="4">
        <f t="shared" si="104"/>
        <v>27</v>
      </c>
      <c r="F573" s="4">
        <f t="shared" si="106"/>
        <v>27</v>
      </c>
      <c r="G573" s="4">
        <f>IF(Table1[[#This Row],[CorrectedLeadTimeDays]]&lt;=7, 1, 0)</f>
        <v>0</v>
      </c>
      <c r="H573" s="4" t="str">
        <f t="shared" si="107"/>
        <v>September</v>
      </c>
      <c r="I573" s="4" t="str">
        <f t="shared" si="108"/>
        <v>Q3-2024</v>
      </c>
      <c r="J573" s="4" t="str">
        <f t="shared" si="109"/>
        <v>2023-01</v>
      </c>
      <c r="K573" s="3">
        <f t="shared" si="110"/>
        <v>44946</v>
      </c>
      <c r="L573" t="s">
        <v>646</v>
      </c>
      <c r="M573" t="s">
        <v>650</v>
      </c>
      <c r="N573" t="s">
        <v>662</v>
      </c>
      <c r="O573" t="s">
        <v>704</v>
      </c>
      <c r="P573" t="s">
        <v>707</v>
      </c>
      <c r="Q573" t="s">
        <v>716</v>
      </c>
      <c r="R573">
        <f t="shared" si="111"/>
        <v>19</v>
      </c>
      <c r="S573" t="s">
        <v>728</v>
      </c>
      <c r="T573" t="s">
        <v>942</v>
      </c>
      <c r="U573" s="4">
        <v>1248.3900000000001</v>
      </c>
      <c r="V573" s="4">
        <f>Table1[[#This Row],[UnitCost]]*(1+WhatIf!$B$3)</f>
        <v>1310.8095000000001</v>
      </c>
      <c r="W573" s="4">
        <f t="shared" si="112"/>
        <v>13732.29</v>
      </c>
      <c r="X573" s="4">
        <f>Table1[[#This Row],[ScenarioRev]]-Table1[[#This Row],[ScenarioUnitCost]]</f>
        <v>16162.655300000002</v>
      </c>
      <c r="Y573" s="4">
        <v>1805.11</v>
      </c>
      <c r="Z573" s="4">
        <f t="shared" si="113"/>
        <v>15825.399369999997</v>
      </c>
      <c r="AA573" s="4">
        <f>Table1[[#This Row],[ScenarioQuanity]]*Table1[[#This Row],[UnitPrice]]*(1-Table1[[#This Row],[ScenarioDiscPct]])</f>
        <v>17473.464800000002</v>
      </c>
      <c r="AB573" s="4">
        <f t="shared" si="114"/>
        <v>2093.1093699999965</v>
      </c>
      <c r="AC573" s="4">
        <f>Table1[[#This Row],[ScenarioRev]] - Table1[[#This Row],[ScenarioCostOfGoods]]</f>
        <v>1310.8094999999994</v>
      </c>
      <c r="AD573" s="6">
        <v>0.20300000000000001</v>
      </c>
      <c r="AE573" s="6">
        <f>MIN(Table1[[#This Row],[DiscountPct]], WhatIf!$B$2)</f>
        <v>0.2</v>
      </c>
      <c r="AF573" s="6">
        <f>IF(Table1[[#This Row],[DiscountPct]]&gt;0.2, 1, 0)</f>
        <v>1</v>
      </c>
      <c r="AG573" s="6" t="str">
        <f t="shared" si="115"/>
        <v>High</v>
      </c>
      <c r="AH573" s="6">
        <f t="shared" si="116"/>
        <v>0.13226265707820786</v>
      </c>
      <c r="AI573" s="5">
        <v>11</v>
      </c>
      <c r="AJ573" s="6">
        <f>Table1[[#This Row],[Quantity]]*(1+WhatIf!$B$4)</f>
        <v>12.100000000000001</v>
      </c>
    </row>
    <row r="574" spans="1:36" x14ac:dyDescent="0.3">
      <c r="A574" t="s">
        <v>506</v>
      </c>
      <c r="B574" s="3">
        <v>45861</v>
      </c>
      <c r="C574" s="3">
        <v>45888</v>
      </c>
      <c r="D574" s="3">
        <f t="shared" si="105"/>
        <v>45888</v>
      </c>
      <c r="E574" s="4">
        <f t="shared" si="104"/>
        <v>27</v>
      </c>
      <c r="F574" s="4">
        <f t="shared" si="106"/>
        <v>27</v>
      </c>
      <c r="G574" s="4">
        <f>IF(Table1[[#This Row],[CorrectedLeadTimeDays]]&lt;=7, 1, 0)</f>
        <v>0</v>
      </c>
      <c r="H574" s="4" t="str">
        <f t="shared" si="107"/>
        <v>July</v>
      </c>
      <c r="I574" s="4" t="str">
        <f t="shared" si="108"/>
        <v>Q3-2025</v>
      </c>
      <c r="J574" s="4" t="str">
        <f t="shared" si="109"/>
        <v>2023-03</v>
      </c>
      <c r="K574" s="3">
        <f t="shared" si="110"/>
        <v>44988</v>
      </c>
      <c r="L574" t="s">
        <v>647</v>
      </c>
      <c r="M574" t="s">
        <v>652</v>
      </c>
      <c r="N574" t="s">
        <v>694</v>
      </c>
      <c r="O574" t="s">
        <v>704</v>
      </c>
      <c r="P574" t="s">
        <v>709</v>
      </c>
      <c r="Q574" t="s">
        <v>717</v>
      </c>
      <c r="R574">
        <f t="shared" si="111"/>
        <v>28</v>
      </c>
      <c r="S574" t="s">
        <v>733</v>
      </c>
      <c r="T574" t="s">
        <v>1225</v>
      </c>
      <c r="U574" s="4">
        <v>896.09</v>
      </c>
      <c r="V574" s="4">
        <f>Table1[[#This Row],[UnitCost]]*(1+WhatIf!$B$3)</f>
        <v>940.89450000000011</v>
      </c>
      <c r="W574" s="4">
        <f t="shared" si="112"/>
        <v>9856.99</v>
      </c>
      <c r="X574" s="4">
        <f>Table1[[#This Row],[ScenarioRev]]-Table1[[#This Row],[ScenarioUnitCost]]</f>
        <v>7317.3021390000013</v>
      </c>
      <c r="Y574" s="4">
        <v>744.27</v>
      </c>
      <c r="Z574" s="4">
        <f t="shared" si="113"/>
        <v>7507.4514899999995</v>
      </c>
      <c r="AA574" s="4">
        <f>Table1[[#This Row],[ScenarioQuanity]]*Table1[[#This Row],[UnitPrice]]*(1-Table1[[#This Row],[ScenarioDiscPct]])</f>
        <v>8258.1966390000016</v>
      </c>
      <c r="AB574" s="4">
        <f t="shared" si="114"/>
        <v>-2349.5385100000003</v>
      </c>
      <c r="AC574" s="4">
        <f>Table1[[#This Row],[ScenarioRev]] - Table1[[#This Row],[ScenarioCostOfGoods]]</f>
        <v>940.89450000000033</v>
      </c>
      <c r="AD574" s="6">
        <v>8.3000000000000004E-2</v>
      </c>
      <c r="AE574" s="6">
        <f>MIN(Table1[[#This Row],[DiscountPct]], WhatIf!$B$2)</f>
        <v>8.3000000000000004E-2</v>
      </c>
      <c r="AF574" s="6">
        <f>IF(Table1[[#This Row],[DiscountPct]]&gt;0.2, 1, 0)</f>
        <v>0</v>
      </c>
      <c r="AG574" s="6" t="str">
        <f t="shared" si="115"/>
        <v>Low</v>
      </c>
      <c r="AH574" s="6">
        <f t="shared" si="116"/>
        <v>-0.31296086469950679</v>
      </c>
      <c r="AI574" s="5">
        <v>11</v>
      </c>
      <c r="AJ574" s="6">
        <f>Table1[[#This Row],[Quantity]]*(1+WhatIf!$B$4)</f>
        <v>12.100000000000001</v>
      </c>
    </row>
    <row r="575" spans="1:36" x14ac:dyDescent="0.3">
      <c r="A575" t="s">
        <v>641</v>
      </c>
      <c r="B575" s="3">
        <v>45141</v>
      </c>
      <c r="C575" s="3">
        <v>45168</v>
      </c>
      <c r="D575" s="3">
        <f t="shared" si="105"/>
        <v>45168</v>
      </c>
      <c r="E575" s="4">
        <f t="shared" si="104"/>
        <v>27</v>
      </c>
      <c r="F575" s="4">
        <f t="shared" si="106"/>
        <v>27</v>
      </c>
      <c r="G575" s="4">
        <f>IF(Table1[[#This Row],[CorrectedLeadTimeDays]]&lt;=7, 1, 0)</f>
        <v>0</v>
      </c>
      <c r="H575" s="4" t="str">
        <f t="shared" si="107"/>
        <v>August</v>
      </c>
      <c r="I575" s="4" t="str">
        <f t="shared" si="108"/>
        <v>Q3-2023</v>
      </c>
      <c r="J575" s="4" t="str">
        <f t="shared" si="109"/>
        <v>2023-01</v>
      </c>
      <c r="K575" s="3">
        <f t="shared" si="110"/>
        <v>44938</v>
      </c>
      <c r="L575" t="s">
        <v>647</v>
      </c>
      <c r="M575" t="s">
        <v>659</v>
      </c>
      <c r="N575" t="s">
        <v>685</v>
      </c>
      <c r="O575" t="s">
        <v>704</v>
      </c>
      <c r="P575" t="s">
        <v>710</v>
      </c>
      <c r="Q575" t="s">
        <v>725</v>
      </c>
      <c r="R575">
        <f t="shared" si="111"/>
        <v>6</v>
      </c>
      <c r="S575" t="s">
        <v>732</v>
      </c>
      <c r="T575" t="s">
        <v>1359</v>
      </c>
      <c r="U575" s="4">
        <v>226.04</v>
      </c>
      <c r="V575" s="4">
        <f>Table1[[#This Row],[UnitCost]]*(1+WhatIf!$B$3)</f>
        <v>237.34200000000001</v>
      </c>
      <c r="W575" s="4">
        <f t="shared" si="112"/>
        <v>2486.44</v>
      </c>
      <c r="X575" s="4">
        <f>Table1[[#This Row],[ScenarioRev]]-Table1[[#This Row],[ScenarioUnitCost]]</f>
        <v>5368.7849880000012</v>
      </c>
      <c r="Y575" s="4">
        <v>545.72</v>
      </c>
      <c r="Z575" s="4">
        <f t="shared" si="113"/>
        <v>5096.4790800000001</v>
      </c>
      <c r="AA575" s="4">
        <f>Table1[[#This Row],[ScenarioQuanity]]*Table1[[#This Row],[UnitPrice]]*(1-Table1[[#This Row],[ScenarioDiscPct]])</f>
        <v>5606.1269880000009</v>
      </c>
      <c r="AB575" s="4">
        <f t="shared" si="114"/>
        <v>2610.03908</v>
      </c>
      <c r="AC575" s="4">
        <f>Table1[[#This Row],[ScenarioRev]] - Table1[[#This Row],[ScenarioCostOfGoods]]</f>
        <v>237.34199999999964</v>
      </c>
      <c r="AD575" s="6">
        <v>0.151</v>
      </c>
      <c r="AE575" s="6">
        <f>MIN(Table1[[#This Row],[DiscountPct]], WhatIf!$B$2)</f>
        <v>0.151</v>
      </c>
      <c r="AF575" s="6">
        <f>IF(Table1[[#This Row],[DiscountPct]]&gt;0.2, 1, 0)</f>
        <v>0</v>
      </c>
      <c r="AG575" s="6" t="str">
        <f t="shared" si="115"/>
        <v>Low</v>
      </c>
      <c r="AH575" s="6">
        <f t="shared" si="116"/>
        <v>0.51212592831834014</v>
      </c>
      <c r="AI575" s="5">
        <v>11</v>
      </c>
      <c r="AJ575" s="6">
        <f>Table1[[#This Row],[Quantity]]*(1+WhatIf!$B$4)</f>
        <v>12.100000000000001</v>
      </c>
    </row>
    <row r="576" spans="1:36" x14ac:dyDescent="0.3">
      <c r="A576" t="s">
        <v>543</v>
      </c>
      <c r="B576" s="3">
        <v>45162</v>
      </c>
      <c r="C576" s="3">
        <v>45189</v>
      </c>
      <c r="D576" s="3">
        <f t="shared" si="105"/>
        <v>45189</v>
      </c>
      <c r="E576" s="4">
        <f t="shared" si="104"/>
        <v>27</v>
      </c>
      <c r="F576" s="4">
        <f t="shared" si="106"/>
        <v>27</v>
      </c>
      <c r="G576" s="4">
        <f>IF(Table1[[#This Row],[CorrectedLeadTimeDays]]&lt;=7, 1, 0)</f>
        <v>0</v>
      </c>
      <c r="H576" s="4" t="str">
        <f t="shared" si="107"/>
        <v>August</v>
      </c>
      <c r="I576" s="4" t="str">
        <f t="shared" si="108"/>
        <v>Q3-2023</v>
      </c>
      <c r="J576" s="4" t="str">
        <f t="shared" si="109"/>
        <v>2023-01</v>
      </c>
      <c r="K576" s="3">
        <f t="shared" si="110"/>
        <v>44933</v>
      </c>
      <c r="L576" t="s">
        <v>646</v>
      </c>
      <c r="M576" t="s">
        <v>661</v>
      </c>
      <c r="N576" t="s">
        <v>687</v>
      </c>
      <c r="O576" t="s">
        <v>705</v>
      </c>
      <c r="P576" t="s">
        <v>709</v>
      </c>
      <c r="Q576" t="s">
        <v>724</v>
      </c>
      <c r="R576">
        <f t="shared" si="111"/>
        <v>7</v>
      </c>
      <c r="S576" t="s">
        <v>728</v>
      </c>
      <c r="T576" t="s">
        <v>1262</v>
      </c>
      <c r="U576" s="4">
        <v>1399.64</v>
      </c>
      <c r="V576" s="4">
        <f>Table1[[#This Row],[UnitCost]]*(1+WhatIf!$B$3)</f>
        <v>1469.6220000000001</v>
      </c>
      <c r="W576" s="4">
        <f t="shared" si="112"/>
        <v>13996.400000000001</v>
      </c>
      <c r="X576" s="4">
        <f>Table1[[#This Row],[ScenarioRev]]-Table1[[#This Row],[ScenarioUnitCost]]</f>
        <v>35293.587999999996</v>
      </c>
      <c r="Y576" s="4">
        <v>3342.11</v>
      </c>
      <c r="Z576" s="4">
        <f t="shared" si="113"/>
        <v>33421.1</v>
      </c>
      <c r="AA576" s="4">
        <f>Table1[[#This Row],[ScenarioQuanity]]*Table1[[#This Row],[UnitPrice]]*(1-Table1[[#This Row],[ScenarioDiscPct]])</f>
        <v>36763.21</v>
      </c>
      <c r="AB576" s="4">
        <f t="shared" si="114"/>
        <v>19424.699999999997</v>
      </c>
      <c r="AC576" s="4">
        <f>Table1[[#This Row],[ScenarioRev]] - Table1[[#This Row],[ScenarioCostOfGoods]]</f>
        <v>1469.622000000003</v>
      </c>
      <c r="AD576" s="6">
        <v>0</v>
      </c>
      <c r="AE576" s="6">
        <f>MIN(Table1[[#This Row],[DiscountPct]], WhatIf!$B$2)</f>
        <v>0</v>
      </c>
      <c r="AF576" s="6">
        <f>IF(Table1[[#This Row],[DiscountPct]]&gt;0.2, 1, 0)</f>
        <v>0</v>
      </c>
      <c r="AG576" s="6" t="str">
        <f t="shared" si="115"/>
        <v>High</v>
      </c>
      <c r="AH576" s="6">
        <f t="shared" si="116"/>
        <v>0.58121067229983447</v>
      </c>
      <c r="AI576" s="5">
        <v>10</v>
      </c>
      <c r="AJ576" s="6">
        <f>Table1[[#This Row],[Quantity]]*(1+WhatIf!$B$4)</f>
        <v>11</v>
      </c>
    </row>
    <row r="577" spans="1:36" x14ac:dyDescent="0.3">
      <c r="A577" t="s">
        <v>127</v>
      </c>
      <c r="B577" s="3">
        <v>45472</v>
      </c>
      <c r="C577" s="3">
        <v>45499</v>
      </c>
      <c r="D577" s="3">
        <f t="shared" si="105"/>
        <v>45499</v>
      </c>
      <c r="E577" s="4">
        <f t="shared" si="104"/>
        <v>27</v>
      </c>
      <c r="F577" s="4">
        <f t="shared" si="106"/>
        <v>27</v>
      </c>
      <c r="G577" s="4">
        <f>IF(Table1[[#This Row],[CorrectedLeadTimeDays]]&lt;=7, 1, 0)</f>
        <v>0</v>
      </c>
      <c r="H577" s="4" t="str">
        <f t="shared" si="107"/>
        <v>June</v>
      </c>
      <c r="I577" s="4" t="str">
        <f t="shared" si="108"/>
        <v>Q2-2024</v>
      </c>
      <c r="J577" s="4" t="str">
        <f t="shared" si="109"/>
        <v>2023-01</v>
      </c>
      <c r="K577" s="3">
        <f t="shared" si="110"/>
        <v>44933</v>
      </c>
      <c r="L577" t="s">
        <v>646</v>
      </c>
      <c r="M577" t="s">
        <v>661</v>
      </c>
      <c r="N577" t="s">
        <v>687</v>
      </c>
      <c r="O577" t="s">
        <v>706</v>
      </c>
      <c r="P577" t="s">
        <v>710</v>
      </c>
      <c r="Q577" t="s">
        <v>717</v>
      </c>
      <c r="R577">
        <f t="shared" si="111"/>
        <v>17</v>
      </c>
      <c r="S577" t="s">
        <v>729</v>
      </c>
      <c r="T577" t="s">
        <v>846</v>
      </c>
      <c r="U577" s="4">
        <v>5.36</v>
      </c>
      <c r="V577" s="4">
        <f>Table1[[#This Row],[UnitCost]]*(1+WhatIf!$B$3)</f>
        <v>5.628000000000001</v>
      </c>
      <c r="W577" s="4">
        <f t="shared" si="112"/>
        <v>48.24</v>
      </c>
      <c r="X577" s="4">
        <f>Table1[[#This Row],[ScenarioRev]]-Table1[[#This Row],[ScenarioUnitCost]]</f>
        <v>32.529966000000002</v>
      </c>
      <c r="Y577" s="4">
        <v>4.37</v>
      </c>
      <c r="Z577" s="4">
        <f t="shared" si="113"/>
        <v>34.689059999999998</v>
      </c>
      <c r="AA577" s="4">
        <f>Table1[[#This Row],[ScenarioQuanity]]*Table1[[#This Row],[UnitPrice]]*(1-Table1[[#This Row],[ScenarioDiscPct]])</f>
        <v>38.157966000000002</v>
      </c>
      <c r="AB577" s="4">
        <f t="shared" si="114"/>
        <v>-13.550940000000004</v>
      </c>
      <c r="AC577" s="4">
        <f>Table1[[#This Row],[ScenarioRev]] - Table1[[#This Row],[ScenarioCostOfGoods]]</f>
        <v>5.6280000000000001</v>
      </c>
      <c r="AD577" s="6">
        <v>0.11799999999999999</v>
      </c>
      <c r="AE577" s="6">
        <f>MIN(Table1[[#This Row],[DiscountPct]], WhatIf!$B$2)</f>
        <v>0.11799999999999999</v>
      </c>
      <c r="AF577" s="6">
        <f>IF(Table1[[#This Row],[DiscountPct]]&gt;0.2, 1, 0)</f>
        <v>0</v>
      </c>
      <c r="AG577" s="6" t="str">
        <f t="shared" si="115"/>
        <v>Low</v>
      </c>
      <c r="AH577" s="6">
        <f t="shared" si="116"/>
        <v>-0.39064016148030545</v>
      </c>
      <c r="AI577" s="5">
        <v>9</v>
      </c>
      <c r="AJ577" s="6">
        <f>Table1[[#This Row],[Quantity]]*(1+WhatIf!$B$4)</f>
        <v>9.9</v>
      </c>
    </row>
    <row r="578" spans="1:36" x14ac:dyDescent="0.3">
      <c r="A578" t="s">
        <v>138</v>
      </c>
      <c r="B578" s="3">
        <v>45598</v>
      </c>
      <c r="C578" s="3">
        <v>45625</v>
      </c>
      <c r="D578" s="3">
        <f t="shared" si="105"/>
        <v>45625</v>
      </c>
      <c r="E578" s="4">
        <f t="shared" ref="E578:E633" si="117">C578-B578</f>
        <v>27</v>
      </c>
      <c r="F578" s="4">
        <f t="shared" si="106"/>
        <v>27</v>
      </c>
      <c r="G578" s="4">
        <f>IF(Table1[[#This Row],[CorrectedLeadTimeDays]]&lt;=7, 1, 0)</f>
        <v>0</v>
      </c>
      <c r="H578" s="4" t="str">
        <f t="shared" si="107"/>
        <v>November</v>
      </c>
      <c r="I578" s="4" t="str">
        <f t="shared" si="108"/>
        <v>Q4-2024</v>
      </c>
      <c r="J578" s="4" t="str">
        <f t="shared" si="109"/>
        <v>2023-01</v>
      </c>
      <c r="K578" s="3">
        <f t="shared" si="110"/>
        <v>44955</v>
      </c>
      <c r="L578" t="s">
        <v>648</v>
      </c>
      <c r="M578" t="s">
        <v>655</v>
      </c>
      <c r="N578" t="s">
        <v>672</v>
      </c>
      <c r="O578" t="s">
        <v>705</v>
      </c>
      <c r="P578" t="s">
        <v>711</v>
      </c>
      <c r="Q578" t="s">
        <v>714</v>
      </c>
      <c r="R578">
        <f t="shared" si="111"/>
        <v>21</v>
      </c>
      <c r="S578" t="s">
        <v>729</v>
      </c>
      <c r="T578" t="s">
        <v>857</v>
      </c>
      <c r="U578" s="4">
        <v>1363.51</v>
      </c>
      <c r="V578" s="4">
        <f>Table1[[#This Row],[UnitCost]]*(1+WhatIf!$B$3)</f>
        <v>1431.6855</v>
      </c>
      <c r="W578" s="4">
        <f t="shared" si="112"/>
        <v>10908.08</v>
      </c>
      <c r="X578" s="4">
        <f>Table1[[#This Row],[ScenarioRev]]-Table1[[#This Row],[ScenarioUnitCost]]</f>
        <v>10467.390260000002</v>
      </c>
      <c r="Y578" s="4">
        <v>1433.9</v>
      </c>
      <c r="Z578" s="4">
        <f t="shared" si="113"/>
        <v>10817.3416</v>
      </c>
      <c r="AA578" s="4">
        <f>Table1[[#This Row],[ScenarioQuanity]]*Table1[[#This Row],[UnitPrice]]*(1-Table1[[#This Row],[ScenarioDiscPct]])</f>
        <v>11899.075760000002</v>
      </c>
      <c r="AB578" s="4">
        <f t="shared" si="114"/>
        <v>-90.738400000000183</v>
      </c>
      <c r="AC578" s="4">
        <f>Table1[[#This Row],[ScenarioRev]] - Table1[[#This Row],[ScenarioCostOfGoods]]</f>
        <v>1431.6854999999996</v>
      </c>
      <c r="AD578" s="6">
        <v>5.7000000000000002E-2</v>
      </c>
      <c r="AE578" s="6">
        <f>MIN(Table1[[#This Row],[DiscountPct]], WhatIf!$B$2)</f>
        <v>5.7000000000000002E-2</v>
      </c>
      <c r="AF578" s="6">
        <f>IF(Table1[[#This Row],[DiscountPct]]&gt;0.2, 1, 0)</f>
        <v>0</v>
      </c>
      <c r="AG578" s="6" t="str">
        <f t="shared" si="115"/>
        <v>High</v>
      </c>
      <c r="AH578" s="6">
        <f t="shared" si="116"/>
        <v>-8.3882346842037592E-3</v>
      </c>
      <c r="AI578" s="5">
        <v>8</v>
      </c>
      <c r="AJ578" s="6">
        <f>Table1[[#This Row],[Quantity]]*(1+WhatIf!$B$4)</f>
        <v>8.8000000000000007</v>
      </c>
    </row>
    <row r="579" spans="1:36" x14ac:dyDescent="0.3">
      <c r="A579" t="s">
        <v>481</v>
      </c>
      <c r="B579" s="3">
        <v>45278</v>
      </c>
      <c r="C579" s="3">
        <v>45305</v>
      </c>
      <c r="D579" s="3">
        <f t="shared" ref="D579:D633" si="118">IF(C579&lt;B579, B579+14, C579)</f>
        <v>45305</v>
      </c>
      <c r="E579" s="4">
        <f t="shared" si="117"/>
        <v>27</v>
      </c>
      <c r="F579" s="4">
        <f t="shared" ref="F579:F633" si="119">D579-B579</f>
        <v>27</v>
      </c>
      <c r="G579" s="4">
        <f>IF(Table1[[#This Row],[CorrectedLeadTimeDays]]&lt;=7, 1, 0)</f>
        <v>0</v>
      </c>
      <c r="H579" s="4" t="str">
        <f t="shared" ref="H579:H633" si="120">TEXT(B579, "mmmm")</f>
        <v>December</v>
      </c>
      <c r="I579" s="4" t="str">
        <f t="shared" ref="I579:I633" si="121">"Q"&amp;ROUNDUP(MONTH(B579)/3,0)&amp;"-"&amp;YEAR(B579)</f>
        <v>Q4-2023</v>
      </c>
      <c r="J579" s="4" t="str">
        <f t="shared" ref="J579:J633" si="122">TEXT(K579, "yyyy-mm")</f>
        <v>2023-01</v>
      </c>
      <c r="K579" s="3">
        <f t="shared" ref="K579:K633" si="123">_xlfn.MINIFS($B:$B,$M:$M,M579)</f>
        <v>44955</v>
      </c>
      <c r="L579" t="s">
        <v>647</v>
      </c>
      <c r="M579" t="s">
        <v>654</v>
      </c>
      <c r="N579" t="s">
        <v>691</v>
      </c>
      <c r="O579" t="s">
        <v>704</v>
      </c>
      <c r="P579" t="s">
        <v>710</v>
      </c>
      <c r="Q579" t="s">
        <v>726</v>
      </c>
      <c r="R579">
        <f t="shared" ref="R579:R633" si="124">DATEDIF(K579,B579,"m")</f>
        <v>10</v>
      </c>
      <c r="S579" t="s">
        <v>729</v>
      </c>
      <c r="T579" t="s">
        <v>1200</v>
      </c>
      <c r="U579" s="4">
        <v>1408.3</v>
      </c>
      <c r="V579" s="4">
        <f>Table1[[#This Row],[UnitCost]]*(1+WhatIf!$B$3)</f>
        <v>1478.7149999999999</v>
      </c>
      <c r="W579" s="4">
        <f t="shared" ref="W579:W633" si="125">U579*AI579</f>
        <v>9858.1</v>
      </c>
      <c r="X579" s="4">
        <f>Table1[[#This Row],[ScenarioRev]]-Table1[[#This Row],[ScenarioUnitCost]]</f>
        <v>14209.401829000002</v>
      </c>
      <c r="Y579" s="4">
        <v>2193.13</v>
      </c>
      <c r="Z579" s="4">
        <f t="shared" ref="Z579:Z633" si="126">Y579*AI579*(1-AD579)</f>
        <v>14261.92439</v>
      </c>
      <c r="AA579" s="4">
        <f>Table1[[#This Row],[ScenarioQuanity]]*Table1[[#This Row],[UnitPrice]]*(1-Table1[[#This Row],[ScenarioDiscPct]])</f>
        <v>15688.116829000002</v>
      </c>
      <c r="AB579" s="4">
        <f t="shared" ref="AB579:AB633" si="127">Z579-W579</f>
        <v>4403.8243899999998</v>
      </c>
      <c r="AC579" s="4">
        <f>Table1[[#This Row],[ScenarioRev]] - Table1[[#This Row],[ScenarioCostOfGoods]]</f>
        <v>1478.7150000000001</v>
      </c>
      <c r="AD579" s="6">
        <v>7.0999999999999994E-2</v>
      </c>
      <c r="AE579" s="6">
        <f>MIN(Table1[[#This Row],[DiscountPct]], WhatIf!$B$2)</f>
        <v>7.0999999999999994E-2</v>
      </c>
      <c r="AF579" s="6">
        <f>IF(Table1[[#This Row],[DiscountPct]]&gt;0.2, 1, 0)</f>
        <v>0</v>
      </c>
      <c r="AG579" s="6" t="str">
        <f t="shared" ref="AG579:AG633" si="128">IF(Y579&lt;=_xlfn.PERCENTILE.INC($Y:$Y,0.33),"Low",
 IF(D579&lt;=_xlfn.PERCENTILE.INC($Y:$Y,0.66),"Medium",
 "High"))</f>
        <v>High</v>
      </c>
      <c r="AH579" s="6">
        <f t="shared" ref="AH579:AH633" si="129">IF(Z579=0, 0, AB579/Z579)</f>
        <v>0.30878191957656281</v>
      </c>
      <c r="AI579" s="5">
        <v>7</v>
      </c>
      <c r="AJ579" s="6">
        <f>Table1[[#This Row],[Quantity]]*(1+WhatIf!$B$4)</f>
        <v>7.7000000000000011</v>
      </c>
    </row>
    <row r="580" spans="1:36" x14ac:dyDescent="0.3">
      <c r="A580" t="s">
        <v>592</v>
      </c>
      <c r="B580" s="3">
        <v>45092</v>
      </c>
      <c r="C580" s="3">
        <v>45119</v>
      </c>
      <c r="D580" s="3">
        <f t="shared" si="118"/>
        <v>45119</v>
      </c>
      <c r="E580" s="4">
        <f t="shared" si="117"/>
        <v>27</v>
      </c>
      <c r="F580" s="4">
        <f t="shared" si="119"/>
        <v>27</v>
      </c>
      <c r="G580" s="4">
        <f>IF(Table1[[#This Row],[CorrectedLeadTimeDays]]&lt;=7, 1, 0)</f>
        <v>0</v>
      </c>
      <c r="H580" s="4" t="str">
        <f t="shared" si="120"/>
        <v>June</v>
      </c>
      <c r="I580" s="4" t="str">
        <f t="shared" si="121"/>
        <v>Q2-2023</v>
      </c>
      <c r="J580" s="4" t="str">
        <f t="shared" si="122"/>
        <v>2023-01</v>
      </c>
      <c r="K580" s="3">
        <f t="shared" si="123"/>
        <v>44945</v>
      </c>
      <c r="L580" t="s">
        <v>649</v>
      </c>
      <c r="M580" t="s">
        <v>658</v>
      </c>
      <c r="N580" t="s">
        <v>693</v>
      </c>
      <c r="O580" t="s">
        <v>704</v>
      </c>
      <c r="P580" t="s">
        <v>711</v>
      </c>
      <c r="Q580" t="s">
        <v>714</v>
      </c>
      <c r="R580">
        <f t="shared" si="124"/>
        <v>4</v>
      </c>
      <c r="S580" t="s">
        <v>733</v>
      </c>
      <c r="T580" t="s">
        <v>1310</v>
      </c>
      <c r="U580" s="4">
        <v>751.28</v>
      </c>
      <c r="V580" s="4">
        <f>Table1[[#This Row],[UnitCost]]*(1+WhatIf!$B$3)</f>
        <v>788.84400000000005</v>
      </c>
      <c r="W580" s="4">
        <f t="shared" si="125"/>
        <v>5258.96</v>
      </c>
      <c r="X580" s="4">
        <f>Table1[[#This Row],[ScenarioRev]]-Table1[[#This Row],[ScenarioUnitCost]]</f>
        <v>6616.8327400000016</v>
      </c>
      <c r="Y580" s="4">
        <v>1111.8800000000001</v>
      </c>
      <c r="Z580" s="4">
        <f t="shared" si="126"/>
        <v>6732.4334000000008</v>
      </c>
      <c r="AA580" s="4">
        <f>Table1[[#This Row],[ScenarioQuanity]]*Table1[[#This Row],[UnitPrice]]*(1-Table1[[#This Row],[ScenarioDiscPct]])</f>
        <v>7405.6767400000017</v>
      </c>
      <c r="AB580" s="4">
        <f t="shared" si="127"/>
        <v>1473.4734000000008</v>
      </c>
      <c r="AC580" s="4">
        <f>Table1[[#This Row],[ScenarioRev]] - Table1[[#This Row],[ScenarioCostOfGoods]]</f>
        <v>788.84400000000005</v>
      </c>
      <c r="AD580" s="6">
        <v>0.13500000000000001</v>
      </c>
      <c r="AE580" s="6">
        <f>MIN(Table1[[#This Row],[DiscountPct]], WhatIf!$B$2)</f>
        <v>0.13500000000000001</v>
      </c>
      <c r="AF580" s="6">
        <f>IF(Table1[[#This Row],[DiscountPct]]&gt;0.2, 1, 0)</f>
        <v>0</v>
      </c>
      <c r="AG580" s="6" t="str">
        <f t="shared" si="128"/>
        <v>High</v>
      </c>
      <c r="AH580" s="6">
        <f t="shared" si="129"/>
        <v>0.21886193482433863</v>
      </c>
      <c r="AI580" s="5">
        <v>7</v>
      </c>
      <c r="AJ580" s="6">
        <f>Table1[[#This Row],[Quantity]]*(1+WhatIf!$B$4)</f>
        <v>7.7000000000000011</v>
      </c>
    </row>
    <row r="581" spans="1:36" x14ac:dyDescent="0.3">
      <c r="A581" t="s">
        <v>299</v>
      </c>
      <c r="B581" s="3">
        <v>45101</v>
      </c>
      <c r="C581" s="3">
        <v>45128</v>
      </c>
      <c r="D581" s="3">
        <f t="shared" si="118"/>
        <v>45128</v>
      </c>
      <c r="E581" s="4">
        <f t="shared" si="117"/>
        <v>27</v>
      </c>
      <c r="F581" s="4">
        <f t="shared" si="119"/>
        <v>27</v>
      </c>
      <c r="G581" s="4">
        <f>IF(Table1[[#This Row],[CorrectedLeadTimeDays]]&lt;=7, 1, 0)</f>
        <v>0</v>
      </c>
      <c r="H581" s="4" t="str">
        <f t="shared" si="120"/>
        <v>June</v>
      </c>
      <c r="I581" s="4" t="str">
        <f t="shared" si="121"/>
        <v>Q2-2023</v>
      </c>
      <c r="J581" s="4" t="str">
        <f t="shared" si="122"/>
        <v>2023-03</v>
      </c>
      <c r="K581" s="3">
        <f t="shared" si="123"/>
        <v>44988</v>
      </c>
      <c r="L581" t="s">
        <v>647</v>
      </c>
      <c r="M581" t="s">
        <v>652</v>
      </c>
      <c r="N581" t="s">
        <v>694</v>
      </c>
      <c r="O581" t="s">
        <v>704</v>
      </c>
      <c r="P581" t="s">
        <v>709</v>
      </c>
      <c r="Q581" t="s">
        <v>713</v>
      </c>
      <c r="R581">
        <f t="shared" si="124"/>
        <v>3</v>
      </c>
      <c r="S581" t="s">
        <v>730</v>
      </c>
      <c r="T581" t="s">
        <v>1019</v>
      </c>
      <c r="U581" s="4">
        <v>554.76</v>
      </c>
      <c r="V581" s="4">
        <f>Table1[[#This Row],[UnitCost]]*(1+WhatIf!$B$3)</f>
        <v>582.49800000000005</v>
      </c>
      <c r="W581" s="4">
        <f t="shared" si="125"/>
        <v>3883.3199999999997</v>
      </c>
      <c r="X581" s="4">
        <f>Table1[[#This Row],[ScenarioRev]]-Table1[[#This Row],[ScenarioUnitCost]]</f>
        <v>3906.2324000000012</v>
      </c>
      <c r="Y581" s="4">
        <v>728.69</v>
      </c>
      <c r="Z581" s="4">
        <f t="shared" si="126"/>
        <v>3978.6474000000003</v>
      </c>
      <c r="AA581" s="4">
        <f>Table1[[#This Row],[ScenarioQuanity]]*Table1[[#This Row],[UnitPrice]]*(1-Table1[[#This Row],[ScenarioDiscPct]])</f>
        <v>4488.7304000000013</v>
      </c>
      <c r="AB581" s="4">
        <f t="shared" si="127"/>
        <v>95.32740000000058</v>
      </c>
      <c r="AC581" s="4">
        <f>Table1[[#This Row],[ScenarioRev]] - Table1[[#This Row],[ScenarioCostOfGoods]]</f>
        <v>582.49800000000005</v>
      </c>
      <c r="AD581" s="6">
        <v>0.22</v>
      </c>
      <c r="AE581" s="6">
        <f>MIN(Table1[[#This Row],[DiscountPct]], WhatIf!$B$2)</f>
        <v>0.2</v>
      </c>
      <c r="AF581" s="6">
        <f>IF(Table1[[#This Row],[DiscountPct]]&gt;0.2, 1, 0)</f>
        <v>1</v>
      </c>
      <c r="AG581" s="6" t="str">
        <f t="shared" si="128"/>
        <v>Low</v>
      </c>
      <c r="AH581" s="6">
        <f t="shared" si="129"/>
        <v>2.395975074343119E-2</v>
      </c>
      <c r="AI581" s="5">
        <v>7</v>
      </c>
      <c r="AJ581" s="6">
        <f>Table1[[#This Row],[Quantity]]*(1+WhatIf!$B$4)</f>
        <v>7.7000000000000011</v>
      </c>
    </row>
    <row r="582" spans="1:36" x14ac:dyDescent="0.3">
      <c r="A582" t="s">
        <v>476</v>
      </c>
      <c r="B582" s="3">
        <v>45358</v>
      </c>
      <c r="C582" s="3">
        <v>45385</v>
      </c>
      <c r="D582" s="3">
        <f t="shared" si="118"/>
        <v>45385</v>
      </c>
      <c r="E582" s="4">
        <f t="shared" si="117"/>
        <v>27</v>
      </c>
      <c r="F582" s="4">
        <f t="shared" si="119"/>
        <v>27</v>
      </c>
      <c r="G582" s="4">
        <f>IF(Table1[[#This Row],[CorrectedLeadTimeDays]]&lt;=7, 1, 0)</f>
        <v>0</v>
      </c>
      <c r="H582" s="4" t="str">
        <f t="shared" si="120"/>
        <v>March</v>
      </c>
      <c r="I582" s="4" t="str">
        <f t="shared" si="121"/>
        <v>Q1-2024</v>
      </c>
      <c r="J582" s="4" t="str">
        <f t="shared" si="122"/>
        <v>2023-01</v>
      </c>
      <c r="K582" s="3">
        <f t="shared" si="123"/>
        <v>44948</v>
      </c>
      <c r="L582" t="s">
        <v>649</v>
      </c>
      <c r="M582" t="s">
        <v>656</v>
      </c>
      <c r="N582" t="s">
        <v>698</v>
      </c>
      <c r="O582" t="s">
        <v>701</v>
      </c>
      <c r="P582" t="s">
        <v>711</v>
      </c>
      <c r="Q582" t="s">
        <v>724</v>
      </c>
      <c r="R582">
        <f t="shared" si="124"/>
        <v>13</v>
      </c>
      <c r="S582" t="s">
        <v>728</v>
      </c>
      <c r="T582" t="s">
        <v>1195</v>
      </c>
      <c r="U582" s="4">
        <v>738.16</v>
      </c>
      <c r="V582" s="4">
        <f>Table1[[#This Row],[UnitCost]]*(1+WhatIf!$B$3)</f>
        <v>775.06799999999998</v>
      </c>
      <c r="W582" s="4">
        <f t="shared" si="125"/>
        <v>3690.7999999999997</v>
      </c>
      <c r="X582" s="4">
        <f>Table1[[#This Row],[ScenarioRev]]-Table1[[#This Row],[ScenarioUnitCost]]</f>
        <v>3686.0013599999993</v>
      </c>
      <c r="Y582" s="4">
        <v>956.49</v>
      </c>
      <c r="Z582" s="4">
        <f t="shared" si="126"/>
        <v>4055.5175999999997</v>
      </c>
      <c r="AA582" s="4">
        <f>Table1[[#This Row],[ScenarioQuanity]]*Table1[[#This Row],[UnitPrice]]*(1-Table1[[#This Row],[ScenarioDiscPct]])</f>
        <v>4461.0693599999995</v>
      </c>
      <c r="AB582" s="4">
        <f t="shared" si="127"/>
        <v>364.71759999999995</v>
      </c>
      <c r="AC582" s="4">
        <f>Table1[[#This Row],[ScenarioRev]] - Table1[[#This Row],[ScenarioCostOfGoods]]</f>
        <v>775.06800000000021</v>
      </c>
      <c r="AD582" s="6">
        <v>0.152</v>
      </c>
      <c r="AE582" s="6">
        <f>MIN(Table1[[#This Row],[DiscountPct]], WhatIf!$B$2)</f>
        <v>0.152</v>
      </c>
      <c r="AF582" s="6">
        <f>IF(Table1[[#This Row],[DiscountPct]]&gt;0.2, 1, 0)</f>
        <v>0</v>
      </c>
      <c r="AG582" s="6" t="str">
        <f t="shared" si="128"/>
        <v>High</v>
      </c>
      <c r="AH582" s="6">
        <f t="shared" si="129"/>
        <v>8.9931208780847108E-2</v>
      </c>
      <c r="AI582" s="5">
        <v>5</v>
      </c>
      <c r="AJ582" s="6">
        <f>Table1[[#This Row],[Quantity]]*(1+WhatIf!$B$4)</f>
        <v>5.5</v>
      </c>
    </row>
    <row r="583" spans="1:36" x14ac:dyDescent="0.3">
      <c r="A583" t="s">
        <v>125</v>
      </c>
      <c r="B583" s="3">
        <v>45452</v>
      </c>
      <c r="C583" s="3">
        <v>45480</v>
      </c>
      <c r="D583" s="3">
        <f t="shared" si="118"/>
        <v>45480</v>
      </c>
      <c r="E583" s="4">
        <f t="shared" si="117"/>
        <v>28</v>
      </c>
      <c r="F583" s="4">
        <f t="shared" si="119"/>
        <v>28</v>
      </c>
      <c r="G583" s="4">
        <f>IF(Table1[[#This Row],[CorrectedLeadTimeDays]]&lt;=7, 1, 0)</f>
        <v>0</v>
      </c>
      <c r="H583" s="4" t="str">
        <f t="shared" si="120"/>
        <v>June</v>
      </c>
      <c r="I583" s="4" t="str">
        <f t="shared" si="121"/>
        <v>Q2-2024</v>
      </c>
      <c r="J583" s="4" t="str">
        <f t="shared" si="122"/>
        <v>2023-01</v>
      </c>
      <c r="K583" s="3">
        <f t="shared" si="123"/>
        <v>44938</v>
      </c>
      <c r="L583" t="s">
        <v>647</v>
      </c>
      <c r="M583" t="s">
        <v>659</v>
      </c>
      <c r="N583" t="s">
        <v>676</v>
      </c>
      <c r="O583" t="s">
        <v>701</v>
      </c>
      <c r="P583" t="s">
        <v>708</v>
      </c>
      <c r="Q583" t="s">
        <v>713</v>
      </c>
      <c r="R583">
        <f t="shared" si="124"/>
        <v>16</v>
      </c>
      <c r="S583" t="s">
        <v>727</v>
      </c>
      <c r="T583" t="s">
        <v>844</v>
      </c>
      <c r="U583" s="4">
        <v>550.22</v>
      </c>
      <c r="V583" s="4">
        <f>Table1[[#This Row],[UnitCost]]*(1+WhatIf!$B$3)</f>
        <v>577.73100000000011</v>
      </c>
      <c r="W583" s="4">
        <f t="shared" si="125"/>
        <v>14855.94</v>
      </c>
      <c r="X583" s="4">
        <f>Table1[[#This Row],[ScenarioRev]]-Table1[[#This Row],[ScenarioUnitCost]]</f>
        <v>29866.254000000001</v>
      </c>
      <c r="Y583" s="4">
        <v>1025.05</v>
      </c>
      <c r="Z583" s="4">
        <f t="shared" si="126"/>
        <v>27676.35</v>
      </c>
      <c r="AA583" s="4">
        <f>Table1[[#This Row],[ScenarioQuanity]]*Table1[[#This Row],[UnitPrice]]*(1-Table1[[#This Row],[ScenarioDiscPct]])</f>
        <v>30443.985000000001</v>
      </c>
      <c r="AB583" s="4">
        <f t="shared" si="127"/>
        <v>12820.409999999998</v>
      </c>
      <c r="AC583" s="4">
        <f>Table1[[#This Row],[ScenarioRev]] - Table1[[#This Row],[ScenarioCostOfGoods]]</f>
        <v>577.73099999999977</v>
      </c>
      <c r="AD583" s="6">
        <v>0</v>
      </c>
      <c r="AE583" s="6">
        <f>MIN(Table1[[#This Row],[DiscountPct]], WhatIf!$B$2)</f>
        <v>0</v>
      </c>
      <c r="AF583" s="6">
        <f>IF(Table1[[#This Row],[DiscountPct]]&gt;0.2, 1, 0)</f>
        <v>0</v>
      </c>
      <c r="AG583" s="6" t="str">
        <f t="shared" si="128"/>
        <v>High</v>
      </c>
      <c r="AH583" s="6">
        <f t="shared" si="129"/>
        <v>0.46322618408858102</v>
      </c>
      <c r="AI583" s="5">
        <v>27</v>
      </c>
      <c r="AJ583" s="6">
        <f>Table1[[#This Row],[Quantity]]*(1+WhatIf!$B$4)</f>
        <v>29.700000000000003</v>
      </c>
    </row>
    <row r="584" spans="1:36" x14ac:dyDescent="0.3">
      <c r="A584" t="s">
        <v>492</v>
      </c>
      <c r="B584" s="3">
        <v>45123</v>
      </c>
      <c r="C584" s="3">
        <v>45151</v>
      </c>
      <c r="D584" s="3">
        <f t="shared" si="118"/>
        <v>45151</v>
      </c>
      <c r="E584" s="4">
        <f t="shared" si="117"/>
        <v>28</v>
      </c>
      <c r="F584" s="4">
        <f t="shared" si="119"/>
        <v>28</v>
      </c>
      <c r="G584" s="4">
        <f>IF(Table1[[#This Row],[CorrectedLeadTimeDays]]&lt;=7, 1, 0)</f>
        <v>0</v>
      </c>
      <c r="H584" s="4" t="str">
        <f t="shared" si="120"/>
        <v>July</v>
      </c>
      <c r="I584" s="4" t="str">
        <f t="shared" si="121"/>
        <v>Q3-2023</v>
      </c>
      <c r="J584" s="4" t="str">
        <f t="shared" si="122"/>
        <v>2023-01</v>
      </c>
      <c r="K584" s="3">
        <f t="shared" si="123"/>
        <v>44945</v>
      </c>
      <c r="L584" t="s">
        <v>649</v>
      </c>
      <c r="M584" t="s">
        <v>658</v>
      </c>
      <c r="N584" t="s">
        <v>693</v>
      </c>
      <c r="O584" t="s">
        <v>703</v>
      </c>
      <c r="P584" t="s">
        <v>708</v>
      </c>
      <c r="Q584" t="s">
        <v>713</v>
      </c>
      <c r="R584">
        <f t="shared" si="124"/>
        <v>5</v>
      </c>
      <c r="S584" t="s">
        <v>731</v>
      </c>
      <c r="T584" t="s">
        <v>1211</v>
      </c>
      <c r="U584" s="4">
        <v>1039.03</v>
      </c>
      <c r="V584" s="4">
        <f>Table1[[#This Row],[UnitCost]]*(1+WhatIf!$B$3)</f>
        <v>1090.9815000000001</v>
      </c>
      <c r="W584" s="4">
        <f t="shared" si="125"/>
        <v>21819.63</v>
      </c>
      <c r="X584" s="4">
        <f>Table1[[#This Row],[ScenarioRev]]-Table1[[#This Row],[ScenarioUnitCost]]</f>
        <v>45955.587300000007</v>
      </c>
      <c r="Y584" s="4">
        <v>2545.81</v>
      </c>
      <c r="Z584" s="4">
        <f t="shared" si="126"/>
        <v>41914.215840000004</v>
      </c>
      <c r="AA584" s="4">
        <f>Table1[[#This Row],[ScenarioQuanity]]*Table1[[#This Row],[UnitPrice]]*(1-Table1[[#This Row],[ScenarioDiscPct]])</f>
        <v>47046.568800000008</v>
      </c>
      <c r="AB584" s="4">
        <f t="shared" si="127"/>
        <v>20094.585840000003</v>
      </c>
      <c r="AC584" s="4">
        <f>Table1[[#This Row],[ScenarioRev]] - Table1[[#This Row],[ScenarioCostOfGoods]]</f>
        <v>1090.9815000000017</v>
      </c>
      <c r="AD584" s="6">
        <v>0.216</v>
      </c>
      <c r="AE584" s="6">
        <f>MIN(Table1[[#This Row],[DiscountPct]], WhatIf!$B$2)</f>
        <v>0.2</v>
      </c>
      <c r="AF584" s="6">
        <f>IF(Table1[[#This Row],[DiscountPct]]&gt;0.2, 1, 0)</f>
        <v>1</v>
      </c>
      <c r="AG584" s="6" t="str">
        <f t="shared" si="128"/>
        <v>High</v>
      </c>
      <c r="AH584" s="6">
        <f t="shared" si="129"/>
        <v>0.47942172929364774</v>
      </c>
      <c r="AI584" s="5">
        <v>21</v>
      </c>
      <c r="AJ584" s="6">
        <f>Table1[[#This Row],[Quantity]]*(1+WhatIf!$B$4)</f>
        <v>23.1</v>
      </c>
    </row>
    <row r="585" spans="1:36" x14ac:dyDescent="0.3">
      <c r="A585" t="s">
        <v>288</v>
      </c>
      <c r="B585" s="3">
        <v>45367</v>
      </c>
      <c r="C585" s="3">
        <v>45395</v>
      </c>
      <c r="D585" s="3">
        <f t="shared" si="118"/>
        <v>45395</v>
      </c>
      <c r="E585" s="4">
        <f t="shared" si="117"/>
        <v>28</v>
      </c>
      <c r="F585" s="4">
        <f t="shared" si="119"/>
        <v>28</v>
      </c>
      <c r="G585" s="4">
        <f>IF(Table1[[#This Row],[CorrectedLeadTimeDays]]&lt;=7, 1, 0)</f>
        <v>0</v>
      </c>
      <c r="H585" s="4" t="str">
        <f t="shared" si="120"/>
        <v>March</v>
      </c>
      <c r="I585" s="4" t="str">
        <f t="shared" si="121"/>
        <v>Q1-2024</v>
      </c>
      <c r="J585" s="4" t="str">
        <f t="shared" si="122"/>
        <v>2023-01</v>
      </c>
      <c r="K585" s="3">
        <f t="shared" si="123"/>
        <v>44936</v>
      </c>
      <c r="L585" t="s">
        <v>649</v>
      </c>
      <c r="M585" t="s">
        <v>657</v>
      </c>
      <c r="N585" t="s">
        <v>690</v>
      </c>
      <c r="O585" t="s">
        <v>705</v>
      </c>
      <c r="P585" t="s">
        <v>708</v>
      </c>
      <c r="Q585" t="s">
        <v>723</v>
      </c>
      <c r="R585">
        <f t="shared" si="124"/>
        <v>14</v>
      </c>
      <c r="S585" t="s">
        <v>728</v>
      </c>
      <c r="T585" t="s">
        <v>1008</v>
      </c>
      <c r="U585" s="4">
        <v>287.61</v>
      </c>
      <c r="V585" s="4">
        <f>Table1[[#This Row],[UnitCost]]*(1+WhatIf!$B$3)</f>
        <v>301.99050000000005</v>
      </c>
      <c r="W585" s="4">
        <f t="shared" si="125"/>
        <v>6039.81</v>
      </c>
      <c r="X585" s="4">
        <f>Table1[[#This Row],[ScenarioRev]]-Table1[[#This Row],[ScenarioUnitCost]]</f>
        <v>12257.18151</v>
      </c>
      <c r="Y585" s="4">
        <v>628.54</v>
      </c>
      <c r="Z585" s="4">
        <f t="shared" si="126"/>
        <v>11417.429099999999</v>
      </c>
      <c r="AA585" s="4">
        <f>Table1[[#This Row],[ScenarioQuanity]]*Table1[[#This Row],[UnitPrice]]*(1-Table1[[#This Row],[ScenarioDiscPct]])</f>
        <v>12559.17201</v>
      </c>
      <c r="AB585" s="4">
        <f t="shared" si="127"/>
        <v>5377.619099999999</v>
      </c>
      <c r="AC585" s="4">
        <f>Table1[[#This Row],[ScenarioRev]] - Table1[[#This Row],[ScenarioCostOfGoods]]</f>
        <v>301.99049999999988</v>
      </c>
      <c r="AD585" s="6">
        <v>0.13500000000000001</v>
      </c>
      <c r="AE585" s="6">
        <f>MIN(Table1[[#This Row],[DiscountPct]], WhatIf!$B$2)</f>
        <v>0.13500000000000001</v>
      </c>
      <c r="AF585" s="6">
        <f>IF(Table1[[#This Row],[DiscountPct]]&gt;0.2, 1, 0)</f>
        <v>0</v>
      </c>
      <c r="AG585" s="6" t="str">
        <f t="shared" si="128"/>
        <v>Low</v>
      </c>
      <c r="AH585" s="6">
        <f t="shared" si="129"/>
        <v>0.47100087531964613</v>
      </c>
      <c r="AI585" s="5">
        <v>21</v>
      </c>
      <c r="AJ585" s="6">
        <f>Table1[[#This Row],[Quantity]]*(1+WhatIf!$B$4)</f>
        <v>23.1</v>
      </c>
    </row>
    <row r="586" spans="1:36" x14ac:dyDescent="0.3">
      <c r="A586" t="s">
        <v>421</v>
      </c>
      <c r="B586" s="3">
        <v>45709</v>
      </c>
      <c r="C586" s="3">
        <v>45737</v>
      </c>
      <c r="D586" s="3">
        <f t="shared" si="118"/>
        <v>45737</v>
      </c>
      <c r="E586" s="4">
        <f t="shared" si="117"/>
        <v>28</v>
      </c>
      <c r="F586" s="4">
        <f t="shared" si="119"/>
        <v>28</v>
      </c>
      <c r="G586" s="4">
        <f>IF(Table1[[#This Row],[CorrectedLeadTimeDays]]&lt;=7, 1, 0)</f>
        <v>0</v>
      </c>
      <c r="H586" s="4" t="str">
        <f t="shared" si="120"/>
        <v>February</v>
      </c>
      <c r="I586" s="4" t="str">
        <f t="shared" si="121"/>
        <v>Q1-2025</v>
      </c>
      <c r="J586" s="4" t="str">
        <f t="shared" si="122"/>
        <v>2023-01</v>
      </c>
      <c r="K586" s="3">
        <f t="shared" si="123"/>
        <v>44941</v>
      </c>
      <c r="L586" t="s">
        <v>646</v>
      </c>
      <c r="M586" t="s">
        <v>651</v>
      </c>
      <c r="N586" t="s">
        <v>669</v>
      </c>
      <c r="O586" t="s">
        <v>706</v>
      </c>
      <c r="P586" t="s">
        <v>709</v>
      </c>
      <c r="Q586" t="s">
        <v>714</v>
      </c>
      <c r="R586">
        <f t="shared" si="124"/>
        <v>25</v>
      </c>
      <c r="S586" t="s">
        <v>730</v>
      </c>
      <c r="T586" t="s">
        <v>1140</v>
      </c>
      <c r="U586" s="4">
        <v>1437.39</v>
      </c>
      <c r="V586" s="4">
        <f>Table1[[#This Row],[UnitCost]]*(1+WhatIf!$B$3)</f>
        <v>1509.2595000000001</v>
      </c>
      <c r="W586" s="4">
        <f t="shared" si="125"/>
        <v>25873.02</v>
      </c>
      <c r="X586" s="4">
        <f>Table1[[#This Row],[ScenarioRev]]-Table1[[#This Row],[ScenarioUnitCost]]</f>
        <v>22185.860256</v>
      </c>
      <c r="Y586" s="4">
        <v>1388.31</v>
      </c>
      <c r="Z586" s="4">
        <f t="shared" si="126"/>
        <v>21541.017959999997</v>
      </c>
      <c r="AA586" s="4">
        <f>Table1[[#This Row],[ScenarioQuanity]]*Table1[[#This Row],[UnitPrice]]*(1-Table1[[#This Row],[ScenarioDiscPct]])</f>
        <v>23695.119756</v>
      </c>
      <c r="AB586" s="4">
        <f t="shared" si="127"/>
        <v>-4332.002040000003</v>
      </c>
      <c r="AC586" s="4">
        <f>Table1[[#This Row],[ScenarioRev]] - Table1[[#This Row],[ScenarioCostOfGoods]]</f>
        <v>1509.2595000000001</v>
      </c>
      <c r="AD586" s="6">
        <v>0.13800000000000001</v>
      </c>
      <c r="AE586" s="6">
        <f>MIN(Table1[[#This Row],[DiscountPct]], WhatIf!$B$2)</f>
        <v>0.13800000000000001</v>
      </c>
      <c r="AF586" s="6">
        <f>IF(Table1[[#This Row],[DiscountPct]]&gt;0.2, 1, 0)</f>
        <v>0</v>
      </c>
      <c r="AG586" s="6" t="str">
        <f t="shared" si="128"/>
        <v>High</v>
      </c>
      <c r="AH586" s="6">
        <f t="shared" si="129"/>
        <v>-0.20110479681341872</v>
      </c>
      <c r="AI586" s="5">
        <v>18</v>
      </c>
      <c r="AJ586" s="6">
        <f>Table1[[#This Row],[Quantity]]*(1+WhatIf!$B$4)</f>
        <v>19.8</v>
      </c>
    </row>
    <row r="587" spans="1:36" x14ac:dyDescent="0.3">
      <c r="A587" t="s">
        <v>370</v>
      </c>
      <c r="B587" s="3">
        <v>45883</v>
      </c>
      <c r="C587" s="3">
        <v>45911</v>
      </c>
      <c r="D587" s="3">
        <f t="shared" si="118"/>
        <v>45911</v>
      </c>
      <c r="E587" s="4">
        <f t="shared" si="117"/>
        <v>28</v>
      </c>
      <c r="F587" s="4">
        <f t="shared" si="119"/>
        <v>28</v>
      </c>
      <c r="G587" s="4">
        <f>IF(Table1[[#This Row],[CorrectedLeadTimeDays]]&lt;=7, 1, 0)</f>
        <v>0</v>
      </c>
      <c r="H587" s="4" t="str">
        <f t="shared" si="120"/>
        <v>August</v>
      </c>
      <c r="I587" s="4" t="str">
        <f t="shared" si="121"/>
        <v>Q3-2025</v>
      </c>
      <c r="J587" s="4" t="str">
        <f t="shared" si="122"/>
        <v>2023-01</v>
      </c>
      <c r="K587" s="3">
        <f t="shared" si="123"/>
        <v>44955</v>
      </c>
      <c r="L587" t="s">
        <v>648</v>
      </c>
      <c r="M587" t="s">
        <v>655</v>
      </c>
      <c r="N587" t="s">
        <v>670</v>
      </c>
      <c r="O587" t="s">
        <v>703</v>
      </c>
      <c r="P587" t="s">
        <v>711</v>
      </c>
      <c r="Q587" t="s">
        <v>721</v>
      </c>
      <c r="R587">
        <f t="shared" si="124"/>
        <v>30</v>
      </c>
      <c r="S587" t="s">
        <v>728</v>
      </c>
      <c r="T587" t="s">
        <v>1090</v>
      </c>
      <c r="U587" s="4">
        <v>1203.02</v>
      </c>
      <c r="V587" s="4">
        <f>Table1[[#This Row],[UnitCost]]*(1+WhatIf!$B$3)</f>
        <v>1263.171</v>
      </c>
      <c r="W587" s="4">
        <f t="shared" si="125"/>
        <v>21654.36</v>
      </c>
      <c r="X587" s="4">
        <f>Table1[[#This Row],[ScenarioRev]]-Table1[[#This Row],[ScenarioUnitCost]]</f>
        <v>47035.562999999995</v>
      </c>
      <c r="Y587" s="4">
        <v>2439.33</v>
      </c>
      <c r="Z587" s="4">
        <f t="shared" si="126"/>
        <v>43907.94</v>
      </c>
      <c r="AA587" s="4">
        <f>Table1[[#This Row],[ScenarioQuanity]]*Table1[[#This Row],[UnitPrice]]*(1-Table1[[#This Row],[ScenarioDiscPct]])</f>
        <v>48298.733999999997</v>
      </c>
      <c r="AB587" s="4">
        <f t="shared" si="127"/>
        <v>22253.58</v>
      </c>
      <c r="AC587" s="4">
        <f>Table1[[#This Row],[ScenarioRev]] - Table1[[#This Row],[ScenarioCostOfGoods]]</f>
        <v>1263.1710000000021</v>
      </c>
      <c r="AD587" s="6">
        <v>0</v>
      </c>
      <c r="AE587" s="6">
        <f>MIN(Table1[[#This Row],[DiscountPct]], WhatIf!$B$2)</f>
        <v>0</v>
      </c>
      <c r="AF587" s="6">
        <f>IF(Table1[[#This Row],[DiscountPct]]&gt;0.2, 1, 0)</f>
        <v>0</v>
      </c>
      <c r="AG587" s="6" t="str">
        <f t="shared" si="128"/>
        <v>High</v>
      </c>
      <c r="AH587" s="6">
        <f t="shared" si="129"/>
        <v>0.50682359500354612</v>
      </c>
      <c r="AI587" s="5">
        <v>18</v>
      </c>
      <c r="AJ587" s="6">
        <f>Table1[[#This Row],[Quantity]]*(1+WhatIf!$B$4)</f>
        <v>19.8</v>
      </c>
    </row>
    <row r="588" spans="1:36" x14ac:dyDescent="0.3">
      <c r="A588" t="s">
        <v>463</v>
      </c>
      <c r="B588" s="3">
        <v>45454</v>
      </c>
      <c r="C588" s="3">
        <v>45482</v>
      </c>
      <c r="D588" s="3">
        <f t="shared" si="118"/>
        <v>45482</v>
      </c>
      <c r="E588" s="4">
        <f t="shared" si="117"/>
        <v>28</v>
      </c>
      <c r="F588" s="4">
        <f t="shared" si="119"/>
        <v>28</v>
      </c>
      <c r="G588" s="4">
        <f>IF(Table1[[#This Row],[CorrectedLeadTimeDays]]&lt;=7, 1, 0)</f>
        <v>0</v>
      </c>
      <c r="H588" s="4" t="str">
        <f t="shared" si="120"/>
        <v>June</v>
      </c>
      <c r="I588" s="4" t="str">
        <f t="shared" si="121"/>
        <v>Q2-2024</v>
      </c>
      <c r="J588" s="4" t="str">
        <f t="shared" si="122"/>
        <v>2023-01</v>
      </c>
      <c r="K588" s="3">
        <f t="shared" si="123"/>
        <v>44941</v>
      </c>
      <c r="L588" t="s">
        <v>646</v>
      </c>
      <c r="M588" t="s">
        <v>651</v>
      </c>
      <c r="N588" t="s">
        <v>663</v>
      </c>
      <c r="O588" t="s">
        <v>701</v>
      </c>
      <c r="P588" t="s">
        <v>709</v>
      </c>
      <c r="Q588" t="s">
        <v>714</v>
      </c>
      <c r="R588">
        <f t="shared" si="124"/>
        <v>16</v>
      </c>
      <c r="S588" t="s">
        <v>730</v>
      </c>
      <c r="T588" t="s">
        <v>1182</v>
      </c>
      <c r="U588" s="4">
        <v>895.54</v>
      </c>
      <c r="V588" s="4">
        <f>Table1[[#This Row],[UnitCost]]*(1+WhatIf!$B$3)</f>
        <v>940.31700000000001</v>
      </c>
      <c r="W588" s="4">
        <f t="shared" si="125"/>
        <v>13433.099999999999</v>
      </c>
      <c r="X588" s="4">
        <f>Table1[[#This Row],[ScenarioRev]]-Table1[[#This Row],[ScenarioUnitCost]]</f>
        <v>12853.683000000001</v>
      </c>
      <c r="Y588" s="4">
        <v>1045</v>
      </c>
      <c r="Z588" s="4">
        <f t="shared" si="126"/>
        <v>12289.2</v>
      </c>
      <c r="AA588" s="4">
        <f>Table1[[#This Row],[ScenarioQuanity]]*Table1[[#This Row],[UnitPrice]]*(1-Table1[[#This Row],[ScenarioDiscPct]])</f>
        <v>13794</v>
      </c>
      <c r="AB588" s="4">
        <f t="shared" si="127"/>
        <v>-1143.8999999999978</v>
      </c>
      <c r="AC588" s="4">
        <f>Table1[[#This Row],[ScenarioRev]] - Table1[[#This Row],[ScenarioCostOfGoods]]</f>
        <v>940.3169999999991</v>
      </c>
      <c r="AD588" s="6">
        <v>0.216</v>
      </c>
      <c r="AE588" s="6">
        <f>MIN(Table1[[#This Row],[DiscountPct]], WhatIf!$B$2)</f>
        <v>0.2</v>
      </c>
      <c r="AF588" s="6">
        <f>IF(Table1[[#This Row],[DiscountPct]]&gt;0.2, 1, 0)</f>
        <v>1</v>
      </c>
      <c r="AG588" s="6" t="str">
        <f t="shared" si="128"/>
        <v>High</v>
      </c>
      <c r="AH588" s="6">
        <f t="shared" si="129"/>
        <v>-9.3081730299775234E-2</v>
      </c>
      <c r="AI588" s="5">
        <v>15</v>
      </c>
      <c r="AJ588" s="6">
        <f>Table1[[#This Row],[Quantity]]*(1+WhatIf!$B$4)</f>
        <v>16.5</v>
      </c>
    </row>
    <row r="589" spans="1:36" x14ac:dyDescent="0.3">
      <c r="A589" t="s">
        <v>468</v>
      </c>
      <c r="B589" s="3">
        <v>45070</v>
      </c>
      <c r="C589" s="3">
        <v>45098</v>
      </c>
      <c r="D589" s="3">
        <f t="shared" si="118"/>
        <v>45098</v>
      </c>
      <c r="E589" s="4">
        <f t="shared" si="117"/>
        <v>28</v>
      </c>
      <c r="F589" s="4">
        <f t="shared" si="119"/>
        <v>28</v>
      </c>
      <c r="G589" s="4">
        <f>IF(Table1[[#This Row],[CorrectedLeadTimeDays]]&lt;=7, 1, 0)</f>
        <v>0</v>
      </c>
      <c r="H589" s="4" t="str">
        <f t="shared" si="120"/>
        <v>May</v>
      </c>
      <c r="I589" s="4" t="str">
        <f t="shared" si="121"/>
        <v>Q2-2023</v>
      </c>
      <c r="J589" s="4" t="str">
        <f t="shared" si="122"/>
        <v>2023-01</v>
      </c>
      <c r="K589" s="3">
        <f t="shared" si="123"/>
        <v>44939</v>
      </c>
      <c r="L589" t="s">
        <v>648</v>
      </c>
      <c r="M589" t="s">
        <v>660</v>
      </c>
      <c r="N589" t="s">
        <v>697</v>
      </c>
      <c r="O589" t="s">
        <v>705</v>
      </c>
      <c r="P589" t="s">
        <v>709</v>
      </c>
      <c r="Q589" t="s">
        <v>715</v>
      </c>
      <c r="R589">
        <f t="shared" si="124"/>
        <v>4</v>
      </c>
      <c r="S589" t="s">
        <v>732</v>
      </c>
      <c r="T589" t="s">
        <v>1187</v>
      </c>
      <c r="U589" s="4">
        <v>813.97</v>
      </c>
      <c r="V589" s="4">
        <f>Table1[[#This Row],[UnitCost]]*(1+WhatIf!$B$3)</f>
        <v>854.66850000000011</v>
      </c>
      <c r="W589" s="4">
        <f t="shared" si="125"/>
        <v>12209.550000000001</v>
      </c>
      <c r="X589" s="4">
        <f>Table1[[#This Row],[ScenarioRev]]-Table1[[#This Row],[ScenarioUnitCost]]</f>
        <v>24590.969685</v>
      </c>
      <c r="Y589" s="4">
        <v>1568.83</v>
      </c>
      <c r="Z589" s="4">
        <f t="shared" si="126"/>
        <v>23132.398349999996</v>
      </c>
      <c r="AA589" s="4">
        <f>Table1[[#This Row],[ScenarioQuanity]]*Table1[[#This Row],[UnitPrice]]*(1-Table1[[#This Row],[ScenarioDiscPct]])</f>
        <v>25445.638185</v>
      </c>
      <c r="AB589" s="4">
        <f t="shared" si="127"/>
        <v>10922.848349999995</v>
      </c>
      <c r="AC589" s="4">
        <f>Table1[[#This Row],[ScenarioRev]] - Table1[[#This Row],[ScenarioCostOfGoods]]</f>
        <v>854.66849999999977</v>
      </c>
      <c r="AD589" s="6">
        <v>1.7000000000000001E-2</v>
      </c>
      <c r="AE589" s="6">
        <f>MIN(Table1[[#This Row],[DiscountPct]], WhatIf!$B$2)</f>
        <v>1.7000000000000001E-2</v>
      </c>
      <c r="AF589" s="6">
        <f>IF(Table1[[#This Row],[DiscountPct]]&gt;0.2, 1, 0)</f>
        <v>0</v>
      </c>
      <c r="AG589" s="6" t="str">
        <f t="shared" si="128"/>
        <v>High</v>
      </c>
      <c r="AH589" s="6">
        <f t="shared" si="129"/>
        <v>0.4721883215364911</v>
      </c>
      <c r="AI589" s="5">
        <v>15</v>
      </c>
      <c r="AJ589" s="6">
        <f>Table1[[#This Row],[Quantity]]*(1+WhatIf!$B$4)</f>
        <v>16.5</v>
      </c>
    </row>
    <row r="590" spans="1:36" x14ac:dyDescent="0.3">
      <c r="A590" t="s">
        <v>91</v>
      </c>
      <c r="B590" s="3">
        <v>45532</v>
      </c>
      <c r="C590" s="3">
        <v>45560</v>
      </c>
      <c r="D590" s="3">
        <f t="shared" si="118"/>
        <v>45560</v>
      </c>
      <c r="E590" s="4">
        <f t="shared" si="117"/>
        <v>28</v>
      </c>
      <c r="F590" s="4">
        <f t="shared" si="119"/>
        <v>28</v>
      </c>
      <c r="G590" s="4">
        <f>IF(Table1[[#This Row],[CorrectedLeadTimeDays]]&lt;=7, 1, 0)</f>
        <v>0</v>
      </c>
      <c r="H590" s="4" t="str">
        <f t="shared" si="120"/>
        <v>August</v>
      </c>
      <c r="I590" s="4" t="str">
        <f t="shared" si="121"/>
        <v>Q3-2024</v>
      </c>
      <c r="J590" s="4" t="str">
        <f t="shared" si="122"/>
        <v>2023-01</v>
      </c>
      <c r="K590" s="3">
        <f t="shared" si="123"/>
        <v>44955</v>
      </c>
      <c r="L590" t="s">
        <v>648</v>
      </c>
      <c r="M590" t="s">
        <v>655</v>
      </c>
      <c r="N590" t="s">
        <v>692</v>
      </c>
      <c r="O590" t="s">
        <v>703</v>
      </c>
      <c r="P590" t="s">
        <v>708</v>
      </c>
      <c r="R590">
        <f t="shared" si="124"/>
        <v>18</v>
      </c>
      <c r="S590" t="s">
        <v>733</v>
      </c>
      <c r="T590" t="s">
        <v>810</v>
      </c>
      <c r="U590" s="4">
        <v>1394.65</v>
      </c>
      <c r="V590" s="4">
        <f>Table1[[#This Row],[UnitCost]]*(1+WhatIf!$B$3)</f>
        <v>1464.3825000000002</v>
      </c>
      <c r="W590" s="4">
        <f t="shared" si="125"/>
        <v>18130.45</v>
      </c>
      <c r="X590" s="4">
        <f>Table1[[#This Row],[ScenarioRev]]-Table1[[#This Row],[ScenarioUnitCost]]</f>
        <v>37471.523079999999</v>
      </c>
      <c r="Y590" s="4">
        <v>3144.1</v>
      </c>
      <c r="Z590" s="4">
        <f t="shared" si="126"/>
        <v>35396.277799999996</v>
      </c>
      <c r="AA590" s="4">
        <f>Table1[[#This Row],[ScenarioQuanity]]*Table1[[#This Row],[UnitPrice]]*(1-Table1[[#This Row],[ScenarioDiscPct]])</f>
        <v>38935.905579999999</v>
      </c>
      <c r="AB590" s="4">
        <f t="shared" si="127"/>
        <v>17265.827799999995</v>
      </c>
      <c r="AC590" s="4">
        <f>Table1[[#This Row],[ScenarioRev]] - Table1[[#This Row],[ScenarioCostOfGoods]]</f>
        <v>1464.3824999999997</v>
      </c>
      <c r="AD590" s="6">
        <v>0.13400000000000001</v>
      </c>
      <c r="AE590" s="6">
        <f>MIN(Table1[[#This Row],[DiscountPct]], WhatIf!$B$2)</f>
        <v>0.13400000000000001</v>
      </c>
      <c r="AF590" s="6">
        <f>IF(Table1[[#This Row],[DiscountPct]]&gt;0.2, 1, 0)</f>
        <v>0</v>
      </c>
      <c r="AG590" s="6" t="str">
        <f t="shared" si="128"/>
        <v>High</v>
      </c>
      <c r="AH590" s="6">
        <f t="shared" si="129"/>
        <v>0.4877865378263021</v>
      </c>
      <c r="AI590" s="5">
        <v>13</v>
      </c>
      <c r="AJ590" s="6">
        <f>Table1[[#This Row],[Quantity]]*(1+WhatIf!$B$4)</f>
        <v>14.3</v>
      </c>
    </row>
    <row r="591" spans="1:36" x14ac:dyDescent="0.3">
      <c r="A591" t="s">
        <v>77</v>
      </c>
      <c r="B591" s="3">
        <v>45774</v>
      </c>
      <c r="C591" s="3">
        <v>45802</v>
      </c>
      <c r="D591" s="3">
        <f t="shared" si="118"/>
        <v>45802</v>
      </c>
      <c r="E591" s="4">
        <f t="shared" si="117"/>
        <v>28</v>
      </c>
      <c r="F591" s="4">
        <f t="shared" si="119"/>
        <v>28</v>
      </c>
      <c r="G591" s="4">
        <f>IF(Table1[[#This Row],[CorrectedLeadTimeDays]]&lt;=7, 1, 0)</f>
        <v>0</v>
      </c>
      <c r="H591" s="4" t="str">
        <f t="shared" si="120"/>
        <v>April</v>
      </c>
      <c r="I591" s="4" t="str">
        <f t="shared" si="121"/>
        <v>Q2-2025</v>
      </c>
      <c r="J591" s="4" t="str">
        <f t="shared" si="122"/>
        <v>2023-01</v>
      </c>
      <c r="K591" s="3">
        <f t="shared" si="123"/>
        <v>44936</v>
      </c>
      <c r="L591" t="s">
        <v>649</v>
      </c>
      <c r="M591" t="s">
        <v>657</v>
      </c>
      <c r="N591" t="s">
        <v>690</v>
      </c>
      <c r="O591" t="s">
        <v>705</v>
      </c>
      <c r="P591" t="s">
        <v>709</v>
      </c>
      <c r="Q591" t="s">
        <v>714</v>
      </c>
      <c r="R591">
        <f t="shared" si="124"/>
        <v>27</v>
      </c>
      <c r="S591" t="s">
        <v>730</v>
      </c>
      <c r="T591" t="s">
        <v>796</v>
      </c>
      <c r="U591" s="4">
        <v>603.45000000000005</v>
      </c>
      <c r="V591" s="4">
        <f>Table1[[#This Row],[UnitCost]]*(1+WhatIf!$B$3)</f>
        <v>633.62250000000006</v>
      </c>
      <c r="W591" s="4">
        <f t="shared" si="125"/>
        <v>6637.9500000000007</v>
      </c>
      <c r="X591" s="4">
        <f>Table1[[#This Row],[ScenarioRev]]-Table1[[#This Row],[ScenarioUnitCost]]</f>
        <v>11409.071900000001</v>
      </c>
      <c r="Y591" s="4">
        <v>1244.08</v>
      </c>
      <c r="Z591" s="4">
        <f t="shared" si="126"/>
        <v>10947.904</v>
      </c>
      <c r="AA591" s="4">
        <f>Table1[[#This Row],[ScenarioQuanity]]*Table1[[#This Row],[UnitPrice]]*(1-Table1[[#This Row],[ScenarioDiscPct]])</f>
        <v>12042.6944</v>
      </c>
      <c r="AB591" s="4">
        <f t="shared" si="127"/>
        <v>4309.9539999999997</v>
      </c>
      <c r="AC591" s="4">
        <f>Table1[[#This Row],[ScenarioRev]] - Table1[[#This Row],[ScenarioCostOfGoods]]</f>
        <v>633.62249999999949</v>
      </c>
      <c r="AD591" s="6">
        <v>0.2</v>
      </c>
      <c r="AE591" s="6">
        <f>MIN(Table1[[#This Row],[DiscountPct]], WhatIf!$B$2)</f>
        <v>0.2</v>
      </c>
      <c r="AF591" s="6">
        <f>IF(Table1[[#This Row],[DiscountPct]]&gt;0.2, 1, 0)</f>
        <v>0</v>
      </c>
      <c r="AG591" s="6" t="str">
        <f t="shared" si="128"/>
        <v>High</v>
      </c>
      <c r="AH591" s="6">
        <f t="shared" si="129"/>
        <v>0.39367846119220623</v>
      </c>
      <c r="AI591" s="5">
        <v>11</v>
      </c>
      <c r="AJ591" s="6">
        <f>Table1[[#This Row],[Quantity]]*(1+WhatIf!$B$4)</f>
        <v>12.100000000000001</v>
      </c>
    </row>
    <row r="592" spans="1:36" x14ac:dyDescent="0.3">
      <c r="A592" t="s">
        <v>413</v>
      </c>
      <c r="B592" s="3">
        <v>45541</v>
      </c>
      <c r="C592" s="3">
        <v>45569</v>
      </c>
      <c r="D592" s="3">
        <f t="shared" si="118"/>
        <v>45569</v>
      </c>
      <c r="E592" s="4">
        <f t="shared" si="117"/>
        <v>28</v>
      </c>
      <c r="F592" s="4">
        <f t="shared" si="119"/>
        <v>28</v>
      </c>
      <c r="G592" s="4">
        <f>IF(Table1[[#This Row],[CorrectedLeadTimeDays]]&lt;=7, 1, 0)</f>
        <v>0</v>
      </c>
      <c r="H592" s="4" t="str">
        <f t="shared" si="120"/>
        <v>September</v>
      </c>
      <c r="I592" s="4" t="str">
        <f t="shared" si="121"/>
        <v>Q3-2024</v>
      </c>
      <c r="J592" s="4" t="str">
        <f t="shared" si="122"/>
        <v>2023-01</v>
      </c>
      <c r="K592" s="3">
        <f t="shared" si="123"/>
        <v>44933</v>
      </c>
      <c r="L592" t="s">
        <v>646</v>
      </c>
      <c r="M592" t="s">
        <v>661</v>
      </c>
      <c r="N592" t="s">
        <v>695</v>
      </c>
      <c r="O592" t="s">
        <v>701</v>
      </c>
      <c r="P592" t="s">
        <v>709</v>
      </c>
      <c r="Q592" t="s">
        <v>726</v>
      </c>
      <c r="R592">
        <f t="shared" si="124"/>
        <v>19</v>
      </c>
      <c r="S592" t="s">
        <v>732</v>
      </c>
      <c r="T592" t="s">
        <v>1132</v>
      </c>
      <c r="U592" s="4">
        <v>1174.17</v>
      </c>
      <c r="V592" s="4">
        <f>Table1[[#This Row],[UnitCost]]*(1+WhatIf!$B$3)</f>
        <v>1232.8785</v>
      </c>
      <c r="W592" s="4">
        <f t="shared" si="125"/>
        <v>10567.53</v>
      </c>
      <c r="X592" s="4">
        <f>Table1[[#This Row],[ScenarioRev]]-Table1[[#This Row],[ScenarioUnitCost]]</f>
        <v>13036.323941999999</v>
      </c>
      <c r="Y592" s="4">
        <v>1641.61</v>
      </c>
      <c r="Z592" s="4">
        <f t="shared" si="126"/>
        <v>12972.00222</v>
      </c>
      <c r="AA592" s="4">
        <f>Table1[[#This Row],[ScenarioQuanity]]*Table1[[#This Row],[UnitPrice]]*(1-Table1[[#This Row],[ScenarioDiscPct]])</f>
        <v>14269.202442</v>
      </c>
      <c r="AB592" s="4">
        <f t="shared" si="127"/>
        <v>2404.4722199999997</v>
      </c>
      <c r="AC592" s="4">
        <f>Table1[[#This Row],[ScenarioRev]] - Table1[[#This Row],[ScenarioCostOfGoods]]</f>
        <v>1232.8785000000007</v>
      </c>
      <c r="AD592" s="6">
        <v>0.122</v>
      </c>
      <c r="AE592" s="6">
        <f>MIN(Table1[[#This Row],[DiscountPct]], WhatIf!$B$2)</f>
        <v>0.122</v>
      </c>
      <c r="AF592" s="6">
        <f>IF(Table1[[#This Row],[DiscountPct]]&gt;0.2, 1, 0)</f>
        <v>0</v>
      </c>
      <c r="AG592" s="6" t="str">
        <f t="shared" si="128"/>
        <v>High</v>
      </c>
      <c r="AH592" s="6">
        <f t="shared" si="129"/>
        <v>0.18535860380079394</v>
      </c>
      <c r="AI592" s="5">
        <v>9</v>
      </c>
      <c r="AJ592" s="6">
        <f>Table1[[#This Row],[Quantity]]*(1+WhatIf!$B$4)</f>
        <v>9.9</v>
      </c>
    </row>
    <row r="593" spans="1:36" x14ac:dyDescent="0.3">
      <c r="A593" t="s">
        <v>439</v>
      </c>
      <c r="B593" s="3">
        <v>45349</v>
      </c>
      <c r="C593" s="3">
        <v>45377</v>
      </c>
      <c r="D593" s="3">
        <f t="shared" si="118"/>
        <v>45377</v>
      </c>
      <c r="E593" s="4">
        <f t="shared" si="117"/>
        <v>28</v>
      </c>
      <c r="F593" s="4">
        <f t="shared" si="119"/>
        <v>28</v>
      </c>
      <c r="G593" s="4">
        <f>IF(Table1[[#This Row],[CorrectedLeadTimeDays]]&lt;=7, 1, 0)</f>
        <v>0</v>
      </c>
      <c r="H593" s="4" t="str">
        <f t="shared" si="120"/>
        <v>February</v>
      </c>
      <c r="I593" s="4" t="str">
        <f t="shared" si="121"/>
        <v>Q1-2024</v>
      </c>
      <c r="J593" s="4" t="str">
        <f t="shared" si="122"/>
        <v>2023-01</v>
      </c>
      <c r="K593" s="3">
        <f t="shared" si="123"/>
        <v>44955</v>
      </c>
      <c r="L593" t="s">
        <v>647</v>
      </c>
      <c r="M593" t="s">
        <v>654</v>
      </c>
      <c r="N593" t="s">
        <v>691</v>
      </c>
      <c r="O593" t="s">
        <v>702</v>
      </c>
      <c r="P593" t="s">
        <v>709</v>
      </c>
      <c r="Q593" t="s">
        <v>715</v>
      </c>
      <c r="R593">
        <f t="shared" si="124"/>
        <v>12</v>
      </c>
      <c r="S593" t="s">
        <v>731</v>
      </c>
      <c r="T593" t="s">
        <v>1158</v>
      </c>
      <c r="U593" s="4">
        <v>1035.19</v>
      </c>
      <c r="V593" s="4">
        <f>Table1[[#This Row],[UnitCost]]*(1+WhatIf!$B$3)</f>
        <v>1086.9495000000002</v>
      </c>
      <c r="W593" s="4">
        <f t="shared" si="125"/>
        <v>8281.52</v>
      </c>
      <c r="X593" s="4">
        <f>Table1[[#This Row],[ScenarioRev]]-Table1[[#This Row],[ScenarioUnitCost]]</f>
        <v>15816.732019999998</v>
      </c>
      <c r="Y593" s="4">
        <v>2322.6999999999998</v>
      </c>
      <c r="Z593" s="4">
        <f t="shared" si="126"/>
        <v>15366.983199999999</v>
      </c>
      <c r="AA593" s="4">
        <f>Table1[[#This Row],[ScenarioQuanity]]*Table1[[#This Row],[UnitPrice]]*(1-Table1[[#This Row],[ScenarioDiscPct]])</f>
        <v>16903.681519999998</v>
      </c>
      <c r="AB593" s="4">
        <f t="shared" si="127"/>
        <v>7085.4631999999983</v>
      </c>
      <c r="AC593" s="4">
        <f>Table1[[#This Row],[ScenarioRev]] - Table1[[#This Row],[ScenarioCostOfGoods]]</f>
        <v>1086.9495000000006</v>
      </c>
      <c r="AD593" s="6">
        <v>0.17299999999999999</v>
      </c>
      <c r="AE593" s="6">
        <f>MIN(Table1[[#This Row],[DiscountPct]], WhatIf!$B$2)</f>
        <v>0.17299999999999999</v>
      </c>
      <c r="AF593" s="6">
        <f>IF(Table1[[#This Row],[DiscountPct]]&gt;0.2, 1, 0)</f>
        <v>0</v>
      </c>
      <c r="AG593" s="6" t="str">
        <f t="shared" si="128"/>
        <v>High</v>
      </c>
      <c r="AH593" s="6">
        <f t="shared" si="129"/>
        <v>0.46108355217047409</v>
      </c>
      <c r="AI593" s="5">
        <v>8</v>
      </c>
      <c r="AJ593" s="6">
        <f>Table1[[#This Row],[Quantity]]*(1+WhatIf!$B$4)</f>
        <v>8.8000000000000007</v>
      </c>
    </row>
    <row r="594" spans="1:36" x14ac:dyDescent="0.3">
      <c r="A594" t="s">
        <v>405</v>
      </c>
      <c r="B594" s="3">
        <v>45514</v>
      </c>
      <c r="C594" s="3">
        <v>45542</v>
      </c>
      <c r="D594" s="3">
        <f t="shared" si="118"/>
        <v>45542</v>
      </c>
      <c r="E594" s="4">
        <f t="shared" si="117"/>
        <v>28</v>
      </c>
      <c r="F594" s="4">
        <f t="shared" si="119"/>
        <v>28</v>
      </c>
      <c r="G594" s="4">
        <f>IF(Table1[[#This Row],[CorrectedLeadTimeDays]]&lt;=7, 1, 0)</f>
        <v>0</v>
      </c>
      <c r="H594" s="4" t="str">
        <f t="shared" si="120"/>
        <v>August</v>
      </c>
      <c r="I594" s="4" t="str">
        <f t="shared" si="121"/>
        <v>Q3-2024</v>
      </c>
      <c r="J594" s="4" t="str">
        <f t="shared" si="122"/>
        <v>2023-01</v>
      </c>
      <c r="K594" s="3">
        <f t="shared" si="123"/>
        <v>44936</v>
      </c>
      <c r="L594" t="s">
        <v>649</v>
      </c>
      <c r="M594" t="s">
        <v>657</v>
      </c>
      <c r="N594" t="s">
        <v>673</v>
      </c>
      <c r="O594" t="s">
        <v>703</v>
      </c>
      <c r="P594" t="s">
        <v>711</v>
      </c>
      <c r="Q594" t="s">
        <v>721</v>
      </c>
      <c r="R594">
        <f t="shared" si="124"/>
        <v>19</v>
      </c>
      <c r="S594" t="s">
        <v>728</v>
      </c>
      <c r="T594" t="s">
        <v>1124</v>
      </c>
      <c r="U594" s="4">
        <v>229.96</v>
      </c>
      <c r="V594" s="4">
        <f>Table1[[#This Row],[UnitCost]]*(1+WhatIf!$B$3)</f>
        <v>241.45800000000003</v>
      </c>
      <c r="W594" s="4">
        <f t="shared" si="125"/>
        <v>1149.8</v>
      </c>
      <c r="X594" s="4">
        <f>Table1[[#This Row],[ScenarioRev]]-Table1[[#This Row],[ScenarioUnitCost]]</f>
        <v>2536.1118499999998</v>
      </c>
      <c r="Y594" s="4">
        <v>564.26</v>
      </c>
      <c r="Z594" s="4">
        <f t="shared" si="126"/>
        <v>2525.0635000000002</v>
      </c>
      <c r="AA594" s="4">
        <f>Table1[[#This Row],[ScenarioQuanity]]*Table1[[#This Row],[UnitPrice]]*(1-Table1[[#This Row],[ScenarioDiscPct]])</f>
        <v>2777.5698499999999</v>
      </c>
      <c r="AB594" s="4">
        <f t="shared" si="127"/>
        <v>1375.2635000000002</v>
      </c>
      <c r="AC594" s="4">
        <f>Table1[[#This Row],[ScenarioRev]] - Table1[[#This Row],[ScenarioCostOfGoods]]</f>
        <v>241.45800000000008</v>
      </c>
      <c r="AD594" s="6">
        <v>0.105</v>
      </c>
      <c r="AE594" s="6">
        <f>MIN(Table1[[#This Row],[DiscountPct]], WhatIf!$B$2)</f>
        <v>0.105</v>
      </c>
      <c r="AF594" s="6">
        <f>IF(Table1[[#This Row],[DiscountPct]]&gt;0.2, 1, 0)</f>
        <v>0</v>
      </c>
      <c r="AG594" s="6" t="str">
        <f t="shared" si="128"/>
        <v>Low</v>
      </c>
      <c r="AH594" s="6">
        <f t="shared" si="129"/>
        <v>0.54464511486542821</v>
      </c>
      <c r="AI594" s="5">
        <v>5</v>
      </c>
      <c r="AJ594" s="6">
        <f>Table1[[#This Row],[Quantity]]*(1+WhatIf!$B$4)</f>
        <v>5.5</v>
      </c>
    </row>
    <row r="595" spans="1:36" x14ac:dyDescent="0.3">
      <c r="A595" t="s">
        <v>504</v>
      </c>
      <c r="B595" s="3">
        <v>45403</v>
      </c>
      <c r="C595" s="3">
        <v>45431</v>
      </c>
      <c r="D595" s="3">
        <f t="shared" si="118"/>
        <v>45431</v>
      </c>
      <c r="E595" s="4">
        <f t="shared" si="117"/>
        <v>28</v>
      </c>
      <c r="F595" s="4">
        <f t="shared" si="119"/>
        <v>28</v>
      </c>
      <c r="G595" s="4">
        <f>IF(Table1[[#This Row],[CorrectedLeadTimeDays]]&lt;=7, 1, 0)</f>
        <v>0</v>
      </c>
      <c r="H595" s="4" t="str">
        <f t="shared" si="120"/>
        <v>April</v>
      </c>
      <c r="I595" s="4" t="str">
        <f t="shared" si="121"/>
        <v>Q2-2024</v>
      </c>
      <c r="J595" s="4" t="str">
        <f t="shared" si="122"/>
        <v>2023-01</v>
      </c>
      <c r="K595" s="3">
        <f t="shared" si="123"/>
        <v>44941</v>
      </c>
      <c r="L595" t="s">
        <v>646</v>
      </c>
      <c r="M595" t="s">
        <v>651</v>
      </c>
      <c r="N595" t="s">
        <v>665</v>
      </c>
      <c r="O595" t="s">
        <v>701</v>
      </c>
      <c r="P595" t="s">
        <v>710</v>
      </c>
      <c r="Q595" t="s">
        <v>720</v>
      </c>
      <c r="R595">
        <f t="shared" si="124"/>
        <v>15</v>
      </c>
      <c r="S595" t="s">
        <v>733</v>
      </c>
      <c r="T595" t="s">
        <v>1223</v>
      </c>
      <c r="U595" s="4">
        <v>187.22</v>
      </c>
      <c r="V595" s="4">
        <f>Table1[[#This Row],[UnitCost]]*(1+WhatIf!$B$3)</f>
        <v>196.58100000000002</v>
      </c>
      <c r="W595" s="4">
        <f t="shared" si="125"/>
        <v>936.1</v>
      </c>
      <c r="X595" s="4">
        <f>Table1[[#This Row],[ScenarioRev]]-Table1[[#This Row],[ScenarioUnitCost]]</f>
        <v>1505.5039999999999</v>
      </c>
      <c r="Y595" s="4">
        <v>309.47000000000003</v>
      </c>
      <c r="Z595" s="4">
        <f t="shared" si="126"/>
        <v>1547.3500000000001</v>
      </c>
      <c r="AA595" s="4">
        <f>Table1[[#This Row],[ScenarioQuanity]]*Table1[[#This Row],[UnitPrice]]*(1-Table1[[#This Row],[ScenarioDiscPct]])</f>
        <v>1702.085</v>
      </c>
      <c r="AB595" s="4">
        <f t="shared" si="127"/>
        <v>611.25000000000011</v>
      </c>
      <c r="AC595" s="4">
        <f>Table1[[#This Row],[ScenarioRev]] - Table1[[#This Row],[ScenarioCostOfGoods]]</f>
        <v>196.58100000000013</v>
      </c>
      <c r="AD595" s="6">
        <v>0</v>
      </c>
      <c r="AE595" s="6">
        <f>MIN(Table1[[#This Row],[DiscountPct]], WhatIf!$B$2)</f>
        <v>0</v>
      </c>
      <c r="AF595" s="6">
        <f>IF(Table1[[#This Row],[DiscountPct]]&gt;0.2, 1, 0)</f>
        <v>0</v>
      </c>
      <c r="AG595" s="6" t="str">
        <f t="shared" si="128"/>
        <v>Low</v>
      </c>
      <c r="AH595" s="6">
        <f t="shared" si="129"/>
        <v>0.39503021294471197</v>
      </c>
      <c r="AI595" s="5">
        <v>5</v>
      </c>
      <c r="AJ595" s="6">
        <f>Table1[[#This Row],[Quantity]]*(1+WhatIf!$B$4)</f>
        <v>5.5</v>
      </c>
    </row>
    <row r="596" spans="1:36" x14ac:dyDescent="0.3">
      <c r="A596" t="s">
        <v>595</v>
      </c>
      <c r="B596" s="3">
        <v>45080</v>
      </c>
      <c r="C596" s="3">
        <v>45108</v>
      </c>
      <c r="D596" s="3">
        <f t="shared" si="118"/>
        <v>45108</v>
      </c>
      <c r="E596" s="4">
        <f t="shared" si="117"/>
        <v>28</v>
      </c>
      <c r="F596" s="4">
        <f t="shared" si="119"/>
        <v>28</v>
      </c>
      <c r="G596" s="4">
        <f>IF(Table1[[#This Row],[CorrectedLeadTimeDays]]&lt;=7, 1, 0)</f>
        <v>0</v>
      </c>
      <c r="H596" s="4" t="str">
        <f t="shared" si="120"/>
        <v>June</v>
      </c>
      <c r="I596" s="4" t="str">
        <f t="shared" si="121"/>
        <v>Q2-2023</v>
      </c>
      <c r="J596" s="4" t="str">
        <f t="shared" si="122"/>
        <v>2023-01</v>
      </c>
      <c r="K596" s="3">
        <f t="shared" si="123"/>
        <v>44955</v>
      </c>
      <c r="L596" t="s">
        <v>648</v>
      </c>
      <c r="M596" t="s">
        <v>655</v>
      </c>
      <c r="N596" t="s">
        <v>672</v>
      </c>
      <c r="O596" t="s">
        <v>705</v>
      </c>
      <c r="P596" t="s">
        <v>709</v>
      </c>
      <c r="Q596" t="s">
        <v>720</v>
      </c>
      <c r="R596">
        <f t="shared" si="124"/>
        <v>4</v>
      </c>
      <c r="S596" t="s">
        <v>727</v>
      </c>
      <c r="T596" t="s">
        <v>1313</v>
      </c>
      <c r="U596" s="4">
        <v>860.4</v>
      </c>
      <c r="V596" s="4">
        <f>Table1[[#This Row],[UnitCost]]*(1+WhatIf!$B$3)</f>
        <v>903.42</v>
      </c>
      <c r="W596" s="4">
        <f t="shared" si="125"/>
        <v>2581.1999999999998</v>
      </c>
      <c r="X596" s="4">
        <f>Table1[[#This Row],[ScenarioRev]]-Table1[[#This Row],[ScenarioUnitCost]]</f>
        <v>5848.1622000000007</v>
      </c>
      <c r="Y596" s="4">
        <v>2066.6</v>
      </c>
      <c r="Z596" s="4">
        <f t="shared" si="126"/>
        <v>6137.8019999999988</v>
      </c>
      <c r="AA596" s="4">
        <f>Table1[[#This Row],[ScenarioQuanity]]*Table1[[#This Row],[UnitPrice]]*(1-Table1[[#This Row],[ScenarioDiscPct]])</f>
        <v>6751.5822000000007</v>
      </c>
      <c r="AB596" s="4">
        <f t="shared" si="127"/>
        <v>3556.601999999999</v>
      </c>
      <c r="AC596" s="4">
        <f>Table1[[#This Row],[ScenarioRev]] - Table1[[#This Row],[ScenarioCostOfGoods]]</f>
        <v>903.42000000000007</v>
      </c>
      <c r="AD596" s="6">
        <v>0.01</v>
      </c>
      <c r="AE596" s="6">
        <f>MIN(Table1[[#This Row],[DiscountPct]], WhatIf!$B$2)</f>
        <v>0.01</v>
      </c>
      <c r="AF596" s="6">
        <f>IF(Table1[[#This Row],[DiscountPct]]&gt;0.2, 1, 0)</f>
        <v>0</v>
      </c>
      <c r="AG596" s="6" t="str">
        <f t="shared" si="128"/>
        <v>High</v>
      </c>
      <c r="AH596" s="6">
        <f t="shared" si="129"/>
        <v>0.57945857491004105</v>
      </c>
      <c r="AI596" s="5">
        <v>3</v>
      </c>
      <c r="AJ596" s="6">
        <f>Table1[[#This Row],[Quantity]]*(1+WhatIf!$B$4)</f>
        <v>3.3000000000000003</v>
      </c>
    </row>
    <row r="597" spans="1:36" x14ac:dyDescent="0.3">
      <c r="A597" t="s">
        <v>31</v>
      </c>
      <c r="B597" s="3">
        <v>45636</v>
      </c>
      <c r="C597" s="3">
        <v>45665</v>
      </c>
      <c r="D597" s="3">
        <f t="shared" si="118"/>
        <v>45665</v>
      </c>
      <c r="E597" s="4">
        <f t="shared" si="117"/>
        <v>29</v>
      </c>
      <c r="F597" s="4">
        <f t="shared" si="119"/>
        <v>29</v>
      </c>
      <c r="G597" s="4">
        <f>IF(Table1[[#This Row],[CorrectedLeadTimeDays]]&lt;=7, 1, 0)</f>
        <v>0</v>
      </c>
      <c r="H597" s="4" t="str">
        <f t="shared" si="120"/>
        <v>December</v>
      </c>
      <c r="I597" s="4" t="str">
        <f t="shared" si="121"/>
        <v>Q4-2024</v>
      </c>
      <c r="J597" s="4" t="str">
        <f t="shared" si="122"/>
        <v>2023-01</v>
      </c>
      <c r="K597" s="3">
        <f t="shared" si="123"/>
        <v>44936</v>
      </c>
      <c r="L597" t="s">
        <v>649</v>
      </c>
      <c r="M597" t="s">
        <v>657</v>
      </c>
      <c r="N597" t="s">
        <v>673</v>
      </c>
      <c r="O597" t="s">
        <v>705</v>
      </c>
      <c r="P597" t="s">
        <v>707</v>
      </c>
      <c r="Q597" t="s">
        <v>723</v>
      </c>
      <c r="R597">
        <f t="shared" si="124"/>
        <v>23</v>
      </c>
      <c r="S597" t="s">
        <v>728</v>
      </c>
      <c r="T597" t="s">
        <v>750</v>
      </c>
      <c r="U597" s="4">
        <v>891.08</v>
      </c>
      <c r="V597" s="4">
        <f>Table1[[#This Row],[UnitCost]]*(1+WhatIf!$B$3)</f>
        <v>935.63400000000013</v>
      </c>
      <c r="W597" s="4">
        <f t="shared" si="125"/>
        <v>24950.240000000002</v>
      </c>
      <c r="X597" s="4">
        <f>Table1[[#This Row],[ScenarioRev]]-Table1[[#This Row],[ScenarioUnitCost]]</f>
        <v>27607.62228</v>
      </c>
      <c r="Y597" s="4">
        <v>1040.0999999999999</v>
      </c>
      <c r="Z597" s="4">
        <f t="shared" si="126"/>
        <v>25948.414799999995</v>
      </c>
      <c r="AA597" s="4">
        <f>Table1[[#This Row],[ScenarioQuanity]]*Table1[[#This Row],[UnitPrice]]*(1-Table1[[#This Row],[ScenarioDiscPct]])</f>
        <v>28543.256280000001</v>
      </c>
      <c r="AB597" s="4">
        <f t="shared" si="127"/>
        <v>998.17479999999341</v>
      </c>
      <c r="AC597" s="4">
        <f>Table1[[#This Row],[ScenarioRev]] - Table1[[#This Row],[ScenarioCostOfGoods]]</f>
        <v>935.63400000000183</v>
      </c>
      <c r="AD597" s="6">
        <v>0.109</v>
      </c>
      <c r="AE597" s="6">
        <f>MIN(Table1[[#This Row],[DiscountPct]], WhatIf!$B$2)</f>
        <v>0.109</v>
      </c>
      <c r="AF597" s="6">
        <f>IF(Table1[[#This Row],[DiscountPct]]&gt;0.2, 1, 0)</f>
        <v>0</v>
      </c>
      <c r="AG597" s="6" t="str">
        <f t="shared" si="128"/>
        <v>High</v>
      </c>
      <c r="AH597" s="6">
        <f t="shared" si="129"/>
        <v>3.8467660074556598E-2</v>
      </c>
      <c r="AI597" s="5">
        <v>28</v>
      </c>
      <c r="AJ597" s="6">
        <f>Table1[[#This Row],[Quantity]]*(1+WhatIf!$B$4)</f>
        <v>30.800000000000004</v>
      </c>
    </row>
    <row r="598" spans="1:36" x14ac:dyDescent="0.3">
      <c r="A598" t="s">
        <v>213</v>
      </c>
      <c r="B598" s="3">
        <v>45030</v>
      </c>
      <c r="C598" s="3">
        <v>45059</v>
      </c>
      <c r="D598" s="3">
        <f t="shared" si="118"/>
        <v>45059</v>
      </c>
      <c r="E598" s="4">
        <f t="shared" si="117"/>
        <v>29</v>
      </c>
      <c r="F598" s="4">
        <f t="shared" si="119"/>
        <v>29</v>
      </c>
      <c r="G598" s="4">
        <f>IF(Table1[[#This Row],[CorrectedLeadTimeDays]]&lt;=7, 1, 0)</f>
        <v>0</v>
      </c>
      <c r="H598" s="4" t="str">
        <f t="shared" si="120"/>
        <v>April</v>
      </c>
      <c r="I598" s="4" t="str">
        <f t="shared" si="121"/>
        <v>Q2-2023</v>
      </c>
      <c r="J598" s="4" t="str">
        <f t="shared" si="122"/>
        <v>2023-01</v>
      </c>
      <c r="K598" s="3">
        <f t="shared" si="123"/>
        <v>44948</v>
      </c>
      <c r="L598" t="s">
        <v>649</v>
      </c>
      <c r="M598" t="s">
        <v>656</v>
      </c>
      <c r="N598" t="s">
        <v>698</v>
      </c>
      <c r="O598" t="s">
        <v>704</v>
      </c>
      <c r="P598" t="s">
        <v>711</v>
      </c>
      <c r="Q598" t="s">
        <v>713</v>
      </c>
      <c r="R598">
        <f t="shared" si="124"/>
        <v>2</v>
      </c>
      <c r="S598" t="s">
        <v>728</v>
      </c>
      <c r="T598" t="s">
        <v>933</v>
      </c>
      <c r="U598" s="4">
        <v>1320.33</v>
      </c>
      <c r="V598" s="4">
        <f>Table1[[#This Row],[UnitCost]]*(1+WhatIf!$B$3)</f>
        <v>1386.3464999999999</v>
      </c>
      <c r="W598" s="4">
        <f t="shared" si="125"/>
        <v>33008.25</v>
      </c>
      <c r="X598" s="4">
        <f>Table1[[#This Row],[ScenarioRev]]-Table1[[#This Row],[ScenarioUnitCost]]</f>
        <v>60082.185625000006</v>
      </c>
      <c r="Y598" s="4">
        <v>2645.23</v>
      </c>
      <c r="Z598" s="4">
        <f t="shared" si="126"/>
        <v>55880.483749999999</v>
      </c>
      <c r="AA598" s="4">
        <f>Table1[[#This Row],[ScenarioQuanity]]*Table1[[#This Row],[UnitPrice]]*(1-Table1[[#This Row],[ScenarioDiscPct]])</f>
        <v>61468.532125000005</v>
      </c>
      <c r="AB598" s="4">
        <f t="shared" si="127"/>
        <v>22872.233749999999</v>
      </c>
      <c r="AC598" s="4">
        <f>Table1[[#This Row],[ScenarioRev]] - Table1[[#This Row],[ScenarioCostOfGoods]]</f>
        <v>1386.3464999999997</v>
      </c>
      <c r="AD598" s="6">
        <v>0.155</v>
      </c>
      <c r="AE598" s="6">
        <f>MIN(Table1[[#This Row],[DiscountPct]], WhatIf!$B$2)</f>
        <v>0.155</v>
      </c>
      <c r="AF598" s="6">
        <f>IF(Table1[[#This Row],[DiscountPct]]&gt;0.2, 1, 0)</f>
        <v>0</v>
      </c>
      <c r="AG598" s="6" t="str">
        <f t="shared" si="128"/>
        <v>High</v>
      </c>
      <c r="AH598" s="6">
        <f t="shared" si="129"/>
        <v>0.40930629470436536</v>
      </c>
      <c r="AI598" s="5">
        <v>25</v>
      </c>
      <c r="AJ598" s="6">
        <f>Table1[[#This Row],[Quantity]]*(1+WhatIf!$B$4)</f>
        <v>27.500000000000004</v>
      </c>
    </row>
    <row r="599" spans="1:36" x14ac:dyDescent="0.3">
      <c r="A599" t="s">
        <v>108</v>
      </c>
      <c r="B599" s="3">
        <v>45569</v>
      </c>
      <c r="C599" s="3">
        <v>45598</v>
      </c>
      <c r="D599" s="3">
        <f t="shared" si="118"/>
        <v>45598</v>
      </c>
      <c r="E599" s="4">
        <f t="shared" si="117"/>
        <v>29</v>
      </c>
      <c r="F599" s="4">
        <f t="shared" si="119"/>
        <v>29</v>
      </c>
      <c r="G599" s="4">
        <f>IF(Table1[[#This Row],[CorrectedLeadTimeDays]]&lt;=7, 1, 0)</f>
        <v>0</v>
      </c>
      <c r="H599" s="4" t="str">
        <f t="shared" si="120"/>
        <v>October</v>
      </c>
      <c r="I599" s="4" t="str">
        <f t="shared" si="121"/>
        <v>Q4-2024</v>
      </c>
      <c r="J599" s="4" t="str">
        <f t="shared" si="122"/>
        <v>2023-01</v>
      </c>
      <c r="K599" s="3">
        <f t="shared" si="123"/>
        <v>44941</v>
      </c>
      <c r="L599" t="s">
        <v>646</v>
      </c>
      <c r="M599" t="s">
        <v>651</v>
      </c>
      <c r="N599" t="s">
        <v>669</v>
      </c>
      <c r="O599" t="s">
        <v>701</v>
      </c>
      <c r="P599" t="s">
        <v>710</v>
      </c>
      <c r="Q599" t="s">
        <v>721</v>
      </c>
      <c r="R599">
        <f t="shared" si="124"/>
        <v>20</v>
      </c>
      <c r="S599" t="s">
        <v>733</v>
      </c>
      <c r="T599" t="s">
        <v>827</v>
      </c>
      <c r="U599" s="4">
        <v>412.09</v>
      </c>
      <c r="V599" s="4">
        <f>Table1[[#This Row],[UnitCost]]*(1+WhatIf!$B$3)</f>
        <v>432.69450000000001</v>
      </c>
      <c r="W599" s="4">
        <f t="shared" si="125"/>
        <v>9478.07</v>
      </c>
      <c r="X599" s="4">
        <f>Table1[[#This Row],[ScenarioRev]]-Table1[[#This Row],[ScenarioUnitCost]]</f>
        <v>21654.583481999998</v>
      </c>
      <c r="Y599" s="4">
        <v>968.94</v>
      </c>
      <c r="Z599" s="4">
        <f t="shared" si="126"/>
        <v>20079.343620000003</v>
      </c>
      <c r="AA599" s="4">
        <f>Table1[[#This Row],[ScenarioQuanity]]*Table1[[#This Row],[UnitPrice]]*(1-Table1[[#This Row],[ScenarioDiscPct]])</f>
        <v>22087.277982</v>
      </c>
      <c r="AB599" s="4">
        <f t="shared" si="127"/>
        <v>10601.273620000004</v>
      </c>
      <c r="AC599" s="4">
        <f>Table1[[#This Row],[ScenarioRev]] - Table1[[#This Row],[ScenarioCostOfGoods]]</f>
        <v>432.69450000000143</v>
      </c>
      <c r="AD599" s="6">
        <v>9.9000000000000005E-2</v>
      </c>
      <c r="AE599" s="6">
        <f>MIN(Table1[[#This Row],[DiscountPct]], WhatIf!$B$2)</f>
        <v>9.9000000000000005E-2</v>
      </c>
      <c r="AF599" s="6">
        <f>IF(Table1[[#This Row],[DiscountPct]]&gt;0.2, 1, 0)</f>
        <v>0</v>
      </c>
      <c r="AG599" s="6" t="str">
        <f t="shared" si="128"/>
        <v>High</v>
      </c>
      <c r="AH599" s="6">
        <f t="shared" si="129"/>
        <v>0.52796913189137418</v>
      </c>
      <c r="AI599" s="5">
        <v>23</v>
      </c>
      <c r="AJ599" s="6">
        <f>Table1[[#This Row],[Quantity]]*(1+WhatIf!$B$4)</f>
        <v>25.3</v>
      </c>
    </row>
    <row r="600" spans="1:36" x14ac:dyDescent="0.3">
      <c r="A600" t="s">
        <v>567</v>
      </c>
      <c r="B600" s="3">
        <v>45704</v>
      </c>
      <c r="C600" s="3">
        <v>45733</v>
      </c>
      <c r="D600" s="3">
        <f t="shared" si="118"/>
        <v>45733</v>
      </c>
      <c r="E600" s="4">
        <f t="shared" si="117"/>
        <v>29</v>
      </c>
      <c r="F600" s="4">
        <f t="shared" si="119"/>
        <v>29</v>
      </c>
      <c r="G600" s="4">
        <f>IF(Table1[[#This Row],[CorrectedLeadTimeDays]]&lt;=7, 1, 0)</f>
        <v>0</v>
      </c>
      <c r="H600" s="4" t="str">
        <f t="shared" si="120"/>
        <v>February</v>
      </c>
      <c r="I600" s="4" t="str">
        <f t="shared" si="121"/>
        <v>Q1-2025</v>
      </c>
      <c r="J600" s="4" t="str">
        <f t="shared" si="122"/>
        <v>2023-01</v>
      </c>
      <c r="K600" s="3">
        <f t="shared" si="123"/>
        <v>44948</v>
      </c>
      <c r="L600" t="s">
        <v>649</v>
      </c>
      <c r="M600" t="s">
        <v>656</v>
      </c>
      <c r="N600" t="s">
        <v>684</v>
      </c>
      <c r="O600" t="s">
        <v>704</v>
      </c>
      <c r="P600" t="s">
        <v>707</v>
      </c>
      <c r="Q600" t="s">
        <v>716</v>
      </c>
      <c r="R600">
        <f t="shared" si="124"/>
        <v>24</v>
      </c>
      <c r="S600" t="s">
        <v>733</v>
      </c>
      <c r="T600" t="s">
        <v>1285</v>
      </c>
      <c r="U600" s="4">
        <v>730.42</v>
      </c>
      <c r="V600" s="4">
        <f>Table1[[#This Row],[UnitCost]]*(1+WhatIf!$B$3)</f>
        <v>766.94100000000003</v>
      </c>
      <c r="W600" s="4">
        <f t="shared" si="125"/>
        <v>16069.24</v>
      </c>
      <c r="X600" s="4">
        <f>Table1[[#This Row],[ScenarioRev]]-Table1[[#This Row],[ScenarioUnitCost]]</f>
        <v>21412.809120000002</v>
      </c>
      <c r="Y600" s="4">
        <v>956.7</v>
      </c>
      <c r="Z600" s="4">
        <f t="shared" si="126"/>
        <v>20163.409200000002</v>
      </c>
      <c r="AA600" s="4">
        <f>Table1[[#This Row],[ScenarioQuanity]]*Table1[[#This Row],[UnitPrice]]*(1-Table1[[#This Row],[ScenarioDiscPct]])</f>
        <v>22179.750120000001</v>
      </c>
      <c r="AB600" s="4">
        <f t="shared" si="127"/>
        <v>4094.1692000000021</v>
      </c>
      <c r="AC600" s="4">
        <f>Table1[[#This Row],[ScenarioRev]] - Table1[[#This Row],[ScenarioCostOfGoods]]</f>
        <v>766.94099999999889</v>
      </c>
      <c r="AD600" s="6">
        <v>4.2000000000000003E-2</v>
      </c>
      <c r="AE600" s="6">
        <f>MIN(Table1[[#This Row],[DiscountPct]], WhatIf!$B$2)</f>
        <v>4.2000000000000003E-2</v>
      </c>
      <c r="AF600" s="6">
        <f>IF(Table1[[#This Row],[DiscountPct]]&gt;0.2, 1, 0)</f>
        <v>0</v>
      </c>
      <c r="AG600" s="6" t="str">
        <f t="shared" si="128"/>
        <v>High</v>
      </c>
      <c r="AH600" s="6">
        <f t="shared" si="129"/>
        <v>0.20304945256975698</v>
      </c>
      <c r="AI600" s="5">
        <v>22</v>
      </c>
      <c r="AJ600" s="6">
        <f>Table1[[#This Row],[Quantity]]*(1+WhatIf!$B$4)</f>
        <v>24.200000000000003</v>
      </c>
    </row>
    <row r="601" spans="1:36" x14ac:dyDescent="0.3">
      <c r="A601" t="s">
        <v>475</v>
      </c>
      <c r="B601" s="3">
        <v>45063</v>
      </c>
      <c r="C601" s="3">
        <v>45092</v>
      </c>
      <c r="D601" s="3">
        <f t="shared" si="118"/>
        <v>45092</v>
      </c>
      <c r="E601" s="4">
        <f t="shared" si="117"/>
        <v>29</v>
      </c>
      <c r="F601" s="4">
        <f t="shared" si="119"/>
        <v>29</v>
      </c>
      <c r="G601" s="4">
        <f>IF(Table1[[#This Row],[CorrectedLeadTimeDays]]&lt;=7, 1, 0)</f>
        <v>0</v>
      </c>
      <c r="H601" s="4" t="str">
        <f t="shared" si="120"/>
        <v>May</v>
      </c>
      <c r="I601" s="4" t="str">
        <f t="shared" si="121"/>
        <v>Q2-2023</v>
      </c>
      <c r="J601" s="4" t="str">
        <f t="shared" si="122"/>
        <v>2023-01</v>
      </c>
      <c r="K601" s="3">
        <f t="shared" si="123"/>
        <v>44933</v>
      </c>
      <c r="L601" t="s">
        <v>646</v>
      </c>
      <c r="M601" t="s">
        <v>661</v>
      </c>
      <c r="N601" t="s">
        <v>687</v>
      </c>
      <c r="O601" t="s">
        <v>706</v>
      </c>
      <c r="P601" t="s">
        <v>707</v>
      </c>
      <c r="Q601" t="s">
        <v>723</v>
      </c>
      <c r="R601">
        <f t="shared" si="124"/>
        <v>4</v>
      </c>
      <c r="S601" t="s">
        <v>733</v>
      </c>
      <c r="T601" t="s">
        <v>1194</v>
      </c>
      <c r="U601" s="4">
        <v>40.89</v>
      </c>
      <c r="V601" s="4">
        <f>Table1[[#This Row],[UnitCost]]*(1+WhatIf!$B$3)</f>
        <v>42.9345</v>
      </c>
      <c r="W601" s="4">
        <f t="shared" si="125"/>
        <v>695.13</v>
      </c>
      <c r="X601" s="4">
        <f>Table1[[#This Row],[ScenarioRev]]-Table1[[#This Row],[ScenarioUnitCost]]</f>
        <v>980.25881400000014</v>
      </c>
      <c r="Y601" s="4">
        <v>62.82</v>
      </c>
      <c r="Z601" s="4">
        <f t="shared" si="126"/>
        <v>930.17574000000002</v>
      </c>
      <c r="AA601" s="4">
        <f>Table1[[#This Row],[ScenarioQuanity]]*Table1[[#This Row],[UnitPrice]]*(1-Table1[[#This Row],[ScenarioDiscPct]])</f>
        <v>1023.1933140000001</v>
      </c>
      <c r="AB601" s="4">
        <f t="shared" si="127"/>
        <v>235.04574000000002</v>
      </c>
      <c r="AC601" s="4">
        <f>Table1[[#This Row],[ScenarioRev]] - Table1[[#This Row],[ScenarioCostOfGoods]]</f>
        <v>42.934499999999957</v>
      </c>
      <c r="AD601" s="6">
        <v>0.129</v>
      </c>
      <c r="AE601" s="6">
        <f>MIN(Table1[[#This Row],[DiscountPct]], WhatIf!$B$2)</f>
        <v>0.129</v>
      </c>
      <c r="AF601" s="6">
        <f>IF(Table1[[#This Row],[DiscountPct]]&gt;0.2, 1, 0)</f>
        <v>0</v>
      </c>
      <c r="AG601" s="6" t="str">
        <f t="shared" si="128"/>
        <v>Low</v>
      </c>
      <c r="AH601" s="6">
        <f t="shared" si="129"/>
        <v>0.25268960465470752</v>
      </c>
      <c r="AI601" s="5">
        <v>17</v>
      </c>
      <c r="AJ601" s="6">
        <f>Table1[[#This Row],[Quantity]]*(1+WhatIf!$B$4)</f>
        <v>18.700000000000003</v>
      </c>
    </row>
    <row r="602" spans="1:36" x14ac:dyDescent="0.3">
      <c r="A602" t="s">
        <v>383</v>
      </c>
      <c r="B602" s="3">
        <v>45832</v>
      </c>
      <c r="C602" s="3">
        <v>45861</v>
      </c>
      <c r="D602" s="3">
        <f t="shared" si="118"/>
        <v>45861</v>
      </c>
      <c r="E602" s="4">
        <f t="shared" si="117"/>
        <v>29</v>
      </c>
      <c r="F602" s="4">
        <f t="shared" si="119"/>
        <v>29</v>
      </c>
      <c r="G602" s="4">
        <f>IF(Table1[[#This Row],[CorrectedLeadTimeDays]]&lt;=7, 1, 0)</f>
        <v>0</v>
      </c>
      <c r="H602" s="4" t="str">
        <f t="shared" si="120"/>
        <v>June</v>
      </c>
      <c r="I602" s="4" t="str">
        <f t="shared" si="121"/>
        <v>Q2-2025</v>
      </c>
      <c r="J602" s="4" t="str">
        <f t="shared" si="122"/>
        <v>2023-01</v>
      </c>
      <c r="K602" s="3">
        <f t="shared" si="123"/>
        <v>44928</v>
      </c>
      <c r="L602" t="s">
        <v>648</v>
      </c>
      <c r="M602" t="s">
        <v>653</v>
      </c>
      <c r="N602" t="s">
        <v>688</v>
      </c>
      <c r="O602" t="s">
        <v>703</v>
      </c>
      <c r="P602" t="s">
        <v>709</v>
      </c>
      <c r="Q602" t="s">
        <v>714</v>
      </c>
      <c r="R602">
        <f t="shared" si="124"/>
        <v>29</v>
      </c>
      <c r="S602" t="s">
        <v>728</v>
      </c>
      <c r="T602" t="s">
        <v>1103</v>
      </c>
      <c r="U602" s="4">
        <v>255.4</v>
      </c>
      <c r="V602" s="4">
        <f>Table1[[#This Row],[UnitCost]]*(1+WhatIf!$B$3)</f>
        <v>268.17</v>
      </c>
      <c r="W602" s="4">
        <f t="shared" si="125"/>
        <v>4086.4</v>
      </c>
      <c r="X602" s="4">
        <f>Table1[[#This Row],[ScenarioRev]]-Table1[[#This Row],[ScenarioUnitCost]]</f>
        <v>4758.36096</v>
      </c>
      <c r="Y602" s="4">
        <v>322.70999999999998</v>
      </c>
      <c r="Z602" s="4">
        <f t="shared" si="126"/>
        <v>4569.5735999999997</v>
      </c>
      <c r="AA602" s="4">
        <f>Table1[[#This Row],[ScenarioQuanity]]*Table1[[#This Row],[UnitPrice]]*(1-Table1[[#This Row],[ScenarioDiscPct]])</f>
        <v>5026.5309600000001</v>
      </c>
      <c r="AB602" s="4">
        <f t="shared" si="127"/>
        <v>483.17359999999962</v>
      </c>
      <c r="AC602" s="4">
        <f>Table1[[#This Row],[ScenarioRev]] - Table1[[#This Row],[ScenarioCostOfGoods]]</f>
        <v>268.17000000000007</v>
      </c>
      <c r="AD602" s="6">
        <v>0.115</v>
      </c>
      <c r="AE602" s="6">
        <f>MIN(Table1[[#This Row],[DiscountPct]], WhatIf!$B$2)</f>
        <v>0.115</v>
      </c>
      <c r="AF602" s="6">
        <f>IF(Table1[[#This Row],[DiscountPct]]&gt;0.2, 1, 0)</f>
        <v>0</v>
      </c>
      <c r="AG602" s="6" t="str">
        <f t="shared" si="128"/>
        <v>Low</v>
      </c>
      <c r="AH602" s="6">
        <f t="shared" si="129"/>
        <v>0.10573713048412212</v>
      </c>
      <c r="AI602" s="5">
        <v>16</v>
      </c>
      <c r="AJ602" s="6">
        <f>Table1[[#This Row],[Quantity]]*(1+WhatIf!$B$4)</f>
        <v>17.600000000000001</v>
      </c>
    </row>
    <row r="603" spans="1:36" x14ac:dyDescent="0.3">
      <c r="A603" t="s">
        <v>232</v>
      </c>
      <c r="B603" s="3">
        <v>45576</v>
      </c>
      <c r="C603" s="3">
        <v>45605</v>
      </c>
      <c r="D603" s="3">
        <f t="shared" si="118"/>
        <v>45605</v>
      </c>
      <c r="E603" s="4">
        <f t="shared" si="117"/>
        <v>29</v>
      </c>
      <c r="F603" s="4">
        <f t="shared" si="119"/>
        <v>29</v>
      </c>
      <c r="G603" s="4">
        <f>IF(Table1[[#This Row],[CorrectedLeadTimeDays]]&lt;=7, 1, 0)</f>
        <v>0</v>
      </c>
      <c r="H603" s="4" t="str">
        <f t="shared" si="120"/>
        <v>October</v>
      </c>
      <c r="I603" s="4" t="str">
        <f t="shared" si="121"/>
        <v>Q4-2024</v>
      </c>
      <c r="J603" s="4" t="str">
        <f t="shared" si="122"/>
        <v>2023-01</v>
      </c>
      <c r="K603" s="3">
        <f t="shared" si="123"/>
        <v>44938</v>
      </c>
      <c r="L603" t="s">
        <v>647</v>
      </c>
      <c r="M603" t="s">
        <v>659</v>
      </c>
      <c r="N603" t="s">
        <v>685</v>
      </c>
      <c r="O603" t="s">
        <v>703</v>
      </c>
      <c r="P603" t="s">
        <v>708</v>
      </c>
      <c r="Q603" t="s">
        <v>721</v>
      </c>
      <c r="R603">
        <f t="shared" si="124"/>
        <v>20</v>
      </c>
      <c r="S603" t="s">
        <v>728</v>
      </c>
      <c r="T603" t="s">
        <v>952</v>
      </c>
      <c r="U603" s="4">
        <v>391.64</v>
      </c>
      <c r="V603" s="4">
        <f>Table1[[#This Row],[UnitCost]]*(1+WhatIf!$B$3)</f>
        <v>411.22199999999998</v>
      </c>
      <c r="W603" s="4">
        <f t="shared" si="125"/>
        <v>5091.32</v>
      </c>
      <c r="X603" s="4">
        <f>Table1[[#This Row],[ScenarioRev]]-Table1[[#This Row],[ScenarioUnitCost]]</f>
        <v>6777.9737280000008</v>
      </c>
      <c r="Y603" s="4">
        <v>504.76</v>
      </c>
      <c r="Z603" s="4">
        <f t="shared" si="126"/>
        <v>6535.6324800000002</v>
      </c>
      <c r="AA603" s="4">
        <f>Table1[[#This Row],[ScenarioQuanity]]*Table1[[#This Row],[UnitPrice]]*(1-Table1[[#This Row],[ScenarioDiscPct]])</f>
        <v>7189.1957280000006</v>
      </c>
      <c r="AB603" s="4">
        <f t="shared" si="127"/>
        <v>1444.3124800000005</v>
      </c>
      <c r="AC603" s="4">
        <f>Table1[[#This Row],[ScenarioRev]] - Table1[[#This Row],[ScenarioCostOfGoods]]</f>
        <v>411.22199999999975</v>
      </c>
      <c r="AD603" s="6">
        <v>4.0000000000000001E-3</v>
      </c>
      <c r="AE603" s="6">
        <f>MIN(Table1[[#This Row],[DiscountPct]], WhatIf!$B$2)</f>
        <v>4.0000000000000001E-3</v>
      </c>
      <c r="AF603" s="6">
        <f>IF(Table1[[#This Row],[DiscountPct]]&gt;0.2, 1, 0)</f>
        <v>0</v>
      </c>
      <c r="AG603" s="6" t="str">
        <f t="shared" si="128"/>
        <v>Low</v>
      </c>
      <c r="AH603" s="6">
        <f t="shared" si="129"/>
        <v>0.22099046793402319</v>
      </c>
      <c r="AI603" s="5">
        <v>13</v>
      </c>
      <c r="AJ603" s="6">
        <f>Table1[[#This Row],[Quantity]]*(1+WhatIf!$B$4)</f>
        <v>14.3</v>
      </c>
    </row>
    <row r="604" spans="1:36" x14ac:dyDescent="0.3">
      <c r="A604" t="s">
        <v>29</v>
      </c>
      <c r="B604" s="3">
        <v>45901</v>
      </c>
      <c r="C604" s="3">
        <v>45930</v>
      </c>
      <c r="D604" s="3">
        <f t="shared" si="118"/>
        <v>45930</v>
      </c>
      <c r="E604" s="4">
        <f t="shared" si="117"/>
        <v>29</v>
      </c>
      <c r="F604" s="4">
        <f t="shared" si="119"/>
        <v>29</v>
      </c>
      <c r="G604" s="4">
        <f>IF(Table1[[#This Row],[CorrectedLeadTimeDays]]&lt;=7, 1, 0)</f>
        <v>0</v>
      </c>
      <c r="H604" s="4" t="str">
        <f t="shared" si="120"/>
        <v>September</v>
      </c>
      <c r="I604" s="4" t="str">
        <f t="shared" si="121"/>
        <v>Q3-2025</v>
      </c>
      <c r="J604" s="4" t="str">
        <f t="shared" si="122"/>
        <v>2023-01</v>
      </c>
      <c r="K604" s="3">
        <f t="shared" si="123"/>
        <v>44955</v>
      </c>
      <c r="L604" t="s">
        <v>648</v>
      </c>
      <c r="M604" t="s">
        <v>655</v>
      </c>
      <c r="N604" t="s">
        <v>672</v>
      </c>
      <c r="O604" t="s">
        <v>702</v>
      </c>
      <c r="P604" t="s">
        <v>707</v>
      </c>
      <c r="Q604" t="s">
        <v>723</v>
      </c>
      <c r="R604">
        <f t="shared" si="124"/>
        <v>31</v>
      </c>
      <c r="S604" t="s">
        <v>733</v>
      </c>
      <c r="T604" t="s">
        <v>748</v>
      </c>
      <c r="U604" s="4">
        <v>780.59</v>
      </c>
      <c r="V604" s="4">
        <f>Table1[[#This Row],[UnitCost]]*(1+WhatIf!$B$3)</f>
        <v>819.61950000000002</v>
      </c>
      <c r="W604" s="4">
        <f t="shared" si="125"/>
        <v>9367.08</v>
      </c>
      <c r="X604" s="4">
        <f>Table1[[#This Row],[ScenarioRev]]-Table1[[#This Row],[ScenarioUnitCost]]</f>
        <v>7517.1045000000022</v>
      </c>
      <c r="Y604" s="4">
        <v>631.57000000000005</v>
      </c>
      <c r="Z604" s="4">
        <f t="shared" si="126"/>
        <v>7578.84</v>
      </c>
      <c r="AA604" s="4">
        <f>Table1[[#This Row],[ScenarioQuanity]]*Table1[[#This Row],[UnitPrice]]*(1-Table1[[#This Row],[ScenarioDiscPct]])</f>
        <v>8336.724000000002</v>
      </c>
      <c r="AB604" s="4">
        <f t="shared" si="127"/>
        <v>-1788.2399999999998</v>
      </c>
      <c r="AC604" s="4">
        <f>Table1[[#This Row],[ScenarioRev]] - Table1[[#This Row],[ScenarioCostOfGoods]]</f>
        <v>819.61949999999979</v>
      </c>
      <c r="AD604" s="6">
        <v>0</v>
      </c>
      <c r="AE604" s="6">
        <f>MIN(Table1[[#This Row],[DiscountPct]], WhatIf!$B$2)</f>
        <v>0</v>
      </c>
      <c r="AF604" s="6">
        <f>IF(Table1[[#This Row],[DiscountPct]]&gt;0.2, 1, 0)</f>
        <v>0</v>
      </c>
      <c r="AG604" s="6" t="str">
        <f t="shared" si="128"/>
        <v>Low</v>
      </c>
      <c r="AH604" s="6">
        <f t="shared" si="129"/>
        <v>-0.23595167598207639</v>
      </c>
      <c r="AI604" s="5">
        <v>12</v>
      </c>
      <c r="AJ604" s="6">
        <f>Table1[[#This Row],[Quantity]]*(1+WhatIf!$B$4)</f>
        <v>13.200000000000001</v>
      </c>
    </row>
    <row r="605" spans="1:36" x14ac:dyDescent="0.3">
      <c r="A605" t="s">
        <v>200</v>
      </c>
      <c r="B605" s="3">
        <v>45099</v>
      </c>
      <c r="C605" s="3">
        <v>45128</v>
      </c>
      <c r="D605" s="3">
        <f t="shared" si="118"/>
        <v>45128</v>
      </c>
      <c r="E605" s="4">
        <f t="shared" si="117"/>
        <v>29</v>
      </c>
      <c r="F605" s="4">
        <f t="shared" si="119"/>
        <v>29</v>
      </c>
      <c r="G605" s="4">
        <f>IF(Table1[[#This Row],[CorrectedLeadTimeDays]]&lt;=7, 1, 0)</f>
        <v>0</v>
      </c>
      <c r="H605" s="4" t="str">
        <f t="shared" si="120"/>
        <v>June</v>
      </c>
      <c r="I605" s="4" t="str">
        <f t="shared" si="121"/>
        <v>Q2-2023</v>
      </c>
      <c r="J605" s="4" t="str">
        <f t="shared" si="122"/>
        <v>2023-01</v>
      </c>
      <c r="K605" s="3">
        <f t="shared" si="123"/>
        <v>44936</v>
      </c>
      <c r="L605" t="s">
        <v>649</v>
      </c>
      <c r="M605" t="s">
        <v>657</v>
      </c>
      <c r="N605" t="s">
        <v>679</v>
      </c>
      <c r="O605" t="s">
        <v>701</v>
      </c>
      <c r="P605" t="s">
        <v>707</v>
      </c>
      <c r="Q605" t="s">
        <v>713</v>
      </c>
      <c r="R605">
        <f t="shared" si="124"/>
        <v>5</v>
      </c>
      <c r="S605" t="s">
        <v>733</v>
      </c>
      <c r="T605" t="s">
        <v>919</v>
      </c>
      <c r="U605" s="4">
        <v>734.34</v>
      </c>
      <c r="V605" s="4">
        <f>Table1[[#This Row],[UnitCost]]*(1+WhatIf!$B$3)</f>
        <v>771.05700000000002</v>
      </c>
      <c r="W605" s="4">
        <f t="shared" si="125"/>
        <v>8812.08</v>
      </c>
      <c r="X605" s="4">
        <f>Table1[[#This Row],[ScenarioRev]]-Table1[[#This Row],[ScenarioUnitCost]]</f>
        <v>10656.216</v>
      </c>
      <c r="Y605" s="4">
        <v>887.9</v>
      </c>
      <c r="Z605" s="4">
        <f t="shared" si="126"/>
        <v>10388.429999999998</v>
      </c>
      <c r="AA605" s="4">
        <f>Table1[[#This Row],[ScenarioQuanity]]*Table1[[#This Row],[UnitPrice]]*(1-Table1[[#This Row],[ScenarioDiscPct]])</f>
        <v>11427.273000000001</v>
      </c>
      <c r="AB605" s="4">
        <f t="shared" si="127"/>
        <v>1576.3499999999985</v>
      </c>
      <c r="AC605" s="4">
        <f>Table1[[#This Row],[ScenarioRev]] - Table1[[#This Row],[ScenarioCostOfGoods]]</f>
        <v>771.0570000000007</v>
      </c>
      <c r="AD605" s="6">
        <v>2.5000000000000001E-2</v>
      </c>
      <c r="AE605" s="6">
        <f>MIN(Table1[[#This Row],[DiscountPct]], WhatIf!$B$2)</f>
        <v>2.5000000000000001E-2</v>
      </c>
      <c r="AF605" s="6">
        <f>IF(Table1[[#This Row],[DiscountPct]]&gt;0.2, 1, 0)</f>
        <v>0</v>
      </c>
      <c r="AG605" s="6" t="str">
        <f t="shared" si="128"/>
        <v>High</v>
      </c>
      <c r="AH605" s="6">
        <f t="shared" si="129"/>
        <v>0.15174092716608753</v>
      </c>
      <c r="AI605" s="5">
        <v>12</v>
      </c>
      <c r="AJ605" s="6">
        <f>Table1[[#This Row],[Quantity]]*(1+WhatIf!$B$4)</f>
        <v>13.200000000000001</v>
      </c>
    </row>
    <row r="606" spans="1:36" x14ac:dyDescent="0.3">
      <c r="A606" t="s">
        <v>338</v>
      </c>
      <c r="B606" s="3">
        <v>45544</v>
      </c>
      <c r="C606" s="3">
        <v>45573</v>
      </c>
      <c r="D606" s="3">
        <f t="shared" si="118"/>
        <v>45573</v>
      </c>
      <c r="E606" s="4">
        <f t="shared" si="117"/>
        <v>29</v>
      </c>
      <c r="F606" s="4">
        <f t="shared" si="119"/>
        <v>29</v>
      </c>
      <c r="G606" s="4">
        <f>IF(Table1[[#This Row],[CorrectedLeadTimeDays]]&lt;=7, 1, 0)</f>
        <v>0</v>
      </c>
      <c r="H606" s="4" t="str">
        <f t="shared" si="120"/>
        <v>September</v>
      </c>
      <c r="I606" s="4" t="str">
        <f t="shared" si="121"/>
        <v>Q3-2024</v>
      </c>
      <c r="J606" s="4" t="str">
        <f t="shared" si="122"/>
        <v>2023-01</v>
      </c>
      <c r="K606" s="3">
        <f t="shared" si="123"/>
        <v>44955</v>
      </c>
      <c r="L606" t="s">
        <v>648</v>
      </c>
      <c r="M606" t="s">
        <v>655</v>
      </c>
      <c r="N606" t="s">
        <v>670</v>
      </c>
      <c r="O606" t="s">
        <v>702</v>
      </c>
      <c r="P606" t="s">
        <v>711</v>
      </c>
      <c r="Q606" t="s">
        <v>713</v>
      </c>
      <c r="R606">
        <f t="shared" si="124"/>
        <v>19</v>
      </c>
      <c r="S606" t="s">
        <v>727</v>
      </c>
      <c r="T606" t="s">
        <v>1058</v>
      </c>
      <c r="U606" s="4">
        <v>1010.33</v>
      </c>
      <c r="V606" s="4">
        <f>Table1[[#This Row],[UnitCost]]*(1+WhatIf!$B$3)</f>
        <v>1060.8465000000001</v>
      </c>
      <c r="W606" s="4">
        <f t="shared" si="125"/>
        <v>11113.630000000001</v>
      </c>
      <c r="X606" s="4">
        <f>Table1[[#This Row],[ScenarioRev]]-Table1[[#This Row],[ScenarioUnitCost]]</f>
        <v>27556.147905999998</v>
      </c>
      <c r="Y606" s="4">
        <v>2492.14</v>
      </c>
      <c r="Z606" s="4">
        <f t="shared" si="126"/>
        <v>26015.449459999996</v>
      </c>
      <c r="AA606" s="4">
        <f>Table1[[#This Row],[ScenarioQuanity]]*Table1[[#This Row],[UnitPrice]]*(1-Table1[[#This Row],[ScenarioDiscPct]])</f>
        <v>28616.994405999998</v>
      </c>
      <c r="AB606" s="4">
        <f t="shared" si="127"/>
        <v>14901.819459999995</v>
      </c>
      <c r="AC606" s="4">
        <f>Table1[[#This Row],[ScenarioRev]] - Table1[[#This Row],[ScenarioCostOfGoods]]</f>
        <v>1060.8464999999997</v>
      </c>
      <c r="AD606" s="6">
        <v>5.0999999999999997E-2</v>
      </c>
      <c r="AE606" s="6">
        <f>MIN(Table1[[#This Row],[DiscountPct]], WhatIf!$B$2)</f>
        <v>5.0999999999999997E-2</v>
      </c>
      <c r="AF606" s="6">
        <f>IF(Table1[[#This Row],[DiscountPct]]&gt;0.2, 1, 0)</f>
        <v>0</v>
      </c>
      <c r="AG606" s="6" t="str">
        <f t="shared" si="128"/>
        <v>High</v>
      </c>
      <c r="AH606" s="6">
        <f t="shared" si="129"/>
        <v>0.57280653493656752</v>
      </c>
      <c r="AI606" s="5">
        <v>11</v>
      </c>
      <c r="AJ606" s="6">
        <f>Table1[[#This Row],[Quantity]]*(1+WhatIf!$B$4)</f>
        <v>12.100000000000001</v>
      </c>
    </row>
    <row r="607" spans="1:36" x14ac:dyDescent="0.3">
      <c r="A607" t="s">
        <v>419</v>
      </c>
      <c r="B607" s="3">
        <v>44991</v>
      </c>
      <c r="C607" s="3">
        <v>45020</v>
      </c>
      <c r="D607" s="3">
        <f t="shared" si="118"/>
        <v>45020</v>
      </c>
      <c r="E607" s="4">
        <f t="shared" si="117"/>
        <v>29</v>
      </c>
      <c r="F607" s="4">
        <f t="shared" si="119"/>
        <v>29</v>
      </c>
      <c r="G607" s="4">
        <f>IF(Table1[[#This Row],[CorrectedLeadTimeDays]]&lt;=7, 1, 0)</f>
        <v>0</v>
      </c>
      <c r="H607" s="4" t="str">
        <f t="shared" si="120"/>
        <v>March</v>
      </c>
      <c r="I607" s="4" t="str">
        <f t="shared" si="121"/>
        <v>Q1-2023</v>
      </c>
      <c r="J607" s="4" t="str">
        <f t="shared" si="122"/>
        <v>2023-01</v>
      </c>
      <c r="K607" s="3">
        <f t="shared" si="123"/>
        <v>44938</v>
      </c>
      <c r="L607" t="s">
        <v>647</v>
      </c>
      <c r="M607" t="s">
        <v>659</v>
      </c>
      <c r="N607" t="s">
        <v>699</v>
      </c>
      <c r="O607" t="s">
        <v>705</v>
      </c>
      <c r="P607" t="s">
        <v>711</v>
      </c>
      <c r="Q607" t="s">
        <v>712</v>
      </c>
      <c r="R607">
        <f t="shared" si="124"/>
        <v>1</v>
      </c>
      <c r="S607" t="s">
        <v>732</v>
      </c>
      <c r="T607" t="s">
        <v>1138</v>
      </c>
      <c r="U607" s="4">
        <v>1126.29</v>
      </c>
      <c r="V607" s="4">
        <f>Table1[[#This Row],[UnitCost]]*(1+WhatIf!$B$3)</f>
        <v>1182.6044999999999</v>
      </c>
      <c r="W607" s="4">
        <f t="shared" si="125"/>
        <v>7884.03</v>
      </c>
      <c r="X607" s="4">
        <f>Table1[[#This Row],[ScenarioRev]]-Table1[[#This Row],[ScenarioUnitCost]]</f>
        <v>13598.425764</v>
      </c>
      <c r="Y607" s="4">
        <v>2050.87</v>
      </c>
      <c r="Z607" s="4">
        <f t="shared" si="126"/>
        <v>13437.300239999999</v>
      </c>
      <c r="AA607" s="4">
        <f>Table1[[#This Row],[ScenarioQuanity]]*Table1[[#This Row],[UnitPrice]]*(1-Table1[[#This Row],[ScenarioDiscPct]])</f>
        <v>14781.030263999999</v>
      </c>
      <c r="AB607" s="4">
        <f t="shared" si="127"/>
        <v>5553.2702399999989</v>
      </c>
      <c r="AC607" s="4">
        <f>Table1[[#This Row],[ScenarioRev]] - Table1[[#This Row],[ScenarioCostOfGoods]]</f>
        <v>1182.6044999999995</v>
      </c>
      <c r="AD607" s="6">
        <v>6.4000000000000001E-2</v>
      </c>
      <c r="AE607" s="6">
        <f>MIN(Table1[[#This Row],[DiscountPct]], WhatIf!$B$2)</f>
        <v>6.4000000000000001E-2</v>
      </c>
      <c r="AF607" s="6">
        <f>IF(Table1[[#This Row],[DiscountPct]]&gt;0.2, 1, 0)</f>
        <v>0</v>
      </c>
      <c r="AG607" s="6" t="str">
        <f t="shared" si="128"/>
        <v>High</v>
      </c>
      <c r="AH607" s="6">
        <f t="shared" si="129"/>
        <v>0.41327276616690373</v>
      </c>
      <c r="AI607" s="5">
        <v>7</v>
      </c>
      <c r="AJ607" s="6">
        <f>Table1[[#This Row],[Quantity]]*(1+WhatIf!$B$4)</f>
        <v>7.7000000000000011</v>
      </c>
    </row>
    <row r="608" spans="1:36" x14ac:dyDescent="0.3">
      <c r="A608" t="s">
        <v>151</v>
      </c>
      <c r="B608" s="3">
        <v>45640</v>
      </c>
      <c r="C608" s="3">
        <v>45669</v>
      </c>
      <c r="D608" s="3">
        <f t="shared" si="118"/>
        <v>45669</v>
      </c>
      <c r="E608" s="4">
        <f t="shared" si="117"/>
        <v>29</v>
      </c>
      <c r="F608" s="4">
        <f t="shared" si="119"/>
        <v>29</v>
      </c>
      <c r="G608" s="4">
        <f>IF(Table1[[#This Row],[CorrectedLeadTimeDays]]&lt;=7, 1, 0)</f>
        <v>0</v>
      </c>
      <c r="H608" s="4" t="str">
        <f t="shared" si="120"/>
        <v>December</v>
      </c>
      <c r="I608" s="4" t="str">
        <f t="shared" si="121"/>
        <v>Q4-2024</v>
      </c>
      <c r="J608" s="4" t="str">
        <f t="shared" si="122"/>
        <v>2023-01</v>
      </c>
      <c r="K608" s="3">
        <f t="shared" si="123"/>
        <v>44938</v>
      </c>
      <c r="L608" t="s">
        <v>647</v>
      </c>
      <c r="M608" t="s">
        <v>659</v>
      </c>
      <c r="N608" t="s">
        <v>676</v>
      </c>
      <c r="O608" t="s">
        <v>702</v>
      </c>
      <c r="P608" t="s">
        <v>708</v>
      </c>
      <c r="Q608" t="s">
        <v>713</v>
      </c>
      <c r="R608">
        <f t="shared" si="124"/>
        <v>23</v>
      </c>
      <c r="S608" t="s">
        <v>727</v>
      </c>
      <c r="T608" t="s">
        <v>870</v>
      </c>
      <c r="U608" s="4">
        <v>1412.15</v>
      </c>
      <c r="V608" s="4">
        <f>Table1[[#This Row],[UnitCost]]*(1+WhatIf!$B$3)</f>
        <v>1482.7575000000002</v>
      </c>
      <c r="W608" s="4">
        <f t="shared" si="125"/>
        <v>8472.9000000000015</v>
      </c>
      <c r="X608" s="4">
        <f>Table1[[#This Row],[ScenarioRev]]-Table1[[#This Row],[ScenarioUnitCost]]</f>
        <v>9185.2227240000011</v>
      </c>
      <c r="Y608" s="4">
        <v>1631.04</v>
      </c>
      <c r="Z608" s="4">
        <f t="shared" si="126"/>
        <v>9698.1638399999993</v>
      </c>
      <c r="AA608" s="4">
        <f>Table1[[#This Row],[ScenarioQuanity]]*Table1[[#This Row],[UnitPrice]]*(1-Table1[[#This Row],[ScenarioDiscPct]])</f>
        <v>10667.980224000001</v>
      </c>
      <c r="AB608" s="4">
        <f t="shared" si="127"/>
        <v>1225.2638399999978</v>
      </c>
      <c r="AC608" s="4">
        <f>Table1[[#This Row],[ScenarioRev]] - Table1[[#This Row],[ScenarioCostOfGoods]]</f>
        <v>1482.7574999999997</v>
      </c>
      <c r="AD608" s="6">
        <v>8.9999999999999993E-3</v>
      </c>
      <c r="AE608" s="6">
        <f>MIN(Table1[[#This Row],[DiscountPct]], WhatIf!$B$2)</f>
        <v>8.9999999999999993E-3</v>
      </c>
      <c r="AF608" s="6">
        <f>IF(Table1[[#This Row],[DiscountPct]]&gt;0.2, 1, 0)</f>
        <v>0</v>
      </c>
      <c r="AG608" s="6" t="str">
        <f t="shared" si="128"/>
        <v>High</v>
      </c>
      <c r="AH608" s="6">
        <f t="shared" si="129"/>
        <v>0.12633977526203535</v>
      </c>
      <c r="AI608" s="5">
        <v>6</v>
      </c>
      <c r="AJ608" s="6">
        <f>Table1[[#This Row],[Quantity]]*(1+WhatIf!$B$4)</f>
        <v>6.6000000000000005</v>
      </c>
    </row>
    <row r="609" spans="1:36" x14ac:dyDescent="0.3">
      <c r="A609" t="s">
        <v>207</v>
      </c>
      <c r="B609" s="3">
        <v>45214</v>
      </c>
      <c r="C609" s="3">
        <v>45243</v>
      </c>
      <c r="D609" s="3">
        <f t="shared" si="118"/>
        <v>45243</v>
      </c>
      <c r="E609" s="4">
        <f t="shared" si="117"/>
        <v>29</v>
      </c>
      <c r="F609" s="4">
        <f t="shared" si="119"/>
        <v>29</v>
      </c>
      <c r="G609" s="4">
        <f>IF(Table1[[#This Row],[CorrectedLeadTimeDays]]&lt;=7, 1, 0)</f>
        <v>0</v>
      </c>
      <c r="H609" s="4" t="str">
        <f t="shared" si="120"/>
        <v>October</v>
      </c>
      <c r="I609" s="4" t="str">
        <f t="shared" si="121"/>
        <v>Q4-2023</v>
      </c>
      <c r="J609" s="4" t="str">
        <f t="shared" si="122"/>
        <v>2023-01</v>
      </c>
      <c r="K609" s="3">
        <f t="shared" si="123"/>
        <v>44938</v>
      </c>
      <c r="L609" t="s">
        <v>647</v>
      </c>
      <c r="M609" t="s">
        <v>659</v>
      </c>
      <c r="N609" t="s">
        <v>676</v>
      </c>
      <c r="O609" t="s">
        <v>703</v>
      </c>
      <c r="P609" t="s">
        <v>710</v>
      </c>
      <c r="Q609" t="s">
        <v>713</v>
      </c>
      <c r="R609">
        <f t="shared" si="124"/>
        <v>9</v>
      </c>
      <c r="S609" t="s">
        <v>728</v>
      </c>
      <c r="T609" t="s">
        <v>927</v>
      </c>
      <c r="U609" s="4">
        <v>986.44</v>
      </c>
      <c r="V609" s="4">
        <f>Table1[[#This Row],[UnitCost]]*(1+WhatIf!$B$3)</f>
        <v>1035.7620000000002</v>
      </c>
      <c r="W609" s="4">
        <f t="shared" si="125"/>
        <v>5918.64</v>
      </c>
      <c r="X609" s="4">
        <f>Table1[[#This Row],[ScenarioRev]]-Table1[[#This Row],[ScenarioUnitCost]]</f>
        <v>3806.5661280000008</v>
      </c>
      <c r="Y609" s="4">
        <v>790.61</v>
      </c>
      <c r="Z609" s="4">
        <f t="shared" si="126"/>
        <v>4402.1164799999997</v>
      </c>
      <c r="AA609" s="4">
        <f>Table1[[#This Row],[ScenarioQuanity]]*Table1[[#This Row],[UnitPrice]]*(1-Table1[[#This Row],[ScenarioDiscPct]])</f>
        <v>4842.328128000001</v>
      </c>
      <c r="AB609" s="4">
        <f t="shared" si="127"/>
        <v>-1516.5235200000006</v>
      </c>
      <c r="AC609" s="4">
        <f>Table1[[#This Row],[ScenarioRev]] - Table1[[#This Row],[ScenarioCostOfGoods]]</f>
        <v>1035.7620000000002</v>
      </c>
      <c r="AD609" s="6">
        <v>7.1999999999999995E-2</v>
      </c>
      <c r="AE609" s="6">
        <f>MIN(Table1[[#This Row],[DiscountPct]], WhatIf!$B$2)</f>
        <v>7.1999999999999995E-2</v>
      </c>
      <c r="AF609" s="6">
        <f>IF(Table1[[#This Row],[DiscountPct]]&gt;0.2, 1, 0)</f>
        <v>0</v>
      </c>
      <c r="AG609" s="6" t="str">
        <f t="shared" si="128"/>
        <v>Low</v>
      </c>
      <c r="AH609" s="6">
        <f t="shared" si="129"/>
        <v>-0.34449872621271499</v>
      </c>
      <c r="AI609" s="5">
        <v>6</v>
      </c>
      <c r="AJ609" s="6">
        <f>Table1[[#This Row],[Quantity]]*(1+WhatIf!$B$4)</f>
        <v>6.6000000000000005</v>
      </c>
    </row>
    <row r="610" spans="1:36" x14ac:dyDescent="0.3">
      <c r="A610" t="s">
        <v>229</v>
      </c>
      <c r="B610" s="3">
        <v>45351</v>
      </c>
      <c r="C610" s="3">
        <v>45381</v>
      </c>
      <c r="D610" s="3">
        <f t="shared" si="118"/>
        <v>45381</v>
      </c>
      <c r="E610" s="4">
        <f t="shared" si="117"/>
        <v>30</v>
      </c>
      <c r="F610" s="4">
        <f t="shared" si="119"/>
        <v>30</v>
      </c>
      <c r="G610" s="4">
        <f>IF(Table1[[#This Row],[CorrectedLeadTimeDays]]&lt;=7, 1, 0)</f>
        <v>0</v>
      </c>
      <c r="H610" s="4" t="str">
        <f t="shared" si="120"/>
        <v>February</v>
      </c>
      <c r="I610" s="4" t="str">
        <f t="shared" si="121"/>
        <v>Q1-2024</v>
      </c>
      <c r="J610" s="4" t="str">
        <f t="shared" si="122"/>
        <v>2023-03</v>
      </c>
      <c r="K610" s="3">
        <f t="shared" si="123"/>
        <v>44988</v>
      </c>
      <c r="L610" t="s">
        <v>647</v>
      </c>
      <c r="M610" t="s">
        <v>652</v>
      </c>
      <c r="N610" t="s">
        <v>694</v>
      </c>
      <c r="O610" t="s">
        <v>705</v>
      </c>
      <c r="P610" t="s">
        <v>711</v>
      </c>
      <c r="Q610" t="s">
        <v>714</v>
      </c>
      <c r="R610">
        <f t="shared" si="124"/>
        <v>11</v>
      </c>
      <c r="S610" t="s">
        <v>729</v>
      </c>
      <c r="T610" t="s">
        <v>949</v>
      </c>
      <c r="U610" s="4">
        <v>231.11</v>
      </c>
      <c r="V610" s="4">
        <f>Table1[[#This Row],[UnitCost]]*(1+WhatIf!$B$3)</f>
        <v>242.66550000000004</v>
      </c>
      <c r="W610" s="4">
        <f t="shared" si="125"/>
        <v>13866.6</v>
      </c>
      <c r="X610" s="4">
        <f>Table1[[#This Row],[ScenarioRev]]-Table1[[#This Row],[ScenarioUnitCost]]</f>
        <v>16556.710500000001</v>
      </c>
      <c r="Y610" s="4">
        <v>318.17</v>
      </c>
      <c r="Z610" s="4">
        <f t="shared" si="126"/>
        <v>15253.069799999999</v>
      </c>
      <c r="AA610" s="4">
        <f>Table1[[#This Row],[ScenarioQuanity]]*Table1[[#This Row],[UnitPrice]]*(1-Table1[[#This Row],[ScenarioDiscPct]])</f>
        <v>16799.376</v>
      </c>
      <c r="AB610" s="4">
        <f t="shared" si="127"/>
        <v>1386.4697999999989</v>
      </c>
      <c r="AC610" s="4">
        <f>Table1[[#This Row],[ScenarioRev]] - Table1[[#This Row],[ScenarioCostOfGoods]]</f>
        <v>242.66549999999916</v>
      </c>
      <c r="AD610" s="6">
        <v>0.20100000000000001</v>
      </c>
      <c r="AE610" s="6">
        <f>MIN(Table1[[#This Row],[DiscountPct]], WhatIf!$B$2)</f>
        <v>0.2</v>
      </c>
      <c r="AF610" s="6">
        <f>IF(Table1[[#This Row],[DiscountPct]]&gt;0.2, 1, 0)</f>
        <v>1</v>
      </c>
      <c r="AG610" s="6" t="str">
        <f t="shared" si="128"/>
        <v>Low</v>
      </c>
      <c r="AH610" s="6">
        <f t="shared" si="129"/>
        <v>9.0897754889969692E-2</v>
      </c>
      <c r="AI610" s="5">
        <v>60</v>
      </c>
      <c r="AJ610" s="6">
        <f>Table1[[#This Row],[Quantity]]*(1+WhatIf!$B$4)</f>
        <v>66</v>
      </c>
    </row>
    <row r="611" spans="1:36" x14ac:dyDescent="0.3">
      <c r="A611" t="s">
        <v>181</v>
      </c>
      <c r="B611" s="3">
        <v>45034</v>
      </c>
      <c r="C611" s="3">
        <v>45064</v>
      </c>
      <c r="D611" s="3">
        <f t="shared" si="118"/>
        <v>45064</v>
      </c>
      <c r="E611" s="4">
        <f t="shared" si="117"/>
        <v>30</v>
      </c>
      <c r="F611" s="4">
        <f t="shared" si="119"/>
        <v>30</v>
      </c>
      <c r="G611" s="4">
        <f>IF(Table1[[#This Row],[CorrectedLeadTimeDays]]&lt;=7, 1, 0)</f>
        <v>0</v>
      </c>
      <c r="H611" s="4" t="str">
        <f t="shared" si="120"/>
        <v>April</v>
      </c>
      <c r="I611" s="4" t="str">
        <f t="shared" si="121"/>
        <v>Q2-2023</v>
      </c>
      <c r="J611" s="4" t="str">
        <f t="shared" si="122"/>
        <v>2023-01</v>
      </c>
      <c r="K611" s="3">
        <f t="shared" si="123"/>
        <v>44938</v>
      </c>
      <c r="L611" t="s">
        <v>647</v>
      </c>
      <c r="M611" t="s">
        <v>659</v>
      </c>
      <c r="N611" t="s">
        <v>676</v>
      </c>
      <c r="O611" t="s">
        <v>703</v>
      </c>
      <c r="P611" t="s">
        <v>707</v>
      </c>
      <c r="Q611" t="s">
        <v>722</v>
      </c>
      <c r="R611">
        <f t="shared" si="124"/>
        <v>3</v>
      </c>
      <c r="S611" t="s">
        <v>731</v>
      </c>
      <c r="T611" t="s">
        <v>900</v>
      </c>
      <c r="U611" s="4">
        <v>329.03</v>
      </c>
      <c r="V611" s="4">
        <f>Table1[[#This Row],[UnitCost]]*(1+WhatIf!$B$3)</f>
        <v>345.48149999999998</v>
      </c>
      <c r="W611" s="4">
        <f t="shared" si="125"/>
        <v>15135.38</v>
      </c>
      <c r="X611" s="4">
        <f>Table1[[#This Row],[ScenarioRev]]-Table1[[#This Row],[ScenarioUnitCost]]</f>
        <v>15547.647069999997</v>
      </c>
      <c r="Y611" s="4">
        <v>391.15</v>
      </c>
      <c r="Z611" s="4">
        <f t="shared" si="126"/>
        <v>14448.298699999998</v>
      </c>
      <c r="AA611" s="4">
        <f>Table1[[#This Row],[ScenarioQuanity]]*Table1[[#This Row],[UnitPrice]]*(1-Table1[[#This Row],[ScenarioDiscPct]])</f>
        <v>15893.128569999997</v>
      </c>
      <c r="AB611" s="4">
        <f t="shared" si="127"/>
        <v>-687.08130000000165</v>
      </c>
      <c r="AC611" s="4">
        <f>Table1[[#This Row],[ScenarioRev]] - Table1[[#This Row],[ScenarioCostOfGoods]]</f>
        <v>345.48149999999987</v>
      </c>
      <c r="AD611" s="6">
        <v>0.19700000000000001</v>
      </c>
      <c r="AE611" s="6">
        <f>MIN(Table1[[#This Row],[DiscountPct]], WhatIf!$B$2)</f>
        <v>0.19700000000000001</v>
      </c>
      <c r="AF611" s="6">
        <f>IF(Table1[[#This Row],[DiscountPct]]&gt;0.2, 1, 0)</f>
        <v>0</v>
      </c>
      <c r="AG611" s="6" t="str">
        <f t="shared" si="128"/>
        <v>Low</v>
      </c>
      <c r="AH611" s="6">
        <f t="shared" si="129"/>
        <v>-4.7554477815440081E-2</v>
      </c>
      <c r="AI611" s="5">
        <v>46</v>
      </c>
      <c r="AJ611" s="6">
        <f>Table1[[#This Row],[Quantity]]*(1+WhatIf!$B$4)</f>
        <v>50.6</v>
      </c>
    </row>
    <row r="612" spans="1:36" x14ac:dyDescent="0.3">
      <c r="A612" t="s">
        <v>220</v>
      </c>
      <c r="B612" s="3">
        <v>45109</v>
      </c>
      <c r="C612" s="3">
        <v>45139</v>
      </c>
      <c r="D612" s="3">
        <f t="shared" si="118"/>
        <v>45139</v>
      </c>
      <c r="E612" s="4">
        <f t="shared" si="117"/>
        <v>30</v>
      </c>
      <c r="F612" s="4">
        <f t="shared" si="119"/>
        <v>30</v>
      </c>
      <c r="G612" s="4">
        <f>IF(Table1[[#This Row],[CorrectedLeadTimeDays]]&lt;=7, 1, 0)</f>
        <v>0</v>
      </c>
      <c r="H612" s="4" t="str">
        <f t="shared" si="120"/>
        <v>July</v>
      </c>
      <c r="I612" s="4" t="str">
        <f t="shared" si="121"/>
        <v>Q3-2023</v>
      </c>
      <c r="J612" s="4" t="str">
        <f t="shared" si="122"/>
        <v>2023-01</v>
      </c>
      <c r="K612" s="3">
        <f t="shared" si="123"/>
        <v>44945</v>
      </c>
      <c r="L612" t="s">
        <v>649</v>
      </c>
      <c r="M612" t="s">
        <v>658</v>
      </c>
      <c r="N612" t="s">
        <v>674</v>
      </c>
      <c r="O612" t="s">
        <v>705</v>
      </c>
      <c r="P612" t="s">
        <v>707</v>
      </c>
      <c r="Q612" t="s">
        <v>717</v>
      </c>
      <c r="R612">
        <f t="shared" si="124"/>
        <v>5</v>
      </c>
      <c r="S612" t="s">
        <v>727</v>
      </c>
      <c r="T612" t="s">
        <v>940</v>
      </c>
      <c r="U612" s="4">
        <v>137.46</v>
      </c>
      <c r="V612" s="4">
        <f>Table1[[#This Row],[UnitCost]]*(1+WhatIf!$B$3)</f>
        <v>144.33300000000003</v>
      </c>
      <c r="W612" s="4">
        <f t="shared" si="125"/>
        <v>5086.0200000000004</v>
      </c>
      <c r="X612" s="4">
        <f>Table1[[#This Row],[ScenarioRev]]-Table1[[#This Row],[ScenarioUnitCost]]</f>
        <v>7228.2522200000012</v>
      </c>
      <c r="Y612" s="4">
        <v>188.3</v>
      </c>
      <c r="Z612" s="4">
        <f t="shared" si="126"/>
        <v>6702.3501999999999</v>
      </c>
      <c r="AA612" s="4">
        <f>Table1[[#This Row],[ScenarioQuanity]]*Table1[[#This Row],[UnitPrice]]*(1-Table1[[#This Row],[ScenarioDiscPct]])</f>
        <v>7372.5852200000008</v>
      </c>
      <c r="AB612" s="4">
        <f t="shared" si="127"/>
        <v>1616.3301999999994</v>
      </c>
      <c r="AC612" s="4">
        <f>Table1[[#This Row],[ScenarioRev]] - Table1[[#This Row],[ScenarioCostOfGoods]]</f>
        <v>144.33299999999963</v>
      </c>
      <c r="AD612" s="6">
        <v>3.7999999999999999E-2</v>
      </c>
      <c r="AE612" s="6">
        <f>MIN(Table1[[#This Row],[DiscountPct]], WhatIf!$B$2)</f>
        <v>3.7999999999999999E-2</v>
      </c>
      <c r="AF612" s="6">
        <f>IF(Table1[[#This Row],[DiscountPct]]&gt;0.2, 1, 0)</f>
        <v>0</v>
      </c>
      <c r="AG612" s="6" t="str">
        <f t="shared" si="128"/>
        <v>Low</v>
      </c>
      <c r="AH612" s="6">
        <f t="shared" si="129"/>
        <v>0.24115872071262398</v>
      </c>
      <c r="AI612" s="5">
        <v>37</v>
      </c>
      <c r="AJ612" s="6">
        <f>Table1[[#This Row],[Quantity]]*(1+WhatIf!$B$4)</f>
        <v>40.700000000000003</v>
      </c>
    </row>
    <row r="613" spans="1:36" x14ac:dyDescent="0.3">
      <c r="A613" t="s">
        <v>399</v>
      </c>
      <c r="B613" s="3">
        <v>45066</v>
      </c>
      <c r="C613" s="3">
        <v>45096</v>
      </c>
      <c r="D613" s="3">
        <f t="shared" si="118"/>
        <v>45096</v>
      </c>
      <c r="E613" s="4">
        <f t="shared" si="117"/>
        <v>30</v>
      </c>
      <c r="F613" s="4">
        <f t="shared" si="119"/>
        <v>30</v>
      </c>
      <c r="G613" s="4">
        <f>IF(Table1[[#This Row],[CorrectedLeadTimeDays]]&lt;=7, 1, 0)</f>
        <v>0</v>
      </c>
      <c r="H613" s="4" t="str">
        <f t="shared" si="120"/>
        <v>May</v>
      </c>
      <c r="I613" s="4" t="str">
        <f t="shared" si="121"/>
        <v>Q2-2023</v>
      </c>
      <c r="J613" s="4" t="str">
        <f t="shared" si="122"/>
        <v>2023-01</v>
      </c>
      <c r="K613" s="3">
        <f t="shared" si="123"/>
        <v>44955</v>
      </c>
      <c r="L613" t="s">
        <v>647</v>
      </c>
      <c r="M613" t="s">
        <v>654</v>
      </c>
      <c r="N613" t="s">
        <v>680</v>
      </c>
      <c r="O613" t="s">
        <v>703</v>
      </c>
      <c r="P613" t="s">
        <v>709</v>
      </c>
      <c r="Q613" t="s">
        <v>722</v>
      </c>
      <c r="R613">
        <f t="shared" si="124"/>
        <v>3</v>
      </c>
      <c r="S613" t="s">
        <v>731</v>
      </c>
      <c r="T613" t="s">
        <v>1118</v>
      </c>
      <c r="U613" s="4">
        <v>1161.2</v>
      </c>
      <c r="V613" s="4">
        <f>Table1[[#This Row],[UnitCost]]*(1+WhatIf!$B$3)</f>
        <v>1219.26</v>
      </c>
      <c r="W613" s="4">
        <f t="shared" si="125"/>
        <v>35997.200000000004</v>
      </c>
      <c r="X613" s="4">
        <f>Table1[[#This Row],[ScenarioRev]]-Table1[[#This Row],[ScenarioUnitCost]]</f>
        <v>23052.141330000006</v>
      </c>
      <c r="Y613" s="4">
        <v>878.73</v>
      </c>
      <c r="Z613" s="4">
        <f t="shared" si="126"/>
        <v>22064.910300000003</v>
      </c>
      <c r="AA613" s="4">
        <f>Table1[[#This Row],[ScenarioQuanity]]*Table1[[#This Row],[UnitPrice]]*(1-Table1[[#This Row],[ScenarioDiscPct]])</f>
        <v>24271.401330000004</v>
      </c>
      <c r="AB613" s="4">
        <f t="shared" si="127"/>
        <v>-13932.289700000001</v>
      </c>
      <c r="AC613" s="4">
        <f>Table1[[#This Row],[ScenarioRev]] - Table1[[#This Row],[ScenarioCostOfGoods]]</f>
        <v>1219.2599999999984</v>
      </c>
      <c r="AD613" s="6">
        <v>0.19</v>
      </c>
      <c r="AE613" s="6">
        <f>MIN(Table1[[#This Row],[DiscountPct]], WhatIf!$B$2)</f>
        <v>0.19</v>
      </c>
      <c r="AF613" s="6">
        <f>IF(Table1[[#This Row],[DiscountPct]]&gt;0.2, 1, 0)</f>
        <v>0</v>
      </c>
      <c r="AG613" s="6" t="str">
        <f t="shared" si="128"/>
        <v>High</v>
      </c>
      <c r="AH613" s="6">
        <f t="shared" si="129"/>
        <v>-0.63142290227212028</v>
      </c>
      <c r="AI613" s="5">
        <v>31</v>
      </c>
      <c r="AJ613" s="6">
        <f>Table1[[#This Row],[Quantity]]*(1+WhatIf!$B$4)</f>
        <v>34.1</v>
      </c>
    </row>
    <row r="614" spans="1:36" x14ac:dyDescent="0.3">
      <c r="A614" t="s">
        <v>631</v>
      </c>
      <c r="B614" s="3">
        <v>45643</v>
      </c>
      <c r="C614" s="3">
        <v>45673</v>
      </c>
      <c r="D614" s="3">
        <f t="shared" si="118"/>
        <v>45673</v>
      </c>
      <c r="E614" s="4">
        <f t="shared" si="117"/>
        <v>30</v>
      </c>
      <c r="F614" s="4">
        <f t="shared" si="119"/>
        <v>30</v>
      </c>
      <c r="G614" s="4">
        <f>IF(Table1[[#This Row],[CorrectedLeadTimeDays]]&lt;=7, 1, 0)</f>
        <v>0</v>
      </c>
      <c r="H614" s="4" t="str">
        <f t="shared" si="120"/>
        <v>December</v>
      </c>
      <c r="I614" s="4" t="str">
        <f t="shared" si="121"/>
        <v>Q4-2024</v>
      </c>
      <c r="J614" s="4" t="str">
        <f t="shared" si="122"/>
        <v>2023-01</v>
      </c>
      <c r="K614" s="3">
        <f t="shared" si="123"/>
        <v>44945</v>
      </c>
      <c r="L614" t="s">
        <v>649</v>
      </c>
      <c r="M614" t="s">
        <v>658</v>
      </c>
      <c r="N614" t="s">
        <v>693</v>
      </c>
      <c r="O614" t="s">
        <v>701</v>
      </c>
      <c r="P614" t="s">
        <v>707</v>
      </c>
      <c r="Q614" t="s">
        <v>726</v>
      </c>
      <c r="R614">
        <f t="shared" si="124"/>
        <v>22</v>
      </c>
      <c r="S614" t="s">
        <v>732</v>
      </c>
      <c r="T614" t="s">
        <v>1349</v>
      </c>
      <c r="U614" s="4">
        <v>722.87</v>
      </c>
      <c r="V614" s="4">
        <f>Table1[[#This Row],[UnitCost]]*(1+WhatIf!$B$3)</f>
        <v>759.01350000000002</v>
      </c>
      <c r="W614" s="4">
        <f t="shared" si="125"/>
        <v>20240.36</v>
      </c>
      <c r="X614" s="4">
        <f>Table1[[#This Row],[ScenarioRev]]-Table1[[#This Row],[ScenarioUnitCost]]</f>
        <v>171.96824400000003</v>
      </c>
      <c r="Y614" s="4">
        <v>33.659999999999997</v>
      </c>
      <c r="Z614" s="4">
        <f t="shared" si="126"/>
        <v>846.34703999999988</v>
      </c>
      <c r="AA614" s="4">
        <f>Table1[[#This Row],[ScenarioQuanity]]*Table1[[#This Row],[UnitPrice]]*(1-Table1[[#This Row],[ScenarioDiscPct]])</f>
        <v>930.98174400000005</v>
      </c>
      <c r="AB614" s="4">
        <f t="shared" si="127"/>
        <v>-19394.01296</v>
      </c>
      <c r="AC614" s="4">
        <f>Table1[[#This Row],[ScenarioRev]] - Table1[[#This Row],[ScenarioCostOfGoods]]</f>
        <v>759.01350000000002</v>
      </c>
      <c r="AD614" s="6">
        <v>0.10199999999999999</v>
      </c>
      <c r="AE614" s="6">
        <f>MIN(Table1[[#This Row],[DiscountPct]], WhatIf!$B$2)</f>
        <v>0.10199999999999999</v>
      </c>
      <c r="AF614" s="6">
        <f>IF(Table1[[#This Row],[DiscountPct]]&gt;0.2, 1, 0)</f>
        <v>0</v>
      </c>
      <c r="AG614" s="6" t="str">
        <f t="shared" si="128"/>
        <v>Low</v>
      </c>
      <c r="AH614" s="6">
        <f t="shared" si="129"/>
        <v>-22.914965189693348</v>
      </c>
      <c r="AI614" s="5">
        <v>28</v>
      </c>
      <c r="AJ614" s="6">
        <f>Table1[[#This Row],[Quantity]]*(1+WhatIf!$B$4)</f>
        <v>30.800000000000004</v>
      </c>
    </row>
    <row r="615" spans="1:36" x14ac:dyDescent="0.3">
      <c r="A615" t="s">
        <v>530</v>
      </c>
      <c r="B615" s="3">
        <v>45199</v>
      </c>
      <c r="C615" s="3">
        <v>45229</v>
      </c>
      <c r="D615" s="3">
        <f t="shared" si="118"/>
        <v>45229</v>
      </c>
      <c r="E615" s="4">
        <f t="shared" si="117"/>
        <v>30</v>
      </c>
      <c r="F615" s="4">
        <f t="shared" si="119"/>
        <v>30</v>
      </c>
      <c r="G615" s="4">
        <f>IF(Table1[[#This Row],[CorrectedLeadTimeDays]]&lt;=7, 1, 0)</f>
        <v>0</v>
      </c>
      <c r="H615" s="4" t="str">
        <f t="shared" si="120"/>
        <v>September</v>
      </c>
      <c r="I615" s="4" t="str">
        <f t="shared" si="121"/>
        <v>Q3-2023</v>
      </c>
      <c r="J615" s="4" t="str">
        <f t="shared" si="122"/>
        <v>2023-03</v>
      </c>
      <c r="K615" s="3">
        <f t="shared" si="123"/>
        <v>44988</v>
      </c>
      <c r="L615" t="s">
        <v>647</v>
      </c>
      <c r="M615" t="s">
        <v>652</v>
      </c>
      <c r="N615" t="s">
        <v>689</v>
      </c>
      <c r="O615" t="s">
        <v>706</v>
      </c>
      <c r="P615" t="s">
        <v>708</v>
      </c>
      <c r="Q615" t="s">
        <v>726</v>
      </c>
      <c r="R615">
        <f t="shared" si="124"/>
        <v>6</v>
      </c>
      <c r="S615" t="s">
        <v>728</v>
      </c>
      <c r="T615" t="s">
        <v>1249</v>
      </c>
      <c r="U615" s="4">
        <v>649.13</v>
      </c>
      <c r="V615" s="4">
        <f>Table1[[#This Row],[UnitCost]]*(1+WhatIf!$B$3)</f>
        <v>681.5865</v>
      </c>
      <c r="W615" s="4">
        <f t="shared" si="125"/>
        <v>17526.509999999998</v>
      </c>
      <c r="X615" s="4">
        <f>Table1[[#This Row],[ScenarioRev]]-Table1[[#This Row],[ScenarioUnitCost]]</f>
        <v>23740.351952999998</v>
      </c>
      <c r="Y615" s="4">
        <v>975.43</v>
      </c>
      <c r="Z615" s="4">
        <f t="shared" si="126"/>
        <v>22201.762229999997</v>
      </c>
      <c r="AA615" s="4">
        <f>Table1[[#This Row],[ScenarioQuanity]]*Table1[[#This Row],[UnitPrice]]*(1-Table1[[#This Row],[ScenarioDiscPct]])</f>
        <v>24421.938452999999</v>
      </c>
      <c r="AB615" s="4">
        <f t="shared" si="127"/>
        <v>4675.2522299999982</v>
      </c>
      <c r="AC615" s="4">
        <f>Table1[[#This Row],[ScenarioRev]] - Table1[[#This Row],[ScenarioCostOfGoods]]</f>
        <v>681.58650000000125</v>
      </c>
      <c r="AD615" s="6">
        <v>0.157</v>
      </c>
      <c r="AE615" s="6">
        <f>MIN(Table1[[#This Row],[DiscountPct]], WhatIf!$B$2)</f>
        <v>0.157</v>
      </c>
      <c r="AF615" s="6">
        <f>IF(Table1[[#This Row],[DiscountPct]]&gt;0.2, 1, 0)</f>
        <v>0</v>
      </c>
      <c r="AG615" s="6" t="str">
        <f t="shared" si="128"/>
        <v>High</v>
      </c>
      <c r="AH615" s="6">
        <f t="shared" si="129"/>
        <v>0.21058023149543473</v>
      </c>
      <c r="AI615" s="5">
        <v>27</v>
      </c>
      <c r="AJ615" s="6">
        <f>Table1[[#This Row],[Quantity]]*(1+WhatIf!$B$4)</f>
        <v>29.700000000000003</v>
      </c>
    </row>
    <row r="616" spans="1:36" x14ac:dyDescent="0.3">
      <c r="A616" t="s">
        <v>144</v>
      </c>
      <c r="B616" s="3">
        <v>44955</v>
      </c>
      <c r="C616" s="3">
        <v>44985</v>
      </c>
      <c r="D616" s="3">
        <f t="shared" si="118"/>
        <v>44985</v>
      </c>
      <c r="E616" s="4">
        <f t="shared" si="117"/>
        <v>30</v>
      </c>
      <c r="F616" s="4">
        <f t="shared" si="119"/>
        <v>30</v>
      </c>
      <c r="G616" s="4">
        <f>IF(Table1[[#This Row],[CorrectedLeadTimeDays]]&lt;=7, 1, 0)</f>
        <v>0</v>
      </c>
      <c r="H616" s="4" t="str">
        <f t="shared" si="120"/>
        <v>January</v>
      </c>
      <c r="I616" s="4" t="str">
        <f t="shared" si="121"/>
        <v>Q1-2023</v>
      </c>
      <c r="J616" s="4" t="str">
        <f t="shared" si="122"/>
        <v>2023-01</v>
      </c>
      <c r="K616" s="3">
        <f t="shared" si="123"/>
        <v>44955</v>
      </c>
      <c r="L616" t="s">
        <v>647</v>
      </c>
      <c r="M616" t="s">
        <v>654</v>
      </c>
      <c r="N616" t="s">
        <v>668</v>
      </c>
      <c r="O616" t="s">
        <v>703</v>
      </c>
      <c r="P616" t="s">
        <v>707</v>
      </c>
      <c r="Q616" t="s">
        <v>717</v>
      </c>
      <c r="R616">
        <f t="shared" si="124"/>
        <v>0</v>
      </c>
      <c r="S616" t="s">
        <v>733</v>
      </c>
      <c r="T616" t="s">
        <v>921</v>
      </c>
      <c r="U616" s="4">
        <v>1262.0999999999999</v>
      </c>
      <c r="V616" s="4">
        <f>Table1[[#This Row],[UnitCost]]*(1+WhatIf!$B$3)</f>
        <v>1325.2049999999999</v>
      </c>
      <c r="W616" s="4">
        <f t="shared" si="125"/>
        <v>31552.499999999996</v>
      </c>
      <c r="X616" s="4">
        <f>Table1[[#This Row],[ScenarioRev]]-Table1[[#This Row],[ScenarioUnitCost]]</f>
        <v>29376.455000000002</v>
      </c>
      <c r="Y616" s="4">
        <v>1395.53</v>
      </c>
      <c r="Z616" s="4">
        <f t="shared" si="126"/>
        <v>26759.28775</v>
      </c>
      <c r="AA616" s="4">
        <f>Table1[[#This Row],[ScenarioQuanity]]*Table1[[#This Row],[UnitPrice]]*(1-Table1[[#This Row],[ScenarioDiscPct]])</f>
        <v>30701.660000000003</v>
      </c>
      <c r="AB616" s="4">
        <f t="shared" si="127"/>
        <v>-4793.2122499999969</v>
      </c>
      <c r="AC616" s="4">
        <f>Table1[[#This Row],[ScenarioRev]] - Table1[[#This Row],[ScenarioCostOfGoods]]</f>
        <v>1325.2050000000017</v>
      </c>
      <c r="AD616" s="6">
        <v>0.23300000000000001</v>
      </c>
      <c r="AE616" s="6">
        <f>MIN(Table1[[#This Row],[DiscountPct]], WhatIf!$B$2)</f>
        <v>0.2</v>
      </c>
      <c r="AF616" s="6">
        <f>IF(Table1[[#This Row],[DiscountPct]]&gt;0.2, 1, 0)</f>
        <v>1</v>
      </c>
      <c r="AG616" s="6" t="str">
        <f t="shared" si="128"/>
        <v>High</v>
      </c>
      <c r="AH616" s="6">
        <f t="shared" si="129"/>
        <v>-0.17912331205452198</v>
      </c>
      <c r="AI616" s="5">
        <v>25</v>
      </c>
      <c r="AJ616" s="6">
        <f>Table1[[#This Row],[Quantity]]*(1+WhatIf!$B$4)</f>
        <v>27.500000000000004</v>
      </c>
    </row>
    <row r="617" spans="1:36" x14ac:dyDescent="0.3">
      <c r="A617" t="s">
        <v>461</v>
      </c>
      <c r="B617" s="3">
        <v>45746</v>
      </c>
      <c r="C617" s="3">
        <v>45776</v>
      </c>
      <c r="D617" s="3">
        <f t="shared" si="118"/>
        <v>45776</v>
      </c>
      <c r="E617" s="4">
        <f t="shared" si="117"/>
        <v>30</v>
      </c>
      <c r="F617" s="4">
        <f t="shared" si="119"/>
        <v>30</v>
      </c>
      <c r="G617" s="4">
        <f>IF(Table1[[#This Row],[CorrectedLeadTimeDays]]&lt;=7, 1, 0)</f>
        <v>0</v>
      </c>
      <c r="H617" s="4" t="str">
        <f t="shared" si="120"/>
        <v>March</v>
      </c>
      <c r="I617" s="4" t="str">
        <f t="shared" si="121"/>
        <v>Q1-2025</v>
      </c>
      <c r="J617" s="4" t="str">
        <f t="shared" si="122"/>
        <v>2023-01</v>
      </c>
      <c r="K617" s="3">
        <f t="shared" si="123"/>
        <v>44933</v>
      </c>
      <c r="L617" t="s">
        <v>646</v>
      </c>
      <c r="M617" t="s">
        <v>661</v>
      </c>
      <c r="N617" t="s">
        <v>687</v>
      </c>
      <c r="O617" t="s">
        <v>704</v>
      </c>
      <c r="P617" t="s">
        <v>709</v>
      </c>
      <c r="Q617" t="s">
        <v>713</v>
      </c>
      <c r="R617">
        <f t="shared" si="124"/>
        <v>26</v>
      </c>
      <c r="S617" t="s">
        <v>732</v>
      </c>
      <c r="T617" t="s">
        <v>1180</v>
      </c>
      <c r="U617" s="4">
        <v>194.6</v>
      </c>
      <c r="V617" s="4">
        <f>Table1[[#This Row],[UnitCost]]*(1+WhatIf!$B$3)</f>
        <v>204.33</v>
      </c>
      <c r="W617" s="4">
        <f t="shared" si="125"/>
        <v>4865</v>
      </c>
      <c r="X617" s="4">
        <f>Table1[[#This Row],[ScenarioRev]]-Table1[[#This Row],[ScenarioUnitCost]]</f>
        <v>6722.8100000000013</v>
      </c>
      <c r="Y617" s="4">
        <v>314.87</v>
      </c>
      <c r="Z617" s="4">
        <f t="shared" si="126"/>
        <v>5565.3272500000003</v>
      </c>
      <c r="AA617" s="4">
        <f>Table1[[#This Row],[ScenarioQuanity]]*Table1[[#This Row],[UnitPrice]]*(1-Table1[[#This Row],[ScenarioDiscPct]])</f>
        <v>6927.1400000000012</v>
      </c>
      <c r="AB617" s="4">
        <f t="shared" si="127"/>
        <v>700.32725000000028</v>
      </c>
      <c r="AC617" s="4">
        <f>Table1[[#This Row],[ScenarioRev]] - Table1[[#This Row],[ScenarioCostOfGoods]]</f>
        <v>204.32999999999993</v>
      </c>
      <c r="AD617" s="6">
        <v>0.29299999999999998</v>
      </c>
      <c r="AE617" s="6">
        <f>MIN(Table1[[#This Row],[DiscountPct]], WhatIf!$B$2)</f>
        <v>0.2</v>
      </c>
      <c r="AF617" s="6">
        <f>IF(Table1[[#This Row],[DiscountPct]]&gt;0.2, 1, 0)</f>
        <v>1</v>
      </c>
      <c r="AG617" s="6" t="str">
        <f t="shared" si="128"/>
        <v>Low</v>
      </c>
      <c r="AH617" s="6">
        <f t="shared" si="129"/>
        <v>0.1258375686712763</v>
      </c>
      <c r="AI617" s="5">
        <v>25</v>
      </c>
      <c r="AJ617" s="6">
        <f>Table1[[#This Row],[Quantity]]*(1+WhatIf!$B$4)</f>
        <v>27.500000000000004</v>
      </c>
    </row>
    <row r="618" spans="1:36" x14ac:dyDescent="0.3">
      <c r="A618" t="s">
        <v>157</v>
      </c>
      <c r="B618" s="3">
        <v>45133</v>
      </c>
      <c r="C618" s="3">
        <v>45163</v>
      </c>
      <c r="D618" s="3">
        <f t="shared" si="118"/>
        <v>45163</v>
      </c>
      <c r="E618" s="4">
        <f t="shared" si="117"/>
        <v>30</v>
      </c>
      <c r="F618" s="4">
        <f t="shared" si="119"/>
        <v>30</v>
      </c>
      <c r="G618" s="4">
        <f>IF(Table1[[#This Row],[CorrectedLeadTimeDays]]&lt;=7, 1, 0)</f>
        <v>0</v>
      </c>
      <c r="H618" s="4" t="str">
        <f t="shared" si="120"/>
        <v>July</v>
      </c>
      <c r="I618" s="4" t="str">
        <f t="shared" si="121"/>
        <v>Q3-2023</v>
      </c>
      <c r="J618" s="4" t="str">
        <f t="shared" si="122"/>
        <v>2023-01</v>
      </c>
      <c r="K618" s="3">
        <f t="shared" si="123"/>
        <v>44939</v>
      </c>
      <c r="L618" t="s">
        <v>648</v>
      </c>
      <c r="M618" t="s">
        <v>660</v>
      </c>
      <c r="N618" t="s">
        <v>700</v>
      </c>
      <c r="O618" t="s">
        <v>704</v>
      </c>
      <c r="P618" t="s">
        <v>707</v>
      </c>
      <c r="Q618" t="s">
        <v>724</v>
      </c>
      <c r="R618">
        <f t="shared" si="124"/>
        <v>6</v>
      </c>
      <c r="S618" t="s">
        <v>733</v>
      </c>
      <c r="T618" t="s">
        <v>876</v>
      </c>
      <c r="U618" s="4">
        <v>1261.48</v>
      </c>
      <c r="V618" s="4">
        <f>Table1[[#This Row],[UnitCost]]*(1+WhatIf!$B$3)</f>
        <v>1324.5540000000001</v>
      </c>
      <c r="W618" s="4">
        <f t="shared" si="125"/>
        <v>29014.04</v>
      </c>
      <c r="X618" s="4">
        <f>Table1[[#This Row],[ScenarioRev]]-Table1[[#This Row],[ScenarioUnitCost]]</f>
        <v>33970.459446000008</v>
      </c>
      <c r="Y618" s="4">
        <v>1643.18</v>
      </c>
      <c r="Z618" s="4">
        <f t="shared" si="126"/>
        <v>32086.37586</v>
      </c>
      <c r="AA618" s="4">
        <f>Table1[[#This Row],[ScenarioQuanity]]*Table1[[#This Row],[UnitPrice]]*(1-Table1[[#This Row],[ScenarioDiscPct]])</f>
        <v>35295.013446000004</v>
      </c>
      <c r="AB618" s="4">
        <f t="shared" si="127"/>
        <v>3072.3358599999992</v>
      </c>
      <c r="AC618" s="4">
        <f>Table1[[#This Row],[ScenarioRev]] - Table1[[#This Row],[ScenarioCostOfGoods]]</f>
        <v>1324.5539999999964</v>
      </c>
      <c r="AD618" s="6">
        <v>0.151</v>
      </c>
      <c r="AE618" s="6">
        <f>MIN(Table1[[#This Row],[DiscountPct]], WhatIf!$B$2)</f>
        <v>0.151</v>
      </c>
      <c r="AF618" s="6">
        <f>IF(Table1[[#This Row],[DiscountPct]]&gt;0.2, 1, 0)</f>
        <v>0</v>
      </c>
      <c r="AG618" s="6" t="str">
        <f t="shared" si="128"/>
        <v>High</v>
      </c>
      <c r="AH618" s="6">
        <f t="shared" si="129"/>
        <v>9.5752037357079045E-2</v>
      </c>
      <c r="AI618" s="5">
        <v>23</v>
      </c>
      <c r="AJ618" s="6">
        <f>Table1[[#This Row],[Quantity]]*(1+WhatIf!$B$4)</f>
        <v>25.3</v>
      </c>
    </row>
    <row r="619" spans="1:36" x14ac:dyDescent="0.3">
      <c r="A619" t="s">
        <v>75</v>
      </c>
      <c r="B619" s="3">
        <v>45361</v>
      </c>
      <c r="C619" s="3">
        <v>45391</v>
      </c>
      <c r="D619" s="3">
        <f t="shared" si="118"/>
        <v>45391</v>
      </c>
      <c r="E619" s="4">
        <f t="shared" si="117"/>
        <v>30</v>
      </c>
      <c r="F619" s="4">
        <f t="shared" si="119"/>
        <v>30</v>
      </c>
      <c r="G619" s="4">
        <f>IF(Table1[[#This Row],[CorrectedLeadTimeDays]]&lt;=7, 1, 0)</f>
        <v>0</v>
      </c>
      <c r="H619" s="4" t="str">
        <f t="shared" si="120"/>
        <v>March</v>
      </c>
      <c r="I619" s="4" t="str">
        <f t="shared" si="121"/>
        <v>Q1-2024</v>
      </c>
      <c r="J619" s="4" t="str">
        <f t="shared" si="122"/>
        <v>2023-01</v>
      </c>
      <c r="K619" s="3">
        <f t="shared" si="123"/>
        <v>44936</v>
      </c>
      <c r="L619" t="s">
        <v>649</v>
      </c>
      <c r="M619" t="s">
        <v>657</v>
      </c>
      <c r="N619" t="s">
        <v>679</v>
      </c>
      <c r="O619" t="s">
        <v>701</v>
      </c>
      <c r="P619" t="s">
        <v>711</v>
      </c>
      <c r="Q619" t="s">
        <v>714</v>
      </c>
      <c r="R619">
        <f t="shared" si="124"/>
        <v>14</v>
      </c>
      <c r="S619" t="s">
        <v>727</v>
      </c>
      <c r="T619" t="s">
        <v>794</v>
      </c>
      <c r="U619" s="4">
        <v>1176.56</v>
      </c>
      <c r="V619" s="4">
        <f>Table1[[#This Row],[UnitCost]]*(1+WhatIf!$B$3)</f>
        <v>1235.3879999999999</v>
      </c>
      <c r="W619" s="4">
        <f t="shared" si="125"/>
        <v>23531.199999999997</v>
      </c>
      <c r="X619" s="4">
        <f>Table1[[#This Row],[ScenarioRev]]-Table1[[#This Row],[ScenarioUnitCost]]</f>
        <v>35820.863980000002</v>
      </c>
      <c r="Y619" s="4">
        <v>1911.89</v>
      </c>
      <c r="Z619" s="4">
        <f t="shared" si="126"/>
        <v>33687.501800000005</v>
      </c>
      <c r="AA619" s="4">
        <f>Table1[[#This Row],[ScenarioQuanity]]*Table1[[#This Row],[UnitPrice]]*(1-Table1[[#This Row],[ScenarioDiscPct]])</f>
        <v>37056.251980000001</v>
      </c>
      <c r="AB619" s="4">
        <f t="shared" si="127"/>
        <v>10156.301800000008</v>
      </c>
      <c r="AC619" s="4">
        <f>Table1[[#This Row],[ScenarioRev]] - Table1[[#This Row],[ScenarioCostOfGoods]]</f>
        <v>1235.387999999999</v>
      </c>
      <c r="AD619" s="6">
        <v>0.11899999999999999</v>
      </c>
      <c r="AE619" s="6">
        <f>MIN(Table1[[#This Row],[DiscountPct]], WhatIf!$B$2)</f>
        <v>0.11899999999999999</v>
      </c>
      <c r="AF619" s="6">
        <f>IF(Table1[[#This Row],[DiscountPct]]&gt;0.2, 1, 0)</f>
        <v>0</v>
      </c>
      <c r="AG619" s="6" t="str">
        <f t="shared" si="128"/>
        <v>High</v>
      </c>
      <c r="AH619" s="6">
        <f t="shared" si="129"/>
        <v>0.30148575160892477</v>
      </c>
      <c r="AI619" s="5">
        <v>20</v>
      </c>
      <c r="AJ619" s="6">
        <f>Table1[[#This Row],[Quantity]]*(1+WhatIf!$B$4)</f>
        <v>22</v>
      </c>
    </row>
    <row r="620" spans="1:36" x14ac:dyDescent="0.3">
      <c r="A620" t="s">
        <v>46</v>
      </c>
      <c r="B620" s="3">
        <v>44980</v>
      </c>
      <c r="C620" s="3">
        <v>45010</v>
      </c>
      <c r="D620" s="3">
        <f t="shared" si="118"/>
        <v>45010</v>
      </c>
      <c r="E620" s="4">
        <f t="shared" si="117"/>
        <v>30</v>
      </c>
      <c r="F620" s="4">
        <f t="shared" si="119"/>
        <v>30</v>
      </c>
      <c r="G620" s="4">
        <f>IF(Table1[[#This Row],[CorrectedLeadTimeDays]]&lt;=7, 1, 0)</f>
        <v>0</v>
      </c>
      <c r="H620" s="4" t="str">
        <f t="shared" si="120"/>
        <v>February</v>
      </c>
      <c r="I620" s="4" t="str">
        <f t="shared" si="121"/>
        <v>Q1-2023</v>
      </c>
      <c r="J620" s="4" t="str">
        <f t="shared" si="122"/>
        <v>2023-01</v>
      </c>
      <c r="K620" s="3">
        <f t="shared" si="123"/>
        <v>44928</v>
      </c>
      <c r="L620" t="s">
        <v>648</v>
      </c>
      <c r="M620" t="s">
        <v>653</v>
      </c>
      <c r="N620" t="s">
        <v>681</v>
      </c>
      <c r="O620" t="s">
        <v>706</v>
      </c>
      <c r="P620" t="s">
        <v>708</v>
      </c>
      <c r="Q620" t="s">
        <v>726</v>
      </c>
      <c r="R620">
        <f t="shared" si="124"/>
        <v>1</v>
      </c>
      <c r="S620" t="s">
        <v>730</v>
      </c>
      <c r="T620" t="s">
        <v>765</v>
      </c>
      <c r="U620" s="4">
        <v>1242.6600000000001</v>
      </c>
      <c r="V620" s="4">
        <f>Table1[[#This Row],[UnitCost]]*(1+WhatIf!$B$3)</f>
        <v>1304.7930000000001</v>
      </c>
      <c r="W620" s="4">
        <f t="shared" si="125"/>
        <v>19882.560000000001</v>
      </c>
      <c r="X620" s="4">
        <f>Table1[[#This Row],[ScenarioRev]]-Table1[[#This Row],[ScenarioUnitCost]]</f>
        <v>27460.607752</v>
      </c>
      <c r="Y620" s="4">
        <v>1794.07</v>
      </c>
      <c r="Z620" s="4">
        <f t="shared" si="126"/>
        <v>26150.364320000001</v>
      </c>
      <c r="AA620" s="4">
        <f>Table1[[#This Row],[ScenarioQuanity]]*Table1[[#This Row],[UnitPrice]]*(1-Table1[[#This Row],[ScenarioDiscPct]])</f>
        <v>28765.400752000001</v>
      </c>
      <c r="AB620" s="4">
        <f t="shared" si="127"/>
        <v>6267.8043199999993</v>
      </c>
      <c r="AC620" s="4">
        <f>Table1[[#This Row],[ScenarioRev]] - Table1[[#This Row],[ScenarioCostOfGoods]]</f>
        <v>1304.7930000000015</v>
      </c>
      <c r="AD620" s="6">
        <v>8.8999999999999996E-2</v>
      </c>
      <c r="AE620" s="6">
        <f>MIN(Table1[[#This Row],[DiscountPct]], WhatIf!$B$2)</f>
        <v>8.8999999999999996E-2</v>
      </c>
      <c r="AF620" s="6">
        <f>IF(Table1[[#This Row],[DiscountPct]]&gt;0.2, 1, 0)</f>
        <v>0</v>
      </c>
      <c r="AG620" s="6" t="str">
        <f t="shared" si="128"/>
        <v>High</v>
      </c>
      <c r="AH620" s="6">
        <f t="shared" si="129"/>
        <v>0.23968325042440553</v>
      </c>
      <c r="AI620" s="5">
        <v>16</v>
      </c>
      <c r="AJ620" s="6">
        <f>Table1[[#This Row],[Quantity]]*(1+WhatIf!$B$4)</f>
        <v>17.600000000000001</v>
      </c>
    </row>
    <row r="621" spans="1:36" x14ac:dyDescent="0.3">
      <c r="A621" t="s">
        <v>165</v>
      </c>
      <c r="B621" s="3">
        <v>45763</v>
      </c>
      <c r="C621" s="3">
        <v>45793</v>
      </c>
      <c r="D621" s="3">
        <f t="shared" si="118"/>
        <v>45793</v>
      </c>
      <c r="E621" s="4">
        <f t="shared" si="117"/>
        <v>30</v>
      </c>
      <c r="F621" s="4">
        <f t="shared" si="119"/>
        <v>30</v>
      </c>
      <c r="G621" s="4">
        <f>IF(Table1[[#This Row],[CorrectedLeadTimeDays]]&lt;=7, 1, 0)</f>
        <v>0</v>
      </c>
      <c r="H621" s="4" t="str">
        <f t="shared" si="120"/>
        <v>April</v>
      </c>
      <c r="I621" s="4" t="str">
        <f t="shared" si="121"/>
        <v>Q2-2025</v>
      </c>
      <c r="J621" s="4" t="str">
        <f t="shared" si="122"/>
        <v>2023-01</v>
      </c>
      <c r="K621" s="3">
        <f t="shared" si="123"/>
        <v>44928</v>
      </c>
      <c r="L621" t="s">
        <v>648</v>
      </c>
      <c r="M621" t="s">
        <v>653</v>
      </c>
      <c r="N621" t="s">
        <v>681</v>
      </c>
      <c r="O621" t="s">
        <v>706</v>
      </c>
      <c r="P621" t="s">
        <v>710</v>
      </c>
      <c r="Q621" t="s">
        <v>723</v>
      </c>
      <c r="R621">
        <f t="shared" si="124"/>
        <v>27</v>
      </c>
      <c r="S621" t="s">
        <v>728</v>
      </c>
      <c r="T621" t="s">
        <v>884</v>
      </c>
      <c r="U621" s="4">
        <v>763.32</v>
      </c>
      <c r="V621" s="4">
        <f>Table1[[#This Row],[UnitCost]]*(1+WhatIf!$B$3)</f>
        <v>801.4860000000001</v>
      </c>
      <c r="W621" s="4">
        <f t="shared" si="125"/>
        <v>12213.12</v>
      </c>
      <c r="X621" s="4">
        <f>Table1[[#This Row],[ScenarioRev]]-Table1[[#This Row],[ScenarioUnitCost]]</f>
        <v>7890.1685760000009</v>
      </c>
      <c r="Y621" s="4">
        <v>568.29</v>
      </c>
      <c r="Z621" s="4">
        <f t="shared" si="126"/>
        <v>7901.5041599999995</v>
      </c>
      <c r="AA621" s="4">
        <f>Table1[[#This Row],[ScenarioQuanity]]*Table1[[#This Row],[UnitPrice]]*(1-Table1[[#This Row],[ScenarioDiscPct]])</f>
        <v>8691.6545760000008</v>
      </c>
      <c r="AB621" s="4">
        <f t="shared" si="127"/>
        <v>-4311.6158400000013</v>
      </c>
      <c r="AC621" s="4">
        <f>Table1[[#This Row],[ScenarioRev]] - Table1[[#This Row],[ScenarioCostOfGoods]]</f>
        <v>801.48599999999988</v>
      </c>
      <c r="AD621" s="6">
        <v>0.13100000000000001</v>
      </c>
      <c r="AE621" s="6">
        <f>MIN(Table1[[#This Row],[DiscountPct]], WhatIf!$B$2)</f>
        <v>0.13100000000000001</v>
      </c>
      <c r="AF621" s="6">
        <f>IF(Table1[[#This Row],[DiscountPct]]&gt;0.2, 1, 0)</f>
        <v>0</v>
      </c>
      <c r="AG621" s="6" t="str">
        <f t="shared" si="128"/>
        <v>Low</v>
      </c>
      <c r="AH621" s="6">
        <f t="shared" si="129"/>
        <v>-0.54567026134426555</v>
      </c>
      <c r="AI621" s="5">
        <v>16</v>
      </c>
      <c r="AJ621" s="6">
        <f>Table1[[#This Row],[Quantity]]*(1+WhatIf!$B$4)</f>
        <v>17.600000000000001</v>
      </c>
    </row>
    <row r="622" spans="1:36" x14ac:dyDescent="0.3">
      <c r="A622" t="s">
        <v>307</v>
      </c>
      <c r="B622" s="3">
        <v>45161</v>
      </c>
      <c r="C622" s="3">
        <v>45191</v>
      </c>
      <c r="D622" s="3">
        <f t="shared" si="118"/>
        <v>45191</v>
      </c>
      <c r="E622" s="4">
        <f t="shared" si="117"/>
        <v>30</v>
      </c>
      <c r="F622" s="4">
        <f t="shared" si="119"/>
        <v>30</v>
      </c>
      <c r="G622" s="4">
        <f>IF(Table1[[#This Row],[CorrectedLeadTimeDays]]&lt;=7, 1, 0)</f>
        <v>0</v>
      </c>
      <c r="H622" s="4" t="str">
        <f t="shared" si="120"/>
        <v>August</v>
      </c>
      <c r="I622" s="4" t="str">
        <f t="shared" si="121"/>
        <v>Q3-2023</v>
      </c>
      <c r="J622" s="4" t="str">
        <f t="shared" si="122"/>
        <v>2023-01</v>
      </c>
      <c r="K622" s="3">
        <f t="shared" si="123"/>
        <v>44945</v>
      </c>
      <c r="L622" t="s">
        <v>649</v>
      </c>
      <c r="M622" t="s">
        <v>658</v>
      </c>
      <c r="N622" t="s">
        <v>683</v>
      </c>
      <c r="O622" t="s">
        <v>704</v>
      </c>
      <c r="P622" t="s">
        <v>710</v>
      </c>
      <c r="Q622" t="s">
        <v>719</v>
      </c>
      <c r="R622">
        <f t="shared" si="124"/>
        <v>7</v>
      </c>
      <c r="S622" t="s">
        <v>733</v>
      </c>
      <c r="T622" t="s">
        <v>1027</v>
      </c>
      <c r="U622" s="4">
        <v>209.81</v>
      </c>
      <c r="V622" s="4">
        <f>Table1[[#This Row],[UnitCost]]*(1+WhatIf!$B$3)</f>
        <v>220.3005</v>
      </c>
      <c r="W622" s="4">
        <f t="shared" si="125"/>
        <v>3147.15</v>
      </c>
      <c r="X622" s="4">
        <f>Table1[[#This Row],[ScenarioRev]]-Table1[[#This Row],[ScenarioUnitCost]]</f>
        <v>7900.0590000000002</v>
      </c>
      <c r="Y622" s="4">
        <v>523</v>
      </c>
      <c r="Z622" s="4">
        <f t="shared" si="126"/>
        <v>7382.1450000000004</v>
      </c>
      <c r="AA622" s="4">
        <f>Table1[[#This Row],[ScenarioQuanity]]*Table1[[#This Row],[UnitPrice]]*(1-Table1[[#This Row],[ScenarioDiscPct]])</f>
        <v>8120.3595000000005</v>
      </c>
      <c r="AB622" s="4">
        <f t="shared" si="127"/>
        <v>4234.9950000000008</v>
      </c>
      <c r="AC622" s="4">
        <f>Table1[[#This Row],[ScenarioRev]] - Table1[[#This Row],[ScenarioCostOfGoods]]</f>
        <v>220.30050000000028</v>
      </c>
      <c r="AD622" s="6">
        <v>5.8999999999999997E-2</v>
      </c>
      <c r="AE622" s="6">
        <f>MIN(Table1[[#This Row],[DiscountPct]], WhatIf!$B$2)</f>
        <v>5.8999999999999997E-2</v>
      </c>
      <c r="AF622" s="6">
        <f>IF(Table1[[#This Row],[DiscountPct]]&gt;0.2, 1, 0)</f>
        <v>0</v>
      </c>
      <c r="AG622" s="6" t="str">
        <f t="shared" si="128"/>
        <v>Low</v>
      </c>
      <c r="AH622" s="6">
        <f t="shared" si="129"/>
        <v>0.57368082041195356</v>
      </c>
      <c r="AI622" s="5">
        <v>15</v>
      </c>
      <c r="AJ622" s="6">
        <f>Table1[[#This Row],[Quantity]]*(1+WhatIf!$B$4)</f>
        <v>16.5</v>
      </c>
    </row>
    <row r="623" spans="1:36" x14ac:dyDescent="0.3">
      <c r="A623" t="s">
        <v>395</v>
      </c>
      <c r="B623" s="3">
        <v>45876</v>
      </c>
      <c r="C623" s="3">
        <v>45906</v>
      </c>
      <c r="D623" s="3">
        <f t="shared" si="118"/>
        <v>45906</v>
      </c>
      <c r="E623" s="4">
        <f t="shared" si="117"/>
        <v>30</v>
      </c>
      <c r="F623" s="4">
        <f t="shared" si="119"/>
        <v>30</v>
      </c>
      <c r="G623" s="4">
        <f>IF(Table1[[#This Row],[CorrectedLeadTimeDays]]&lt;=7, 1, 0)</f>
        <v>0</v>
      </c>
      <c r="H623" s="4" t="str">
        <f t="shared" si="120"/>
        <v>August</v>
      </c>
      <c r="I623" s="4" t="str">
        <f t="shared" si="121"/>
        <v>Q3-2025</v>
      </c>
      <c r="J623" s="4" t="str">
        <f t="shared" si="122"/>
        <v>2023-01</v>
      </c>
      <c r="K623" s="3">
        <f t="shared" si="123"/>
        <v>44928</v>
      </c>
      <c r="L623" t="s">
        <v>648</v>
      </c>
      <c r="M623" t="s">
        <v>653</v>
      </c>
      <c r="N623" t="s">
        <v>681</v>
      </c>
      <c r="O623" t="s">
        <v>702</v>
      </c>
      <c r="P623" t="s">
        <v>711</v>
      </c>
      <c r="Q623" t="s">
        <v>724</v>
      </c>
      <c r="R623">
        <f t="shared" si="124"/>
        <v>31</v>
      </c>
      <c r="S623" t="s">
        <v>729</v>
      </c>
      <c r="T623" t="s">
        <v>1114</v>
      </c>
      <c r="U623" s="4">
        <v>833.73</v>
      </c>
      <c r="V623" s="4">
        <f>Table1[[#This Row],[UnitCost]]*(1+WhatIf!$B$3)</f>
        <v>875.41650000000004</v>
      </c>
      <c r="W623" s="4">
        <f t="shared" si="125"/>
        <v>11672.220000000001</v>
      </c>
      <c r="X623" s="4">
        <f>Table1[[#This Row],[ScenarioRev]]-Table1[[#This Row],[ScenarioUnitCost]]</f>
        <v>13293.790860000001</v>
      </c>
      <c r="Y623" s="4">
        <v>1116.5999999999999</v>
      </c>
      <c r="Z623" s="4">
        <f t="shared" si="126"/>
        <v>12881.097599999999</v>
      </c>
      <c r="AA623" s="4">
        <f>Table1[[#This Row],[ScenarioQuanity]]*Table1[[#This Row],[UnitPrice]]*(1-Table1[[#This Row],[ScenarioDiscPct]])</f>
        <v>14169.20736</v>
      </c>
      <c r="AB623" s="4">
        <f t="shared" si="127"/>
        <v>1208.877599999998</v>
      </c>
      <c r="AC623" s="4">
        <f>Table1[[#This Row],[ScenarioRev]] - Table1[[#This Row],[ScenarioCostOfGoods]]</f>
        <v>875.41649999999936</v>
      </c>
      <c r="AD623" s="6">
        <v>0.17599999999999999</v>
      </c>
      <c r="AE623" s="6">
        <f>MIN(Table1[[#This Row],[DiscountPct]], WhatIf!$B$2)</f>
        <v>0.17599999999999999</v>
      </c>
      <c r="AF623" s="6">
        <f>IF(Table1[[#This Row],[DiscountPct]]&gt;0.2, 1, 0)</f>
        <v>0</v>
      </c>
      <c r="AG623" s="6" t="str">
        <f t="shared" si="128"/>
        <v>High</v>
      </c>
      <c r="AH623" s="6">
        <f t="shared" si="129"/>
        <v>9.3848958958279924E-2</v>
      </c>
      <c r="AI623" s="5">
        <v>14</v>
      </c>
      <c r="AJ623" s="6">
        <f>Table1[[#This Row],[Quantity]]*(1+WhatIf!$B$4)</f>
        <v>15.400000000000002</v>
      </c>
    </row>
    <row r="624" spans="1:36" x14ac:dyDescent="0.3">
      <c r="A624" t="s">
        <v>234</v>
      </c>
      <c r="B624" s="3">
        <v>45894</v>
      </c>
      <c r="C624" s="3">
        <v>45924</v>
      </c>
      <c r="D624" s="3">
        <f t="shared" si="118"/>
        <v>45924</v>
      </c>
      <c r="E624" s="4">
        <f t="shared" si="117"/>
        <v>30</v>
      </c>
      <c r="F624" s="4">
        <f t="shared" si="119"/>
        <v>30</v>
      </c>
      <c r="G624" s="4">
        <f>IF(Table1[[#This Row],[CorrectedLeadTimeDays]]&lt;=7, 1, 0)</f>
        <v>0</v>
      </c>
      <c r="H624" s="4" t="str">
        <f t="shared" si="120"/>
        <v>August</v>
      </c>
      <c r="I624" s="4" t="str">
        <f t="shared" si="121"/>
        <v>Q3-2025</v>
      </c>
      <c r="J624" s="4" t="str">
        <f t="shared" si="122"/>
        <v>2023-01</v>
      </c>
      <c r="K624" s="3">
        <f t="shared" si="123"/>
        <v>44946</v>
      </c>
      <c r="L624" t="s">
        <v>646</v>
      </c>
      <c r="M624" t="s">
        <v>650</v>
      </c>
      <c r="N624" t="s">
        <v>664</v>
      </c>
      <c r="O624" t="s">
        <v>704</v>
      </c>
      <c r="P624" t="s">
        <v>711</v>
      </c>
      <c r="Q624" t="s">
        <v>717</v>
      </c>
      <c r="R624">
        <f t="shared" si="124"/>
        <v>31</v>
      </c>
      <c r="S624" t="s">
        <v>727</v>
      </c>
      <c r="T624" t="s">
        <v>954</v>
      </c>
      <c r="U624" s="4">
        <v>589.14</v>
      </c>
      <c r="V624" s="4">
        <f>Table1[[#This Row],[UnitCost]]*(1+WhatIf!$B$3)</f>
        <v>618.59699999999998</v>
      </c>
      <c r="W624" s="4">
        <f t="shared" si="125"/>
        <v>6480.54</v>
      </c>
      <c r="X624" s="4">
        <f>Table1[[#This Row],[ScenarioRev]]-Table1[[#This Row],[ScenarioUnitCost]]</f>
        <v>14252.885010000002</v>
      </c>
      <c r="Y624" s="4">
        <v>1300.58</v>
      </c>
      <c r="Z624" s="4">
        <f t="shared" si="126"/>
        <v>13519.529099999998</v>
      </c>
      <c r="AA624" s="4">
        <f>Table1[[#This Row],[ScenarioQuanity]]*Table1[[#This Row],[UnitPrice]]*(1-Table1[[#This Row],[ScenarioDiscPct]])</f>
        <v>14871.482010000002</v>
      </c>
      <c r="AB624" s="4">
        <f t="shared" si="127"/>
        <v>7038.989099999998</v>
      </c>
      <c r="AC624" s="4">
        <f>Table1[[#This Row],[ScenarioRev]] - Table1[[#This Row],[ScenarioCostOfGoods]]</f>
        <v>618.59699999999975</v>
      </c>
      <c r="AD624" s="6">
        <v>5.5E-2</v>
      </c>
      <c r="AE624" s="6">
        <f>MIN(Table1[[#This Row],[DiscountPct]], WhatIf!$B$2)</f>
        <v>5.5E-2</v>
      </c>
      <c r="AF624" s="6">
        <f>IF(Table1[[#This Row],[DiscountPct]]&gt;0.2, 1, 0)</f>
        <v>0</v>
      </c>
      <c r="AG624" s="6" t="str">
        <f t="shared" si="128"/>
        <v>High</v>
      </c>
      <c r="AH624" s="6">
        <f t="shared" si="129"/>
        <v>0.52065342275863724</v>
      </c>
      <c r="AI624" s="5">
        <v>11</v>
      </c>
      <c r="AJ624" s="6">
        <f>Table1[[#This Row],[Quantity]]*(1+WhatIf!$B$4)</f>
        <v>12.100000000000001</v>
      </c>
    </row>
    <row r="625" spans="1:36" x14ac:dyDescent="0.3">
      <c r="A625" t="s">
        <v>500</v>
      </c>
      <c r="B625" s="3">
        <v>45224</v>
      </c>
      <c r="C625" s="3">
        <v>45254</v>
      </c>
      <c r="D625" s="3">
        <f t="shared" si="118"/>
        <v>45254</v>
      </c>
      <c r="E625" s="4">
        <f t="shared" si="117"/>
        <v>30</v>
      </c>
      <c r="F625" s="4">
        <f t="shared" si="119"/>
        <v>30</v>
      </c>
      <c r="G625" s="4">
        <f>IF(Table1[[#This Row],[CorrectedLeadTimeDays]]&lt;=7, 1, 0)</f>
        <v>0</v>
      </c>
      <c r="H625" s="4" t="str">
        <f t="shared" si="120"/>
        <v>October</v>
      </c>
      <c r="I625" s="4" t="str">
        <f t="shared" si="121"/>
        <v>Q4-2023</v>
      </c>
      <c r="J625" s="4" t="str">
        <f t="shared" si="122"/>
        <v>2023-01</v>
      </c>
      <c r="K625" s="3">
        <f t="shared" si="123"/>
        <v>44936</v>
      </c>
      <c r="L625" t="s">
        <v>649</v>
      </c>
      <c r="M625" t="s">
        <v>657</v>
      </c>
      <c r="N625" t="s">
        <v>690</v>
      </c>
      <c r="O625" t="s">
        <v>706</v>
      </c>
      <c r="P625" t="s">
        <v>710</v>
      </c>
      <c r="Q625" t="s">
        <v>712</v>
      </c>
      <c r="R625">
        <f t="shared" si="124"/>
        <v>9</v>
      </c>
      <c r="S625" t="s">
        <v>730</v>
      </c>
      <c r="T625" t="s">
        <v>1219</v>
      </c>
      <c r="U625" s="4">
        <v>287.85000000000002</v>
      </c>
      <c r="V625" s="4">
        <f>Table1[[#This Row],[UnitCost]]*(1+WhatIf!$B$3)</f>
        <v>302.24250000000006</v>
      </c>
      <c r="W625" s="4">
        <f t="shared" si="125"/>
        <v>3166.3500000000004</v>
      </c>
      <c r="X625" s="4">
        <f>Table1[[#This Row],[ScenarioRev]]-Table1[[#This Row],[ScenarioUnitCost]]</f>
        <v>5534.0231000000003</v>
      </c>
      <c r="Y625" s="4">
        <v>602.91999999999996</v>
      </c>
      <c r="Z625" s="4">
        <f t="shared" si="126"/>
        <v>5159.7893599999998</v>
      </c>
      <c r="AA625" s="4">
        <f>Table1[[#This Row],[ScenarioQuanity]]*Table1[[#This Row],[UnitPrice]]*(1-Table1[[#This Row],[ScenarioDiscPct]])</f>
        <v>5836.2656000000006</v>
      </c>
      <c r="AB625" s="4">
        <f t="shared" si="127"/>
        <v>1993.4393599999994</v>
      </c>
      <c r="AC625" s="4">
        <f>Table1[[#This Row],[ScenarioRev]] - Table1[[#This Row],[ScenarioCostOfGoods]]</f>
        <v>302.24250000000029</v>
      </c>
      <c r="AD625" s="6">
        <v>0.222</v>
      </c>
      <c r="AE625" s="6">
        <f>MIN(Table1[[#This Row],[DiscountPct]], WhatIf!$B$2)</f>
        <v>0.2</v>
      </c>
      <c r="AF625" s="6">
        <f>IF(Table1[[#This Row],[DiscountPct]]&gt;0.2, 1, 0)</f>
        <v>1</v>
      </c>
      <c r="AG625" s="6" t="str">
        <f t="shared" si="128"/>
        <v>Low</v>
      </c>
      <c r="AH625" s="6">
        <f t="shared" si="129"/>
        <v>0.38634122847216373</v>
      </c>
      <c r="AI625" s="5">
        <v>11</v>
      </c>
      <c r="AJ625" s="6">
        <f>Table1[[#This Row],[Quantity]]*(1+WhatIf!$B$4)</f>
        <v>12.100000000000001</v>
      </c>
    </row>
    <row r="626" spans="1:36" x14ac:dyDescent="0.3">
      <c r="A626" t="s">
        <v>41</v>
      </c>
      <c r="B626" s="3">
        <v>45626</v>
      </c>
      <c r="C626" s="3">
        <v>45656</v>
      </c>
      <c r="D626" s="3">
        <f t="shared" si="118"/>
        <v>45656</v>
      </c>
      <c r="E626" s="4">
        <f t="shared" si="117"/>
        <v>30</v>
      </c>
      <c r="F626" s="4">
        <f t="shared" si="119"/>
        <v>30</v>
      </c>
      <c r="G626" s="4">
        <f>IF(Table1[[#This Row],[CorrectedLeadTimeDays]]&lt;=7, 1, 0)</f>
        <v>0</v>
      </c>
      <c r="H626" s="4" t="str">
        <f t="shared" si="120"/>
        <v>November</v>
      </c>
      <c r="I626" s="4" t="str">
        <f t="shared" si="121"/>
        <v>Q4-2024</v>
      </c>
      <c r="J626" s="4" t="str">
        <f t="shared" si="122"/>
        <v>2023-01</v>
      </c>
      <c r="K626" s="3">
        <f t="shared" si="123"/>
        <v>44936</v>
      </c>
      <c r="L626" t="s">
        <v>649</v>
      </c>
      <c r="M626" t="s">
        <v>657</v>
      </c>
      <c r="N626" t="s">
        <v>673</v>
      </c>
      <c r="O626" t="s">
        <v>704</v>
      </c>
      <c r="P626" t="s">
        <v>709</v>
      </c>
      <c r="Q626" t="s">
        <v>721</v>
      </c>
      <c r="R626">
        <f t="shared" si="124"/>
        <v>22</v>
      </c>
      <c r="S626" t="s">
        <v>728</v>
      </c>
      <c r="T626" t="s">
        <v>760</v>
      </c>
      <c r="U626" s="4">
        <v>117.64</v>
      </c>
      <c r="V626" s="4">
        <f>Table1[[#This Row],[UnitCost]]*(1+WhatIf!$B$3)</f>
        <v>123.52200000000001</v>
      </c>
      <c r="W626" s="4">
        <f t="shared" si="125"/>
        <v>1176.4000000000001</v>
      </c>
      <c r="X626" s="4">
        <f>Table1[[#This Row],[ScenarioRev]]-Table1[[#This Row],[ScenarioUnitCost]]</f>
        <v>1808.848</v>
      </c>
      <c r="Y626" s="4">
        <v>175.67</v>
      </c>
      <c r="Z626" s="4">
        <f t="shared" si="126"/>
        <v>1756.6999999999998</v>
      </c>
      <c r="AA626" s="4">
        <f>Table1[[#This Row],[ScenarioQuanity]]*Table1[[#This Row],[UnitPrice]]*(1-Table1[[#This Row],[ScenarioDiscPct]])</f>
        <v>1932.37</v>
      </c>
      <c r="AB626" s="4">
        <f t="shared" si="127"/>
        <v>580.29999999999973</v>
      </c>
      <c r="AC626" s="4">
        <f>Table1[[#This Row],[ScenarioRev]] - Table1[[#This Row],[ScenarioCostOfGoods]]</f>
        <v>123.52199999999993</v>
      </c>
      <c r="AD626" s="6">
        <v>0</v>
      </c>
      <c r="AE626" s="6">
        <f>MIN(Table1[[#This Row],[DiscountPct]], WhatIf!$B$2)</f>
        <v>0</v>
      </c>
      <c r="AF626" s="6">
        <f>IF(Table1[[#This Row],[DiscountPct]]&gt;0.2, 1, 0)</f>
        <v>0</v>
      </c>
      <c r="AG626" s="6" t="str">
        <f t="shared" si="128"/>
        <v>Low</v>
      </c>
      <c r="AH626" s="6">
        <f t="shared" si="129"/>
        <v>0.33033528775545046</v>
      </c>
      <c r="AI626" s="5">
        <v>10</v>
      </c>
      <c r="AJ626" s="6">
        <f>Table1[[#This Row],[Quantity]]*(1+WhatIf!$B$4)</f>
        <v>11</v>
      </c>
    </row>
    <row r="627" spans="1:36" x14ac:dyDescent="0.3">
      <c r="A627" t="s">
        <v>43</v>
      </c>
      <c r="B627" s="3">
        <v>45030</v>
      </c>
      <c r="C627" s="3">
        <v>45060</v>
      </c>
      <c r="D627" s="3">
        <f t="shared" si="118"/>
        <v>45060</v>
      </c>
      <c r="E627" s="4">
        <f t="shared" si="117"/>
        <v>30</v>
      </c>
      <c r="F627" s="4">
        <f t="shared" si="119"/>
        <v>30</v>
      </c>
      <c r="G627" s="4">
        <f>IF(Table1[[#This Row],[CorrectedLeadTimeDays]]&lt;=7, 1, 0)</f>
        <v>0</v>
      </c>
      <c r="H627" s="4" t="str">
        <f t="shared" si="120"/>
        <v>April</v>
      </c>
      <c r="I627" s="4" t="str">
        <f t="shared" si="121"/>
        <v>Q2-2023</v>
      </c>
      <c r="J627" s="4" t="str">
        <f t="shared" si="122"/>
        <v>2023-01</v>
      </c>
      <c r="K627" s="3">
        <f t="shared" si="123"/>
        <v>44946</v>
      </c>
      <c r="L627" t="s">
        <v>646</v>
      </c>
      <c r="M627" t="s">
        <v>650</v>
      </c>
      <c r="N627" t="s">
        <v>678</v>
      </c>
      <c r="O627" t="s">
        <v>704</v>
      </c>
      <c r="P627" t="s">
        <v>709</v>
      </c>
      <c r="Q627" t="s">
        <v>724</v>
      </c>
      <c r="R627">
        <f t="shared" si="124"/>
        <v>2</v>
      </c>
      <c r="S627" t="s">
        <v>730</v>
      </c>
      <c r="T627" t="s">
        <v>762</v>
      </c>
      <c r="U627" s="4">
        <v>209.25</v>
      </c>
      <c r="V627" s="4">
        <f>Table1[[#This Row],[UnitCost]]*(1+WhatIf!$B$3)</f>
        <v>219.71250000000001</v>
      </c>
      <c r="W627" s="4">
        <f t="shared" si="125"/>
        <v>1883.25</v>
      </c>
      <c r="X627" s="4">
        <f>Table1[[#This Row],[ScenarioRev]]-Table1[[#This Row],[ScenarioUnitCost]]</f>
        <v>4084.8075000000003</v>
      </c>
      <c r="Y627" s="4">
        <v>434.8</v>
      </c>
      <c r="Z627" s="4">
        <f t="shared" si="126"/>
        <v>3913.2000000000003</v>
      </c>
      <c r="AA627" s="4">
        <f>Table1[[#This Row],[ScenarioQuanity]]*Table1[[#This Row],[UnitPrice]]*(1-Table1[[#This Row],[ScenarioDiscPct]])</f>
        <v>4304.5200000000004</v>
      </c>
      <c r="AB627" s="4">
        <f t="shared" si="127"/>
        <v>2029.9500000000003</v>
      </c>
      <c r="AC627" s="4">
        <f>Table1[[#This Row],[ScenarioRev]] - Table1[[#This Row],[ScenarioCostOfGoods]]</f>
        <v>219.71250000000009</v>
      </c>
      <c r="AD627" s="6">
        <v>0</v>
      </c>
      <c r="AE627" s="6">
        <f>MIN(Table1[[#This Row],[DiscountPct]], WhatIf!$B$2)</f>
        <v>0</v>
      </c>
      <c r="AF627" s="6">
        <f>IF(Table1[[#This Row],[DiscountPct]]&gt;0.2, 1, 0)</f>
        <v>0</v>
      </c>
      <c r="AG627" s="6" t="str">
        <f t="shared" si="128"/>
        <v>Low</v>
      </c>
      <c r="AH627" s="6">
        <f t="shared" si="129"/>
        <v>0.51874425022999082</v>
      </c>
      <c r="AI627" s="5">
        <v>9</v>
      </c>
      <c r="AJ627" s="6">
        <f>Table1[[#This Row],[Quantity]]*(1+WhatIf!$B$4)</f>
        <v>9.9</v>
      </c>
    </row>
    <row r="628" spans="1:36" x14ac:dyDescent="0.3">
      <c r="A628" t="s">
        <v>644</v>
      </c>
      <c r="B628" s="3">
        <v>45249</v>
      </c>
      <c r="C628" s="3">
        <v>45279</v>
      </c>
      <c r="D628" s="3">
        <f t="shared" si="118"/>
        <v>45279</v>
      </c>
      <c r="E628" s="4">
        <f t="shared" si="117"/>
        <v>30</v>
      </c>
      <c r="F628" s="4">
        <f t="shared" si="119"/>
        <v>30</v>
      </c>
      <c r="G628" s="4">
        <f>IF(Table1[[#This Row],[CorrectedLeadTimeDays]]&lt;=7, 1, 0)</f>
        <v>0</v>
      </c>
      <c r="H628" s="4" t="str">
        <f t="shared" si="120"/>
        <v>November</v>
      </c>
      <c r="I628" s="4" t="str">
        <f t="shared" si="121"/>
        <v>Q4-2023</v>
      </c>
      <c r="J628" s="4" t="str">
        <f t="shared" si="122"/>
        <v>2023-03</v>
      </c>
      <c r="K628" s="3">
        <f t="shared" si="123"/>
        <v>44988</v>
      </c>
      <c r="L628" t="s">
        <v>647</v>
      </c>
      <c r="M628" t="s">
        <v>652</v>
      </c>
      <c r="N628" t="s">
        <v>694</v>
      </c>
      <c r="O628" t="s">
        <v>704</v>
      </c>
      <c r="P628" t="s">
        <v>707</v>
      </c>
      <c r="R628">
        <f t="shared" si="124"/>
        <v>8</v>
      </c>
      <c r="S628" t="s">
        <v>730</v>
      </c>
      <c r="T628" t="s">
        <v>1362</v>
      </c>
      <c r="U628" s="4">
        <v>807.11</v>
      </c>
      <c r="V628" s="4">
        <f>Table1[[#This Row],[UnitCost]]*(1+WhatIf!$B$3)</f>
        <v>847.46550000000002</v>
      </c>
      <c r="W628" s="4">
        <f t="shared" si="125"/>
        <v>6456.88</v>
      </c>
      <c r="X628" s="4">
        <f>Table1[[#This Row],[ScenarioRev]]-Table1[[#This Row],[ScenarioUnitCost]]</f>
        <v>13198.860948</v>
      </c>
      <c r="Y628" s="4">
        <v>1853.86</v>
      </c>
      <c r="Z628" s="4">
        <f t="shared" si="126"/>
        <v>12769.38768</v>
      </c>
      <c r="AA628" s="4">
        <f>Table1[[#This Row],[ScenarioQuanity]]*Table1[[#This Row],[UnitPrice]]*(1-Table1[[#This Row],[ScenarioDiscPct]])</f>
        <v>14046.326448</v>
      </c>
      <c r="AB628" s="4">
        <f t="shared" si="127"/>
        <v>6312.5076799999997</v>
      </c>
      <c r="AC628" s="4">
        <f>Table1[[#This Row],[ScenarioRev]] - Table1[[#This Row],[ScenarioCostOfGoods]]</f>
        <v>847.46550000000025</v>
      </c>
      <c r="AD628" s="6">
        <v>0.13900000000000001</v>
      </c>
      <c r="AE628" s="6">
        <f>MIN(Table1[[#This Row],[DiscountPct]], WhatIf!$B$2)</f>
        <v>0.13900000000000001</v>
      </c>
      <c r="AF628" s="6">
        <f>IF(Table1[[#This Row],[DiscountPct]]&gt;0.2, 1, 0)</f>
        <v>0</v>
      </c>
      <c r="AG628" s="6" t="str">
        <f t="shared" si="128"/>
        <v>High</v>
      </c>
      <c r="AH628" s="6">
        <f t="shared" si="129"/>
        <v>0.49434693645388639</v>
      </c>
      <c r="AI628" s="5">
        <v>8</v>
      </c>
      <c r="AJ628" s="6">
        <f>Table1[[#This Row],[Quantity]]*(1+WhatIf!$B$4)</f>
        <v>8.8000000000000007</v>
      </c>
    </row>
    <row r="629" spans="1:36" x14ac:dyDescent="0.3">
      <c r="A629" t="s">
        <v>534</v>
      </c>
      <c r="B629" s="3">
        <v>45482</v>
      </c>
      <c r="C629" s="3">
        <v>45512</v>
      </c>
      <c r="D629" s="3">
        <f t="shared" si="118"/>
        <v>45512</v>
      </c>
      <c r="E629" s="4">
        <f t="shared" si="117"/>
        <v>30</v>
      </c>
      <c r="F629" s="4">
        <f t="shared" si="119"/>
        <v>30</v>
      </c>
      <c r="G629" s="4">
        <f>IF(Table1[[#This Row],[CorrectedLeadTimeDays]]&lt;=7, 1, 0)</f>
        <v>0</v>
      </c>
      <c r="H629" s="4" t="str">
        <f t="shared" si="120"/>
        <v>July</v>
      </c>
      <c r="I629" s="4" t="str">
        <f t="shared" si="121"/>
        <v>Q3-2024</v>
      </c>
      <c r="J629" s="4" t="str">
        <f t="shared" si="122"/>
        <v>2023-01</v>
      </c>
      <c r="K629" s="3">
        <f t="shared" si="123"/>
        <v>44936</v>
      </c>
      <c r="L629" t="s">
        <v>649</v>
      </c>
      <c r="M629" t="s">
        <v>657</v>
      </c>
      <c r="N629" t="s">
        <v>673</v>
      </c>
      <c r="O629" t="s">
        <v>701</v>
      </c>
      <c r="P629" t="s">
        <v>711</v>
      </c>
      <c r="Q629" t="s">
        <v>713</v>
      </c>
      <c r="R629">
        <f t="shared" si="124"/>
        <v>17</v>
      </c>
      <c r="S629" t="s">
        <v>727</v>
      </c>
      <c r="T629" t="s">
        <v>1253</v>
      </c>
      <c r="U629" s="4">
        <v>1062.3800000000001</v>
      </c>
      <c r="V629" s="4">
        <f>Table1[[#This Row],[UnitCost]]*(1+WhatIf!$B$3)</f>
        <v>1115.4990000000003</v>
      </c>
      <c r="W629" s="4">
        <f t="shared" si="125"/>
        <v>6374.2800000000007</v>
      </c>
      <c r="X629" s="4">
        <f>Table1[[#This Row],[ScenarioRev]]-Table1[[#This Row],[ScenarioUnitCost]]</f>
        <v>7023.9325200000003</v>
      </c>
      <c r="Y629" s="4">
        <v>1503.96</v>
      </c>
      <c r="Z629" s="4">
        <f t="shared" si="126"/>
        <v>7399.4832000000006</v>
      </c>
      <c r="AA629" s="4">
        <f>Table1[[#This Row],[ScenarioQuanity]]*Table1[[#This Row],[UnitPrice]]*(1-Table1[[#This Row],[ScenarioDiscPct]])</f>
        <v>8139.431520000001</v>
      </c>
      <c r="AB629" s="4">
        <f t="shared" si="127"/>
        <v>1025.2031999999999</v>
      </c>
      <c r="AC629" s="4">
        <f>Table1[[#This Row],[ScenarioRev]] - Table1[[#This Row],[ScenarioCostOfGoods]]</f>
        <v>1115.4990000000007</v>
      </c>
      <c r="AD629" s="6">
        <v>0.18</v>
      </c>
      <c r="AE629" s="6">
        <f>MIN(Table1[[#This Row],[DiscountPct]], WhatIf!$B$2)</f>
        <v>0.18</v>
      </c>
      <c r="AF629" s="6">
        <f>IF(Table1[[#This Row],[DiscountPct]]&gt;0.2, 1, 0)</f>
        <v>0</v>
      </c>
      <c r="AG629" s="6" t="str">
        <f t="shared" si="128"/>
        <v>High</v>
      </c>
      <c r="AH629" s="6">
        <f t="shared" si="129"/>
        <v>0.13855064905073369</v>
      </c>
      <c r="AI629" s="5">
        <v>6</v>
      </c>
      <c r="AJ629" s="6">
        <f>Table1[[#This Row],[Quantity]]*(1+WhatIf!$B$4)</f>
        <v>6.6000000000000005</v>
      </c>
    </row>
    <row r="630" spans="1:36" x14ac:dyDescent="0.3">
      <c r="A630" t="s">
        <v>197</v>
      </c>
      <c r="B630" s="3">
        <v>45690</v>
      </c>
      <c r="C630" s="3">
        <v>45720</v>
      </c>
      <c r="D630" s="3">
        <f t="shared" si="118"/>
        <v>45720</v>
      </c>
      <c r="E630" s="4">
        <f t="shared" si="117"/>
        <v>30</v>
      </c>
      <c r="F630" s="4">
        <f t="shared" si="119"/>
        <v>30</v>
      </c>
      <c r="G630" s="4">
        <f>IF(Table1[[#This Row],[CorrectedLeadTimeDays]]&lt;=7, 1, 0)</f>
        <v>0</v>
      </c>
      <c r="H630" s="4" t="str">
        <f t="shared" si="120"/>
        <v>February</v>
      </c>
      <c r="I630" s="4" t="str">
        <f t="shared" si="121"/>
        <v>Q1-2025</v>
      </c>
      <c r="J630" s="4" t="str">
        <f t="shared" si="122"/>
        <v>2023-03</v>
      </c>
      <c r="K630" s="3">
        <f t="shared" si="123"/>
        <v>44988</v>
      </c>
      <c r="L630" t="s">
        <v>647</v>
      </c>
      <c r="M630" t="s">
        <v>652</v>
      </c>
      <c r="N630" t="s">
        <v>666</v>
      </c>
      <c r="O630" t="s">
        <v>702</v>
      </c>
      <c r="P630" t="s">
        <v>710</v>
      </c>
      <c r="Q630" t="s">
        <v>716</v>
      </c>
      <c r="R630">
        <f t="shared" si="124"/>
        <v>22</v>
      </c>
      <c r="S630" t="s">
        <v>733</v>
      </c>
      <c r="T630" t="s">
        <v>916</v>
      </c>
      <c r="U630" s="4">
        <v>766.59</v>
      </c>
      <c r="V630" s="4">
        <f>Table1[[#This Row],[UnitCost]]*(1+WhatIf!$B$3)</f>
        <v>804.91950000000008</v>
      </c>
      <c r="W630" s="4">
        <f t="shared" si="125"/>
        <v>3832.9500000000003</v>
      </c>
      <c r="X630" s="4">
        <f>Table1[[#This Row],[ScenarioRev]]-Table1[[#This Row],[ScenarioUnitCost]]</f>
        <v>7653.4821000000011</v>
      </c>
      <c r="Y630" s="4">
        <v>1912.8</v>
      </c>
      <c r="Z630" s="4">
        <f t="shared" si="126"/>
        <v>7689.4560000000001</v>
      </c>
      <c r="AA630" s="4">
        <f>Table1[[#This Row],[ScenarioQuanity]]*Table1[[#This Row],[UnitPrice]]*(1-Table1[[#This Row],[ScenarioDiscPct]])</f>
        <v>8458.4016000000011</v>
      </c>
      <c r="AB630" s="4">
        <f t="shared" si="127"/>
        <v>3856.5059999999999</v>
      </c>
      <c r="AC630" s="4">
        <f>Table1[[#This Row],[ScenarioRev]] - Table1[[#This Row],[ScenarioCostOfGoods]]</f>
        <v>804.91949999999997</v>
      </c>
      <c r="AD630" s="6">
        <v>0.19600000000000001</v>
      </c>
      <c r="AE630" s="6">
        <f>MIN(Table1[[#This Row],[DiscountPct]], WhatIf!$B$2)</f>
        <v>0.19600000000000001</v>
      </c>
      <c r="AF630" s="6">
        <f>IF(Table1[[#This Row],[DiscountPct]]&gt;0.2, 1, 0)</f>
        <v>0</v>
      </c>
      <c r="AG630" s="6" t="str">
        <f t="shared" si="128"/>
        <v>High</v>
      </c>
      <c r="AH630" s="6">
        <f t="shared" si="129"/>
        <v>0.50153170783472845</v>
      </c>
      <c r="AI630" s="5">
        <v>5</v>
      </c>
      <c r="AJ630" s="6">
        <f>Table1[[#This Row],[Quantity]]*(1+WhatIf!$B$4)</f>
        <v>5.5</v>
      </c>
    </row>
    <row r="631" spans="1:36" x14ac:dyDescent="0.3">
      <c r="A631" t="s">
        <v>348</v>
      </c>
      <c r="B631" s="3">
        <v>45774</v>
      </c>
      <c r="C631" s="3">
        <v>45804</v>
      </c>
      <c r="D631" s="3">
        <f t="shared" si="118"/>
        <v>45804</v>
      </c>
      <c r="E631" s="4">
        <f t="shared" si="117"/>
        <v>30</v>
      </c>
      <c r="F631" s="4">
        <f t="shared" si="119"/>
        <v>30</v>
      </c>
      <c r="G631" s="4">
        <f>IF(Table1[[#This Row],[CorrectedLeadTimeDays]]&lt;=7, 1, 0)</f>
        <v>0</v>
      </c>
      <c r="H631" s="4" t="str">
        <f t="shared" si="120"/>
        <v>April</v>
      </c>
      <c r="I631" s="4" t="str">
        <f t="shared" si="121"/>
        <v>Q2-2025</v>
      </c>
      <c r="J631" s="4" t="str">
        <f t="shared" si="122"/>
        <v>2023-01</v>
      </c>
      <c r="K631" s="3">
        <f t="shared" si="123"/>
        <v>44955</v>
      </c>
      <c r="L631" t="s">
        <v>647</v>
      </c>
      <c r="M631" t="s">
        <v>654</v>
      </c>
      <c r="O631" t="s">
        <v>706</v>
      </c>
      <c r="P631" t="s">
        <v>709</v>
      </c>
      <c r="Q631" t="s">
        <v>722</v>
      </c>
      <c r="R631">
        <f t="shared" si="124"/>
        <v>26</v>
      </c>
      <c r="S631" t="s">
        <v>730</v>
      </c>
      <c r="T631" t="s">
        <v>1068</v>
      </c>
      <c r="U631" s="4">
        <v>481.32</v>
      </c>
      <c r="V631" s="4">
        <f>Table1[[#This Row],[UnitCost]]*(1+WhatIf!$B$3)</f>
        <v>505.38600000000002</v>
      </c>
      <c r="W631" s="4">
        <f t="shared" si="125"/>
        <v>2406.6</v>
      </c>
      <c r="X631" s="4">
        <f>Table1[[#This Row],[ScenarioRev]]-Table1[[#This Row],[ScenarioUnitCost]]</f>
        <v>4836.6069749999988</v>
      </c>
      <c r="Y631" s="4">
        <v>1135.99</v>
      </c>
      <c r="Z631" s="4">
        <f t="shared" si="126"/>
        <v>4856.35725</v>
      </c>
      <c r="AA631" s="4">
        <f>Table1[[#This Row],[ScenarioQuanity]]*Table1[[#This Row],[UnitPrice]]*(1-Table1[[#This Row],[ScenarioDiscPct]])</f>
        <v>5341.9929749999992</v>
      </c>
      <c r="AB631" s="4">
        <f t="shared" si="127"/>
        <v>2449.7572500000001</v>
      </c>
      <c r="AC631" s="4">
        <f>Table1[[#This Row],[ScenarioRev]] - Table1[[#This Row],[ScenarioCostOfGoods]]</f>
        <v>505.38600000000042</v>
      </c>
      <c r="AD631" s="6">
        <v>0.14499999999999999</v>
      </c>
      <c r="AE631" s="6">
        <f>MIN(Table1[[#This Row],[DiscountPct]], WhatIf!$B$2)</f>
        <v>0.14499999999999999</v>
      </c>
      <c r="AF631" s="6">
        <f>IF(Table1[[#This Row],[DiscountPct]]&gt;0.2, 1, 0)</f>
        <v>0</v>
      </c>
      <c r="AG631" s="6" t="str">
        <f t="shared" si="128"/>
        <v>High</v>
      </c>
      <c r="AH631" s="6">
        <f t="shared" si="129"/>
        <v>0.50444337677175621</v>
      </c>
      <c r="AI631" s="5">
        <v>5</v>
      </c>
      <c r="AJ631" s="6">
        <f>Table1[[#This Row],[Quantity]]*(1+WhatIf!$B$4)</f>
        <v>5.5</v>
      </c>
    </row>
    <row r="632" spans="1:36" x14ac:dyDescent="0.3">
      <c r="A632" t="s">
        <v>184</v>
      </c>
      <c r="B632" s="3">
        <v>45574</v>
      </c>
      <c r="C632" s="3">
        <v>45604</v>
      </c>
      <c r="D632" s="3">
        <f t="shared" si="118"/>
        <v>45604</v>
      </c>
      <c r="E632" s="4">
        <f t="shared" si="117"/>
        <v>30</v>
      </c>
      <c r="F632" s="4">
        <f t="shared" si="119"/>
        <v>30</v>
      </c>
      <c r="G632" s="4">
        <f>IF(Table1[[#This Row],[CorrectedLeadTimeDays]]&lt;=7, 1, 0)</f>
        <v>0</v>
      </c>
      <c r="H632" s="4" t="str">
        <f t="shared" si="120"/>
        <v>October</v>
      </c>
      <c r="I632" s="4" t="str">
        <f t="shared" si="121"/>
        <v>Q4-2024</v>
      </c>
      <c r="J632" s="4" t="str">
        <f t="shared" si="122"/>
        <v>2023-01</v>
      </c>
      <c r="K632" s="3">
        <f t="shared" si="123"/>
        <v>44945</v>
      </c>
      <c r="L632" t="s">
        <v>649</v>
      </c>
      <c r="M632" t="s">
        <v>658</v>
      </c>
      <c r="N632" t="s">
        <v>693</v>
      </c>
      <c r="O632" t="s">
        <v>705</v>
      </c>
      <c r="P632" t="s">
        <v>710</v>
      </c>
      <c r="Q632" t="s">
        <v>713</v>
      </c>
      <c r="R632">
        <f t="shared" si="124"/>
        <v>20</v>
      </c>
      <c r="S632" t="s">
        <v>727</v>
      </c>
      <c r="T632" t="s">
        <v>903</v>
      </c>
      <c r="U632" s="4">
        <v>343.85</v>
      </c>
      <c r="V632" s="4">
        <f>Table1[[#This Row],[UnitCost]]*(1+WhatIf!$B$3)</f>
        <v>361.04250000000002</v>
      </c>
      <c r="W632" s="4">
        <f t="shared" si="125"/>
        <v>1719.25</v>
      </c>
      <c r="X632" s="4">
        <f>Table1[[#This Row],[ScenarioRev]]-Table1[[#This Row],[ScenarioUnitCost]]</f>
        <v>2186.8459199999998</v>
      </c>
      <c r="Y632" s="4">
        <v>538.04</v>
      </c>
      <c r="Z632" s="4">
        <f t="shared" si="126"/>
        <v>2316.2621999999997</v>
      </c>
      <c r="AA632" s="4">
        <f>Table1[[#This Row],[ScenarioQuanity]]*Table1[[#This Row],[UnitPrice]]*(1-Table1[[#This Row],[ScenarioDiscPct]])</f>
        <v>2547.8884199999998</v>
      </c>
      <c r="AB632" s="4">
        <f t="shared" si="127"/>
        <v>597.01219999999967</v>
      </c>
      <c r="AC632" s="4">
        <f>Table1[[#This Row],[ScenarioRev]] - Table1[[#This Row],[ScenarioCostOfGoods]]</f>
        <v>361.04250000000002</v>
      </c>
      <c r="AD632" s="6">
        <v>0.13900000000000001</v>
      </c>
      <c r="AE632" s="6">
        <f>MIN(Table1[[#This Row],[DiscountPct]], WhatIf!$B$2)</f>
        <v>0.13900000000000001</v>
      </c>
      <c r="AF632" s="6">
        <f>IF(Table1[[#This Row],[DiscountPct]]&gt;0.2, 1, 0)</f>
        <v>0</v>
      </c>
      <c r="AG632" s="6" t="str">
        <f t="shared" si="128"/>
        <v>Low</v>
      </c>
      <c r="AH632" s="6">
        <f t="shared" si="129"/>
        <v>0.25774810813732563</v>
      </c>
      <c r="AI632" s="5">
        <v>5</v>
      </c>
      <c r="AJ632" s="6">
        <f>Table1[[#This Row],[Quantity]]*(1+WhatIf!$B$4)</f>
        <v>5.5</v>
      </c>
    </row>
    <row r="633" spans="1:36" x14ac:dyDescent="0.3">
      <c r="A633" t="s">
        <v>94</v>
      </c>
      <c r="B633" s="3">
        <v>45617</v>
      </c>
      <c r="C633" s="3">
        <v>45647</v>
      </c>
      <c r="D633" s="3">
        <f t="shared" si="118"/>
        <v>45647</v>
      </c>
      <c r="E633" s="4">
        <f t="shared" si="117"/>
        <v>30</v>
      </c>
      <c r="F633" s="4">
        <f t="shared" si="119"/>
        <v>30</v>
      </c>
      <c r="G633" s="4">
        <f>IF(Table1[[#This Row],[CorrectedLeadTimeDays]]&lt;=7, 1, 0)</f>
        <v>0</v>
      </c>
      <c r="H633" s="4" t="str">
        <f t="shared" si="120"/>
        <v>November</v>
      </c>
      <c r="I633" s="4" t="str">
        <f t="shared" si="121"/>
        <v>Q4-2024</v>
      </c>
      <c r="J633" s="4" t="str">
        <f t="shared" si="122"/>
        <v>2023-01</v>
      </c>
      <c r="K633" s="3">
        <f t="shared" si="123"/>
        <v>44936</v>
      </c>
      <c r="L633" t="s">
        <v>649</v>
      </c>
      <c r="M633" t="s">
        <v>657</v>
      </c>
      <c r="N633" t="s">
        <v>673</v>
      </c>
      <c r="O633" t="s">
        <v>705</v>
      </c>
      <c r="P633" t="s">
        <v>711</v>
      </c>
      <c r="Q633" t="s">
        <v>714</v>
      </c>
      <c r="R633">
        <f t="shared" si="124"/>
        <v>22</v>
      </c>
      <c r="S633" t="s">
        <v>732</v>
      </c>
      <c r="T633" t="s">
        <v>813</v>
      </c>
      <c r="U633" s="4">
        <v>1122.68</v>
      </c>
      <c r="V633" s="4">
        <f>Table1[[#This Row],[UnitCost]]*(1+WhatIf!$B$3)</f>
        <v>1178.8140000000001</v>
      </c>
      <c r="W633" s="4">
        <f t="shared" si="125"/>
        <v>3368.04</v>
      </c>
      <c r="X633" s="4">
        <f>Table1[[#This Row],[ScenarioRev]]-Table1[[#This Row],[ScenarioUnitCost]]</f>
        <v>4186.0377780000008</v>
      </c>
      <c r="Y633" s="4">
        <v>1997.19</v>
      </c>
      <c r="Z633" s="4">
        <f t="shared" si="126"/>
        <v>4877.1379800000004</v>
      </c>
      <c r="AA633" s="4">
        <f>Table1[[#This Row],[ScenarioQuanity]]*Table1[[#This Row],[UnitPrice]]*(1-Table1[[#This Row],[ScenarioDiscPct]])</f>
        <v>5364.8517780000011</v>
      </c>
      <c r="AB633" s="4">
        <f t="shared" si="127"/>
        <v>1509.0979800000005</v>
      </c>
      <c r="AC633" s="4">
        <f>Table1[[#This Row],[ScenarioRev]] - Table1[[#This Row],[ScenarioCostOfGoods]]</f>
        <v>1178.8140000000003</v>
      </c>
      <c r="AD633" s="6">
        <v>0.186</v>
      </c>
      <c r="AE633" s="6">
        <f>MIN(Table1[[#This Row],[DiscountPct]], WhatIf!$B$2)</f>
        <v>0.186</v>
      </c>
      <c r="AF633" s="6">
        <f>IF(Table1[[#This Row],[DiscountPct]]&gt;0.2, 1, 0)</f>
        <v>0</v>
      </c>
      <c r="AG633" s="6" t="str">
        <f t="shared" si="128"/>
        <v>High</v>
      </c>
      <c r="AH633" s="6">
        <f t="shared" si="129"/>
        <v>0.30942285951073306</v>
      </c>
      <c r="AI633" s="5">
        <v>3</v>
      </c>
      <c r="AJ633" s="6">
        <f>Table1[[#This Row],[Quantity]]*(1+WhatIf!$B$4)</f>
        <v>3.3000000000000003</v>
      </c>
    </row>
    <row r="634" spans="1:36" x14ac:dyDescent="0.3">
      <c r="A634" s="15"/>
      <c r="E634" s="4"/>
      <c r="F634" s="4"/>
      <c r="G634" s="4"/>
      <c r="H634" s="4"/>
      <c r="I634" s="4"/>
      <c r="J634" s="4"/>
      <c r="Z634" s="16"/>
      <c r="AB634" s="16"/>
      <c r="AJ634" s="6"/>
    </row>
    <row r="635" spans="1:36" x14ac:dyDescent="0.3">
      <c r="F635" s="4"/>
      <c r="G635" s="4"/>
      <c r="H635" s="4"/>
      <c r="I635" s="4"/>
      <c r="J635" s="4"/>
    </row>
    <row r="1048576" spans="5:5" x14ac:dyDescent="0.3">
      <c r="E1048576" s="3">
        <f>AVERAGE(E2:E1048575)</f>
        <v>14.262658227848101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43" workbookViewId="0">
      <selection activeCell="A53" sqref="A53"/>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3" spans="1:1" x14ac:dyDescent="0.3">
      <c r="A23" t="s">
        <v>1382</v>
      </c>
    </row>
    <row r="24" spans="1:1" x14ac:dyDescent="0.3">
      <c r="A24" t="s">
        <v>1383</v>
      </c>
    </row>
    <row r="25" spans="1:1" x14ac:dyDescent="0.3">
      <c r="A25" t="s">
        <v>1384</v>
      </c>
    </row>
    <row r="26" spans="1:1" x14ac:dyDescent="0.3">
      <c r="A26" t="s">
        <v>1385</v>
      </c>
    </row>
    <row r="27" spans="1:1" x14ac:dyDescent="0.3">
      <c r="A27" t="s">
        <v>1386</v>
      </c>
    </row>
    <row r="29" spans="1:1" x14ac:dyDescent="0.3">
      <c r="A29" t="s">
        <v>1387</v>
      </c>
    </row>
    <row r="30" spans="1:1" x14ac:dyDescent="0.3">
      <c r="A30" t="s">
        <v>1388</v>
      </c>
    </row>
    <row r="31" spans="1:1" x14ac:dyDescent="0.3">
      <c r="A31" t="s">
        <v>1389</v>
      </c>
    </row>
    <row r="32" spans="1:1" x14ac:dyDescent="0.3">
      <c r="A32" t="s">
        <v>1390</v>
      </c>
    </row>
    <row r="33" spans="1:1" x14ac:dyDescent="0.3">
      <c r="A33" t="s">
        <v>1391</v>
      </c>
    </row>
    <row r="34" spans="1:1" x14ac:dyDescent="0.3">
      <c r="A34" t="s">
        <v>1392</v>
      </c>
    </row>
    <row r="35" spans="1:1" x14ac:dyDescent="0.3">
      <c r="A35" t="s">
        <v>1393</v>
      </c>
    </row>
    <row r="36" spans="1:1" x14ac:dyDescent="0.3">
      <c r="A36" t="s">
        <v>1394</v>
      </c>
    </row>
    <row r="37" spans="1:1" x14ac:dyDescent="0.3">
      <c r="A37" t="s">
        <v>1395</v>
      </c>
    </row>
    <row r="38" spans="1:1" x14ac:dyDescent="0.3">
      <c r="A38" t="s">
        <v>1396</v>
      </c>
    </row>
    <row r="39" spans="1:1" x14ac:dyDescent="0.3">
      <c r="A39" t="s">
        <v>1397</v>
      </c>
    </row>
    <row r="40" spans="1:1" x14ac:dyDescent="0.3">
      <c r="A40" t="s">
        <v>1398</v>
      </c>
    </row>
    <row r="41" spans="1:1" x14ac:dyDescent="0.3">
      <c r="A41" t="s">
        <v>1399</v>
      </c>
    </row>
    <row r="43" spans="1:1" x14ac:dyDescent="0.3">
      <c r="A43" t="s">
        <v>1400</v>
      </c>
    </row>
    <row r="44" spans="1:1" x14ac:dyDescent="0.3">
      <c r="A44" t="s">
        <v>1401</v>
      </c>
    </row>
    <row r="45" spans="1:1" x14ac:dyDescent="0.3">
      <c r="A45" t="s">
        <v>1402</v>
      </c>
    </row>
    <row r="46" spans="1:1" x14ac:dyDescent="0.3">
      <c r="A46" t="s">
        <v>1403</v>
      </c>
    </row>
    <row r="47" spans="1:1" x14ac:dyDescent="0.3">
      <c r="A47" t="s">
        <v>1404</v>
      </c>
    </row>
    <row r="48" spans="1:1" x14ac:dyDescent="0.3">
      <c r="A48" t="s">
        <v>1405</v>
      </c>
    </row>
    <row r="50" spans="1:1" x14ac:dyDescent="0.3">
      <c r="A50" t="s">
        <v>1406</v>
      </c>
    </row>
    <row r="51" spans="1:1" x14ac:dyDescent="0.3">
      <c r="A51" t="s">
        <v>1407</v>
      </c>
    </row>
    <row r="52" spans="1:1" x14ac:dyDescent="0.3">
      <c r="A52" t="s">
        <v>1408</v>
      </c>
    </row>
    <row r="53" spans="1:1" x14ac:dyDescent="0.3">
      <c r="A53" t="s">
        <v>1409</v>
      </c>
    </row>
    <row r="54" spans="1:1" x14ac:dyDescent="0.3">
      <c r="A54" t="s">
        <v>1410</v>
      </c>
    </row>
    <row r="55" spans="1:1" x14ac:dyDescent="0.3">
      <c r="A55" t="s">
        <v>1411</v>
      </c>
    </row>
    <row r="56" spans="1:1" x14ac:dyDescent="0.3">
      <c r="A56" t="s">
        <v>1412</v>
      </c>
    </row>
    <row r="57" spans="1:1" x14ac:dyDescent="0.3">
      <c r="A57" t="s">
        <v>1413</v>
      </c>
    </row>
    <row r="58" spans="1:1" x14ac:dyDescent="0.3">
      <c r="A58" t="s">
        <v>1414</v>
      </c>
    </row>
    <row r="59" spans="1:1" x14ac:dyDescent="0.3">
      <c r="A59" t="s">
        <v>1415</v>
      </c>
    </row>
    <row r="61" spans="1:1" x14ac:dyDescent="0.3">
      <c r="A61" t="s">
        <v>1416</v>
      </c>
    </row>
    <row r="62" spans="1:1" x14ac:dyDescent="0.3">
      <c r="A62" t="s">
        <v>1417</v>
      </c>
    </row>
    <row r="64" spans="1:1" x14ac:dyDescent="0.3">
      <c r="A64" t="s">
        <v>1418</v>
      </c>
    </row>
    <row r="65" spans="1:1" x14ac:dyDescent="0.3">
      <c r="A65" t="s">
        <v>1419</v>
      </c>
    </row>
    <row r="66" spans="1:1" x14ac:dyDescent="0.3">
      <c r="A66" t="s">
        <v>1420</v>
      </c>
    </row>
    <row r="67" spans="1:1" x14ac:dyDescent="0.3">
      <c r="A67" t="s">
        <v>1421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3582-AF16-410D-9B13-B94B26C77821}">
  <dimension ref="A1:A10"/>
  <sheetViews>
    <sheetView workbookViewId="0">
      <selection activeCell="A11" sqref="A11"/>
    </sheetView>
  </sheetViews>
  <sheetFormatPr defaultRowHeight="14.4" x14ac:dyDescent="0.3"/>
  <sheetData>
    <row r="1" spans="1:1" x14ac:dyDescent="0.3">
      <c r="A1" t="s">
        <v>1422</v>
      </c>
    </row>
    <row r="2" spans="1:1" x14ac:dyDescent="0.3">
      <c r="A2" t="s">
        <v>1423</v>
      </c>
    </row>
    <row r="3" spans="1:1" x14ac:dyDescent="0.3">
      <c r="A3" t="s">
        <v>1424</v>
      </c>
    </row>
    <row r="4" spans="1:1" x14ac:dyDescent="0.3">
      <c r="A4" t="s">
        <v>1425</v>
      </c>
    </row>
    <row r="5" spans="1:1" x14ac:dyDescent="0.3">
      <c r="A5" t="s">
        <v>1426</v>
      </c>
    </row>
    <row r="6" spans="1:1" x14ac:dyDescent="0.3">
      <c r="A6" t="s">
        <v>1427</v>
      </c>
    </row>
    <row r="7" spans="1:1" x14ac:dyDescent="0.3">
      <c r="A7" t="s">
        <v>1438</v>
      </c>
    </row>
    <row r="8" spans="1:1" x14ac:dyDescent="0.3">
      <c r="A8" t="s">
        <v>1439</v>
      </c>
    </row>
    <row r="9" spans="1:1" x14ac:dyDescent="0.3">
      <c r="A9" t="s">
        <v>1440</v>
      </c>
    </row>
    <row r="10" spans="1:1" x14ac:dyDescent="0.3">
      <c r="A10" t="s">
        <v>1441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2EFE-8C6D-4FFF-8D64-9E591B6FF117}">
  <dimension ref="A3:AI19"/>
  <sheetViews>
    <sheetView workbookViewId="0">
      <selection activeCell="A18" sqref="A18"/>
    </sheetView>
  </sheetViews>
  <sheetFormatPr defaultRowHeight="14.4" x14ac:dyDescent="0.3"/>
  <cols>
    <col min="1" max="1" width="19.5546875" bestFit="1" customWidth="1"/>
    <col min="2" max="2" width="15.5546875" bestFit="1" customWidth="1"/>
    <col min="3" max="33" width="9.5546875" bestFit="1" customWidth="1"/>
    <col min="34" max="34" width="8.5546875" bestFit="1" customWidth="1"/>
    <col min="35" max="35" width="11.5546875" bestFit="1" customWidth="1"/>
  </cols>
  <sheetData>
    <row r="3" spans="1:35" x14ac:dyDescent="0.3">
      <c r="A3" s="12" t="s">
        <v>1450</v>
      </c>
      <c r="B3" s="12" t="s">
        <v>1449</v>
      </c>
    </row>
    <row r="4" spans="1:35" x14ac:dyDescent="0.3">
      <c r="A4" s="12" t="s">
        <v>1445</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1446</v>
      </c>
    </row>
    <row r="5" spans="1:35" x14ac:dyDescent="0.3">
      <c r="A5" s="13" t="s">
        <v>1447</v>
      </c>
      <c r="B5" s="4">
        <v>332830.44936999999</v>
      </c>
      <c r="C5" s="4">
        <v>337910.78063999995</v>
      </c>
      <c r="D5" s="4">
        <v>369512.58215999999</v>
      </c>
      <c r="E5" s="4">
        <v>447670.14582999994</v>
      </c>
      <c r="F5" s="4">
        <v>216540.34228000001</v>
      </c>
      <c r="G5" s="4">
        <v>462306.82647000003</v>
      </c>
      <c r="H5" s="4">
        <v>293599.39451000001</v>
      </c>
      <c r="I5" s="4">
        <v>288023.35358999996</v>
      </c>
      <c r="J5" s="4">
        <v>202853.33165000001</v>
      </c>
      <c r="K5" s="4">
        <v>152839.14069</v>
      </c>
      <c r="L5" s="4">
        <v>198000.54338999998</v>
      </c>
      <c r="M5" s="4">
        <v>291876.21099999995</v>
      </c>
      <c r="N5" s="4">
        <v>304758.52931999997</v>
      </c>
      <c r="O5" s="4">
        <v>306263.25543999998</v>
      </c>
      <c r="P5" s="4">
        <v>340216.74401999998</v>
      </c>
      <c r="Q5" s="4">
        <v>325426.46561000001</v>
      </c>
      <c r="R5" s="4">
        <v>455472.20691999997</v>
      </c>
      <c r="S5" s="4">
        <v>375344.27000999998</v>
      </c>
      <c r="T5" s="4">
        <v>307996.63308</v>
      </c>
      <c r="U5" s="4">
        <v>362547.49183999997</v>
      </c>
      <c r="V5" s="4">
        <v>290176.59899000003</v>
      </c>
      <c r="W5" s="4">
        <v>352571.83668000001</v>
      </c>
      <c r="X5" s="4">
        <v>333593.4310000001</v>
      </c>
      <c r="Y5" s="4">
        <v>302280.03100000002</v>
      </c>
      <c r="Z5" s="4">
        <v>307423.13066000002</v>
      </c>
      <c r="AA5" s="4">
        <v>95964.41247000001</v>
      </c>
      <c r="AB5" s="4">
        <v>328395.94846999994</v>
      </c>
      <c r="AC5" s="4">
        <v>236619.76042999999</v>
      </c>
      <c r="AD5" s="4">
        <v>282712.73376999993</v>
      </c>
      <c r="AE5" s="4">
        <v>463226.64392</v>
      </c>
      <c r="AF5" s="4">
        <v>440339.63287000003</v>
      </c>
      <c r="AG5" s="4">
        <v>243020.90048000001</v>
      </c>
      <c r="AH5" s="4">
        <v>25783.06524</v>
      </c>
      <c r="AI5" s="4">
        <v>10074096.823799999</v>
      </c>
    </row>
    <row r="6" spans="1:35" x14ac:dyDescent="0.3">
      <c r="A6" s="14" t="s">
        <v>655</v>
      </c>
      <c r="B6" s="4">
        <v>26695.838159999996</v>
      </c>
      <c r="C6" s="4">
        <v>24523.006720000001</v>
      </c>
      <c r="D6" s="4">
        <v>12248.675999999999</v>
      </c>
      <c r="E6" s="4">
        <v>27194.152039999997</v>
      </c>
      <c r="F6" s="4">
        <v>46991.747199999998</v>
      </c>
      <c r="G6" s="4">
        <v>93430.735400000005</v>
      </c>
      <c r="H6" s="4">
        <v>37330.00275</v>
      </c>
      <c r="I6" s="4">
        <v>7071.6331400000008</v>
      </c>
      <c r="J6" s="4">
        <v>16213.632800000001</v>
      </c>
      <c r="K6" s="4">
        <v>24161.26311</v>
      </c>
      <c r="L6" s="4">
        <v>61471.696859999996</v>
      </c>
      <c r="M6" s="4">
        <v>8567.3924999999999</v>
      </c>
      <c r="N6" s="4">
        <v>39239.197899999999</v>
      </c>
      <c r="O6" s="4">
        <v>110.14919999999999</v>
      </c>
      <c r="P6" s="4">
        <v>57491.062559999998</v>
      </c>
      <c r="Q6" s="4">
        <v>9469.7678000000014</v>
      </c>
      <c r="R6" s="4"/>
      <c r="S6" s="4">
        <v>52596.047040000005</v>
      </c>
      <c r="T6" s="4">
        <v>41358.420049999993</v>
      </c>
      <c r="U6" s="4">
        <v>85419.017859999993</v>
      </c>
      <c r="V6" s="4"/>
      <c r="W6" s="4">
        <v>11939.431199999999</v>
      </c>
      <c r="X6" s="4"/>
      <c r="Y6" s="4">
        <v>22987.3279</v>
      </c>
      <c r="Z6" s="4">
        <v>70563.592109999998</v>
      </c>
      <c r="AA6" s="4">
        <v>15158.393100000001</v>
      </c>
      <c r="AB6" s="4">
        <v>70019.054340000002</v>
      </c>
      <c r="AC6" s="4">
        <v>67158.244760000001</v>
      </c>
      <c r="AD6" s="4"/>
      <c r="AE6" s="4">
        <v>38096.18406</v>
      </c>
      <c r="AF6" s="4">
        <v>45754.744080000004</v>
      </c>
      <c r="AG6" s="4">
        <v>24172.044580000002</v>
      </c>
      <c r="AH6" s="4"/>
      <c r="AI6" s="4">
        <v>1037432.45522</v>
      </c>
    </row>
    <row r="7" spans="1:35" x14ac:dyDescent="0.3">
      <c r="A7" s="14" t="s">
        <v>653</v>
      </c>
      <c r="B7" s="4">
        <v>4141.7599999999993</v>
      </c>
      <c r="C7" s="4">
        <v>26150.364320000001</v>
      </c>
      <c r="D7" s="4">
        <v>17453.3436</v>
      </c>
      <c r="E7" s="4">
        <v>15618.84504</v>
      </c>
      <c r="F7" s="4"/>
      <c r="G7" s="4">
        <v>46226.11952</v>
      </c>
      <c r="H7" s="4">
        <v>29536.716</v>
      </c>
      <c r="I7" s="4">
        <v>52625.80416</v>
      </c>
      <c r="J7" s="4">
        <v>15530.929919999999</v>
      </c>
      <c r="K7" s="4">
        <v>27756.432000000001</v>
      </c>
      <c r="L7" s="4"/>
      <c r="M7" s="4">
        <v>14466.95104</v>
      </c>
      <c r="N7" s="4">
        <v>19139.594240000002</v>
      </c>
      <c r="O7" s="4">
        <v>9774.3888000000006</v>
      </c>
      <c r="P7" s="4">
        <v>21931.50405</v>
      </c>
      <c r="Q7" s="4"/>
      <c r="R7" s="4">
        <v>17930.494560000003</v>
      </c>
      <c r="S7" s="4">
        <v>55516.603510000001</v>
      </c>
      <c r="T7" s="4">
        <v>79082.507010000001</v>
      </c>
      <c r="U7" s="4">
        <v>7466.3063999999986</v>
      </c>
      <c r="V7" s="4">
        <v>64160.245439999999</v>
      </c>
      <c r="W7" s="4"/>
      <c r="X7" s="4">
        <v>60697.470839999994</v>
      </c>
      <c r="Y7" s="4">
        <v>20713.040080000002</v>
      </c>
      <c r="Z7" s="4"/>
      <c r="AA7" s="4">
        <v>8128.5187499999993</v>
      </c>
      <c r="AB7" s="4"/>
      <c r="AC7" s="4">
        <v>7901.5041599999995</v>
      </c>
      <c r="AD7" s="4">
        <v>76122.593299999993</v>
      </c>
      <c r="AE7" s="4">
        <v>5335.5655499999993</v>
      </c>
      <c r="AF7" s="4">
        <v>141645.56601000001</v>
      </c>
      <c r="AG7" s="4">
        <v>24972.288</v>
      </c>
      <c r="AH7" s="4">
        <v>12597.52224</v>
      </c>
      <c r="AI7" s="4">
        <v>882622.97853999969</v>
      </c>
    </row>
    <row r="8" spans="1:35" x14ac:dyDescent="0.3">
      <c r="A8" s="14" t="s">
        <v>659</v>
      </c>
      <c r="B8" s="4">
        <v>11406.96</v>
      </c>
      <c r="C8" s="4">
        <v>24306.483179999999</v>
      </c>
      <c r="D8" s="4"/>
      <c r="E8" s="4">
        <v>51137.289360000002</v>
      </c>
      <c r="F8" s="4">
        <v>27108.71488</v>
      </c>
      <c r="G8" s="4"/>
      <c r="H8" s="4">
        <v>55186.876579999996</v>
      </c>
      <c r="I8" s="4">
        <v>8909.8587200000002</v>
      </c>
      <c r="J8" s="4">
        <v>72072.389439999999</v>
      </c>
      <c r="K8" s="4">
        <v>4402.1164799999997</v>
      </c>
      <c r="L8" s="4"/>
      <c r="M8" s="4">
        <v>23668.560000000001</v>
      </c>
      <c r="N8" s="4">
        <v>19542.975350000001</v>
      </c>
      <c r="O8" s="4">
        <v>105288.56134</v>
      </c>
      <c r="P8" s="4">
        <v>14197.064400000001</v>
      </c>
      <c r="Q8" s="4"/>
      <c r="R8" s="4">
        <v>70180.55992</v>
      </c>
      <c r="S8" s="4">
        <v>50774.406560000003</v>
      </c>
      <c r="T8" s="4"/>
      <c r="U8" s="4">
        <v>8934.8277600000001</v>
      </c>
      <c r="V8" s="4">
        <v>60223.533530000008</v>
      </c>
      <c r="W8" s="4">
        <v>20974.101200000001</v>
      </c>
      <c r="X8" s="4">
        <v>4071.8</v>
      </c>
      <c r="Y8" s="4">
        <v>80623.678139999989</v>
      </c>
      <c r="Z8" s="4">
        <v>52780.07</v>
      </c>
      <c r="AA8" s="4"/>
      <c r="AB8" s="4">
        <v>9378.6258099999995</v>
      </c>
      <c r="AC8" s="4"/>
      <c r="AD8" s="4">
        <v>9684.8756000000012</v>
      </c>
      <c r="AE8" s="4">
        <v>70923.210180000009</v>
      </c>
      <c r="AF8" s="4">
        <v>34592.243559999995</v>
      </c>
      <c r="AG8" s="4">
        <v>4420.5961799999995</v>
      </c>
      <c r="AH8" s="4"/>
      <c r="AI8" s="4">
        <v>894790.37817000016</v>
      </c>
    </row>
    <row r="9" spans="1:35" x14ac:dyDescent="0.3">
      <c r="A9" s="14" t="s">
        <v>657</v>
      </c>
      <c r="B9" s="4">
        <v>9847.2358600000007</v>
      </c>
      <c r="C9" s="4">
        <v>39546.774539999999</v>
      </c>
      <c r="D9" s="4">
        <v>9022.35</v>
      </c>
      <c r="E9" s="4">
        <v>31788.701859999997</v>
      </c>
      <c r="F9" s="4"/>
      <c r="G9" s="4">
        <v>18211.877239999998</v>
      </c>
      <c r="H9" s="4">
        <v>52945.155879999998</v>
      </c>
      <c r="I9" s="4">
        <v>36549.429260000004</v>
      </c>
      <c r="J9" s="4">
        <v>14877.464000000002</v>
      </c>
      <c r="K9" s="4">
        <v>5159.7893599999998</v>
      </c>
      <c r="L9" s="4">
        <v>22983.34563</v>
      </c>
      <c r="M9" s="4">
        <v>28412.100360000004</v>
      </c>
      <c r="N9" s="4">
        <v>36467.166100000002</v>
      </c>
      <c r="O9" s="4">
        <v>13450.74</v>
      </c>
      <c r="P9" s="4">
        <v>61324.275860000009</v>
      </c>
      <c r="Q9" s="4">
        <v>24321.57</v>
      </c>
      <c r="R9" s="4">
        <v>19313.865040000001</v>
      </c>
      <c r="S9" s="4">
        <v>7399.4832000000006</v>
      </c>
      <c r="T9" s="4">
        <v>20507.94138</v>
      </c>
      <c r="U9" s="4">
        <v>9189.1634999999987</v>
      </c>
      <c r="V9" s="4"/>
      <c r="W9" s="4">
        <v>66499.004939999984</v>
      </c>
      <c r="X9" s="4">
        <v>48264.827620000004</v>
      </c>
      <c r="Y9" s="4">
        <v>25948.414799999995</v>
      </c>
      <c r="Z9" s="4">
        <v>20050.102040000002</v>
      </c>
      <c r="AA9" s="4">
        <v>12040.64352</v>
      </c>
      <c r="AB9" s="4">
        <v>21725.844440000001</v>
      </c>
      <c r="AC9" s="4">
        <v>11482.480960000001</v>
      </c>
      <c r="AD9" s="4">
        <v>14385.236500000003</v>
      </c>
      <c r="AE9" s="4">
        <v>8366.02</v>
      </c>
      <c r="AF9" s="4"/>
      <c r="AG9" s="4">
        <v>68199.913</v>
      </c>
      <c r="AH9" s="4"/>
      <c r="AI9" s="4">
        <v>758280.91688999999</v>
      </c>
    </row>
    <row r="10" spans="1:35" x14ac:dyDescent="0.3">
      <c r="A10" s="14" t="s">
        <v>656</v>
      </c>
      <c r="B10" s="4">
        <v>99559.246460000009</v>
      </c>
      <c r="C10" s="4">
        <v>63596.314610000001</v>
      </c>
      <c r="D10" s="4">
        <v>104633.05091000001</v>
      </c>
      <c r="E10" s="4"/>
      <c r="F10" s="4">
        <v>23154.287400000001</v>
      </c>
      <c r="G10" s="4">
        <v>14114.068500000001</v>
      </c>
      <c r="H10" s="4"/>
      <c r="I10" s="4">
        <v>215.19839999999996</v>
      </c>
      <c r="J10" s="4"/>
      <c r="K10" s="4"/>
      <c r="L10" s="4">
        <v>64606.506009999997</v>
      </c>
      <c r="M10" s="4">
        <v>25014.766199999998</v>
      </c>
      <c r="N10" s="4">
        <v>16328.076349999999</v>
      </c>
      <c r="O10" s="4">
        <v>33660.62169</v>
      </c>
      <c r="P10" s="4">
        <v>47953.246319999998</v>
      </c>
      <c r="Q10" s="4">
        <v>33968.989880000001</v>
      </c>
      <c r="R10" s="4">
        <v>87491.590140000015</v>
      </c>
      <c r="S10" s="4"/>
      <c r="T10" s="4"/>
      <c r="U10" s="4">
        <v>47066.843850000005</v>
      </c>
      <c r="V10" s="4"/>
      <c r="W10" s="4">
        <v>12955.824749999998</v>
      </c>
      <c r="X10" s="4">
        <v>5538.3298400000003</v>
      </c>
      <c r="Y10" s="4">
        <v>73330.963799999998</v>
      </c>
      <c r="Z10" s="4">
        <v>30546.068040000002</v>
      </c>
      <c r="AA10" s="4">
        <v>618.19979999999987</v>
      </c>
      <c r="AB10" s="4">
        <v>16328.358699999999</v>
      </c>
      <c r="AC10" s="4">
        <v>5734.3457399999998</v>
      </c>
      <c r="AD10" s="4">
        <v>56391.304550000001</v>
      </c>
      <c r="AE10" s="4">
        <v>10441.90848</v>
      </c>
      <c r="AF10" s="4">
        <v>56176.777799999996</v>
      </c>
      <c r="AG10" s="4"/>
      <c r="AH10" s="4"/>
      <c r="AI10" s="4">
        <v>929424.88822000008</v>
      </c>
    </row>
    <row r="11" spans="1:35" x14ac:dyDescent="0.3">
      <c r="A11" s="14" t="s">
        <v>654</v>
      </c>
      <c r="B11" s="4">
        <v>48804.159249999997</v>
      </c>
      <c r="C11" s="4">
        <v>6631.6443100000006</v>
      </c>
      <c r="D11" s="4">
        <v>32506.559399999998</v>
      </c>
      <c r="E11" s="4">
        <v>249678.13581999997</v>
      </c>
      <c r="F11" s="4">
        <v>4577.1480000000001</v>
      </c>
      <c r="G11" s="4">
        <v>12462.65055</v>
      </c>
      <c r="H11" s="4"/>
      <c r="I11" s="4">
        <v>49929.549790000005</v>
      </c>
      <c r="J11" s="4">
        <v>25897.348050000001</v>
      </c>
      <c r="K11" s="4">
        <v>48296.2664</v>
      </c>
      <c r="L11" s="4">
        <v>35984.636809999996</v>
      </c>
      <c r="M11" s="4">
        <v>33792.866320000001</v>
      </c>
      <c r="N11" s="4">
        <v>24305.882859999998</v>
      </c>
      <c r="O11" s="4">
        <v>12668.50728</v>
      </c>
      <c r="P11" s="4"/>
      <c r="Q11" s="4">
        <v>35554.10024</v>
      </c>
      <c r="R11" s="4">
        <v>31513.423040000001</v>
      </c>
      <c r="S11" s="4">
        <v>30229.994880000002</v>
      </c>
      <c r="T11" s="4">
        <v>43785.68778</v>
      </c>
      <c r="U11" s="4">
        <v>20028.787380000002</v>
      </c>
      <c r="V11" s="4">
        <v>599.53200000000004</v>
      </c>
      <c r="W11" s="4">
        <v>80963.246050000002</v>
      </c>
      <c r="X11" s="4">
        <v>51589.538240000009</v>
      </c>
      <c r="Y11" s="4">
        <v>33308.550000000003</v>
      </c>
      <c r="Z11" s="4">
        <v>7120.6486400000003</v>
      </c>
      <c r="AA11" s="4">
        <v>24075.089820000001</v>
      </c>
      <c r="AB11" s="4">
        <v>4856.35725</v>
      </c>
      <c r="AC11" s="4">
        <v>62421.22464</v>
      </c>
      <c r="AD11" s="4">
        <v>39717.144100000005</v>
      </c>
      <c r="AE11" s="4"/>
      <c r="AF11" s="4">
        <v>11006.647559999999</v>
      </c>
      <c r="AG11" s="4">
        <v>29627.320319999999</v>
      </c>
      <c r="AH11" s="4"/>
      <c r="AI11" s="4">
        <v>1091932.6467800001</v>
      </c>
    </row>
    <row r="12" spans="1:35" x14ac:dyDescent="0.3">
      <c r="A12" s="14" t="s">
        <v>650</v>
      </c>
      <c r="B12" s="4">
        <v>47962.717579999997</v>
      </c>
      <c r="C12" s="4">
        <v>10561.881820000001</v>
      </c>
      <c r="D12" s="4">
        <v>67069.606889999995</v>
      </c>
      <c r="E12" s="4">
        <v>18037.27893</v>
      </c>
      <c r="F12" s="4">
        <v>3799.8031499999997</v>
      </c>
      <c r="G12" s="4">
        <v>19581.87</v>
      </c>
      <c r="H12" s="4">
        <v>17735.678400000004</v>
      </c>
      <c r="I12" s="4">
        <v>1030.7574</v>
      </c>
      <c r="J12" s="4">
        <v>27249</v>
      </c>
      <c r="K12" s="4">
        <v>11015.510400000003</v>
      </c>
      <c r="L12" s="4"/>
      <c r="M12" s="4">
        <v>16061.972879999999</v>
      </c>
      <c r="N12" s="4">
        <v>66852.128960000002</v>
      </c>
      <c r="O12" s="4">
        <v>4866.3287999999993</v>
      </c>
      <c r="P12" s="4">
        <v>8326.6852500000005</v>
      </c>
      <c r="Q12" s="4">
        <v>29230.059240000002</v>
      </c>
      <c r="R12" s="4">
        <v>84556.746840000007</v>
      </c>
      <c r="S12" s="4">
        <v>101032.65689999999</v>
      </c>
      <c r="T12" s="4">
        <v>27605.925880000003</v>
      </c>
      <c r="U12" s="4">
        <v>52863.98113</v>
      </c>
      <c r="V12" s="4"/>
      <c r="W12" s="4">
        <v>54242.046000000002</v>
      </c>
      <c r="X12" s="4">
        <v>119943.70428000002</v>
      </c>
      <c r="Y12" s="4"/>
      <c r="Z12" s="4">
        <v>68469.84792</v>
      </c>
      <c r="AA12" s="4"/>
      <c r="AB12" s="4">
        <v>31401.432999999997</v>
      </c>
      <c r="AC12" s="4">
        <v>4569.8508000000002</v>
      </c>
      <c r="AD12" s="4"/>
      <c r="AE12" s="4">
        <v>17867.219160000001</v>
      </c>
      <c r="AF12" s="4">
        <v>1654.8966000000003</v>
      </c>
      <c r="AG12" s="4">
        <v>22570.034399999997</v>
      </c>
      <c r="AH12" s="4"/>
      <c r="AI12" s="4">
        <v>936159.62260999985</v>
      </c>
    </row>
    <row r="13" spans="1:35" x14ac:dyDescent="0.3">
      <c r="A13" s="14" t="s">
        <v>651</v>
      </c>
      <c r="B13" s="4">
        <v>5422.2875999999997</v>
      </c>
      <c r="C13" s="4"/>
      <c r="D13" s="4">
        <v>32280.32474</v>
      </c>
      <c r="E13" s="4">
        <v>20656.557700000001</v>
      </c>
      <c r="F13" s="4">
        <v>22882.675440000003</v>
      </c>
      <c r="G13" s="4">
        <v>116202.88449999999</v>
      </c>
      <c r="H13" s="4">
        <v>3021.5016000000001</v>
      </c>
      <c r="I13" s="4">
        <v>24833.097520000003</v>
      </c>
      <c r="J13" s="4">
        <v>10786.32144</v>
      </c>
      <c r="K13" s="4"/>
      <c r="L13" s="4"/>
      <c r="M13" s="4">
        <v>27158.894079999998</v>
      </c>
      <c r="N13" s="4"/>
      <c r="O13" s="4">
        <v>28041.02492</v>
      </c>
      <c r="P13" s="4">
        <v>32335.21802</v>
      </c>
      <c r="Q13" s="4">
        <v>51003.081039999997</v>
      </c>
      <c r="R13" s="4">
        <v>46428.36</v>
      </c>
      <c r="S13" s="4">
        <v>2719.8567000000003</v>
      </c>
      <c r="T13" s="4"/>
      <c r="U13" s="4">
        <v>2879.9836</v>
      </c>
      <c r="V13" s="4">
        <v>55700.645940000002</v>
      </c>
      <c r="W13" s="4">
        <v>44369.070899999999</v>
      </c>
      <c r="X13" s="4">
        <v>12967.958640000001</v>
      </c>
      <c r="Y13" s="4"/>
      <c r="Z13" s="4">
        <v>2146.5580500000001</v>
      </c>
      <c r="AA13" s="4">
        <v>25958.851379999996</v>
      </c>
      <c r="AB13" s="4">
        <v>48310.143040000003</v>
      </c>
      <c r="AC13" s="4">
        <v>40139.874619999995</v>
      </c>
      <c r="AD13" s="4">
        <v>11947.367920000001</v>
      </c>
      <c r="AE13" s="4">
        <v>146296.57</v>
      </c>
      <c r="AF13" s="4">
        <v>17847.907199999998</v>
      </c>
      <c r="AG13" s="4">
        <v>49501.660319999995</v>
      </c>
      <c r="AH13" s="4"/>
      <c r="AI13" s="4">
        <v>881838.67690999992</v>
      </c>
    </row>
    <row r="14" spans="1:35" x14ac:dyDescent="0.3">
      <c r="A14" s="14" t="s">
        <v>661</v>
      </c>
      <c r="B14" s="4">
        <v>3116.21</v>
      </c>
      <c r="C14" s="4">
        <v>86597.081299999991</v>
      </c>
      <c r="D14" s="4">
        <v>29618.551199999998</v>
      </c>
      <c r="E14" s="4"/>
      <c r="F14" s="4">
        <v>15187.141260000002</v>
      </c>
      <c r="G14" s="4">
        <v>21572.590500000002</v>
      </c>
      <c r="H14" s="4">
        <v>56993.802439999999</v>
      </c>
      <c r="I14" s="4">
        <v>58520.369639999997</v>
      </c>
      <c r="J14" s="4"/>
      <c r="K14" s="4">
        <v>434.45248000000004</v>
      </c>
      <c r="L14" s="4">
        <v>12954.358080000002</v>
      </c>
      <c r="M14" s="4">
        <v>79406.784939999983</v>
      </c>
      <c r="N14" s="4">
        <v>54214.972159999998</v>
      </c>
      <c r="O14" s="4">
        <v>4826.5396199999996</v>
      </c>
      <c r="P14" s="4"/>
      <c r="Q14" s="4">
        <v>20171.63305</v>
      </c>
      <c r="R14" s="4">
        <v>14032.850879999998</v>
      </c>
      <c r="S14" s="4">
        <v>39907.476419999999</v>
      </c>
      <c r="T14" s="4"/>
      <c r="U14" s="4">
        <v>40303.832219999997</v>
      </c>
      <c r="V14" s="4">
        <v>18061.204320000004</v>
      </c>
      <c r="W14" s="4"/>
      <c r="X14" s="4"/>
      <c r="Y14" s="4"/>
      <c r="Z14" s="4">
        <v>6576.298960000001</v>
      </c>
      <c r="AA14" s="4"/>
      <c r="AB14" s="4">
        <v>5565.3272500000003</v>
      </c>
      <c r="AC14" s="4">
        <v>1886.9915999999998</v>
      </c>
      <c r="AD14" s="4">
        <v>31556.187599999997</v>
      </c>
      <c r="AE14" s="4">
        <v>88311.186580000009</v>
      </c>
      <c r="AF14" s="4">
        <v>76636.156479999991</v>
      </c>
      <c r="AG14" s="4"/>
      <c r="AH14" s="4">
        <v>13185.543</v>
      </c>
      <c r="AI14" s="4">
        <v>779637.54197999986</v>
      </c>
    </row>
    <row r="15" spans="1:35" x14ac:dyDescent="0.3">
      <c r="A15" s="14" t="s">
        <v>658</v>
      </c>
      <c r="B15" s="4">
        <v>27965.366600000001</v>
      </c>
      <c r="C15" s="4">
        <v>4132.0325200000007</v>
      </c>
      <c r="D15" s="4">
        <v>64680.119419999988</v>
      </c>
      <c r="E15" s="4">
        <v>17884.687559999998</v>
      </c>
      <c r="F15" s="4">
        <v>49706.426599999999</v>
      </c>
      <c r="G15" s="4">
        <v>48616.566040000005</v>
      </c>
      <c r="H15" s="4">
        <v>8763.2849999999999</v>
      </c>
      <c r="I15" s="4">
        <v>23038.615559999998</v>
      </c>
      <c r="J15" s="4"/>
      <c r="K15" s="4">
        <v>31613.310460000001</v>
      </c>
      <c r="L15" s="4"/>
      <c r="M15" s="4">
        <v>23195.01828</v>
      </c>
      <c r="N15" s="4">
        <v>4229.4321199999995</v>
      </c>
      <c r="O15" s="4">
        <v>33938.142760000002</v>
      </c>
      <c r="P15" s="4">
        <v>13218.5</v>
      </c>
      <c r="Q15" s="4">
        <v>121707.26436</v>
      </c>
      <c r="R15" s="4">
        <v>30151.675319999998</v>
      </c>
      <c r="S15" s="4">
        <v>35167.7448</v>
      </c>
      <c r="T15" s="4">
        <v>23687.524440000001</v>
      </c>
      <c r="U15" s="4">
        <v>25249.613219999999</v>
      </c>
      <c r="V15" s="4">
        <v>91431.437760000001</v>
      </c>
      <c r="W15" s="4">
        <v>44605.988639999996</v>
      </c>
      <c r="X15" s="4">
        <v>30519.801539999993</v>
      </c>
      <c r="Y15" s="4">
        <v>30799.273800000003</v>
      </c>
      <c r="Z15" s="4">
        <v>47052.4614</v>
      </c>
      <c r="AA15" s="4"/>
      <c r="AB15" s="4">
        <v>117895.35054</v>
      </c>
      <c r="AC15" s="4"/>
      <c r="AD15" s="4">
        <v>39263.702919999996</v>
      </c>
      <c r="AE15" s="4">
        <v>77588.779909999997</v>
      </c>
      <c r="AF15" s="4">
        <v>38415.602769999998</v>
      </c>
      <c r="AG15" s="4">
        <v>8764.4065599999994</v>
      </c>
      <c r="AH15" s="4"/>
      <c r="AI15" s="4">
        <v>1113282.1309</v>
      </c>
    </row>
    <row r="16" spans="1:35" x14ac:dyDescent="0.3">
      <c r="A16" s="14" t="s">
        <v>660</v>
      </c>
      <c r="B16" s="4">
        <v>47908.667860000001</v>
      </c>
      <c r="C16" s="4">
        <v>51865.197319999999</v>
      </c>
      <c r="D16" s="4"/>
      <c r="E16" s="4">
        <v>15674.497519999999</v>
      </c>
      <c r="F16" s="4">
        <v>23132.398349999996</v>
      </c>
      <c r="G16" s="4">
        <v>71887.464220000009</v>
      </c>
      <c r="H16" s="4">
        <v>32086.37586</v>
      </c>
      <c r="I16" s="4">
        <v>25299.040000000001</v>
      </c>
      <c r="J16" s="4">
        <v>20226.246000000003</v>
      </c>
      <c r="K16" s="4"/>
      <c r="L16" s="4"/>
      <c r="M16" s="4">
        <v>12130.904400000001</v>
      </c>
      <c r="N16" s="4">
        <v>24439.103279999999</v>
      </c>
      <c r="O16" s="4">
        <v>59638.251029999999</v>
      </c>
      <c r="P16" s="4">
        <v>83439.187559999991</v>
      </c>
      <c r="Q16" s="4"/>
      <c r="R16" s="4">
        <v>53872.641179999999</v>
      </c>
      <c r="S16" s="4"/>
      <c r="T16" s="4">
        <v>71968.626539999997</v>
      </c>
      <c r="U16" s="4">
        <v>63145.134920000004</v>
      </c>
      <c r="V16" s="4"/>
      <c r="W16" s="4">
        <v>16023.123</v>
      </c>
      <c r="X16" s="4"/>
      <c r="Y16" s="4">
        <v>14568.782480000002</v>
      </c>
      <c r="Z16" s="4">
        <v>2117.4834999999998</v>
      </c>
      <c r="AA16" s="4">
        <v>9984.7160999999978</v>
      </c>
      <c r="AB16" s="4">
        <v>2915.4540999999999</v>
      </c>
      <c r="AC16" s="4">
        <v>35325.243150000002</v>
      </c>
      <c r="AD16" s="4">
        <v>3644.3212800000006</v>
      </c>
      <c r="AE16" s="4"/>
      <c r="AF16" s="4">
        <v>16609.090809999998</v>
      </c>
      <c r="AG16" s="4">
        <v>10792.637119999999</v>
      </c>
      <c r="AH16" s="4"/>
      <c r="AI16" s="4">
        <v>768694.58757999982</v>
      </c>
    </row>
    <row r="17" spans="1:35" x14ac:dyDescent="0.3">
      <c r="A17" s="13" t="s">
        <v>1448</v>
      </c>
      <c r="B17" s="4">
        <v>31024.83872</v>
      </c>
      <c r="C17" s="4">
        <v>21196.913249999998</v>
      </c>
      <c r="D17" s="4">
        <v>9062.34692</v>
      </c>
      <c r="E17" s="4">
        <v>4603.0824400000001</v>
      </c>
      <c r="F17" s="4">
        <v>32142.113530000002</v>
      </c>
      <c r="G17" s="4"/>
      <c r="H17" s="4">
        <v>31130.741829999995</v>
      </c>
      <c r="I17" s="4">
        <v>14527.748400000002</v>
      </c>
      <c r="J17" s="4">
        <v>27905.895679999998</v>
      </c>
      <c r="K17" s="4">
        <v>65358.033779999998</v>
      </c>
      <c r="L17" s="4">
        <v>26621.873459999999</v>
      </c>
      <c r="M17" s="4">
        <v>15253.069799999999</v>
      </c>
      <c r="N17" s="4"/>
      <c r="O17" s="4"/>
      <c r="P17" s="4">
        <v>14287.896349999999</v>
      </c>
      <c r="Q17" s="4">
        <v>68665.574250000005</v>
      </c>
      <c r="R17" s="4">
        <v>23449.833500000001</v>
      </c>
      <c r="S17" s="4">
        <v>82602.550500000012</v>
      </c>
      <c r="T17" s="4">
        <v>50582.705609999997</v>
      </c>
      <c r="U17" s="4">
        <v>29808.424959999997</v>
      </c>
      <c r="V17" s="4"/>
      <c r="W17" s="4">
        <v>18641.222160000001</v>
      </c>
      <c r="X17" s="4">
        <v>23394.9202</v>
      </c>
      <c r="Y17" s="4">
        <v>266.17821999999995</v>
      </c>
      <c r="Z17" s="4">
        <v>49494.318980000004</v>
      </c>
      <c r="AA17" s="4">
        <v>20606.46444</v>
      </c>
      <c r="AB17" s="4">
        <v>63856.506820000002</v>
      </c>
      <c r="AC17" s="4">
        <v>11984.891250000001</v>
      </c>
      <c r="AD17" s="4">
        <v>43398.362049999989</v>
      </c>
      <c r="AE17" s="4"/>
      <c r="AF17" s="4">
        <v>74882.385600000009</v>
      </c>
      <c r="AG17" s="4"/>
      <c r="AH17" s="4"/>
      <c r="AI17" s="4">
        <v>854748.89270000008</v>
      </c>
    </row>
    <row r="18" spans="1:35" x14ac:dyDescent="0.3">
      <c r="A18" s="14" t="s">
        <v>652</v>
      </c>
      <c r="B18" s="4">
        <v>31024.83872</v>
      </c>
      <c r="C18" s="4">
        <v>21196.913249999998</v>
      </c>
      <c r="D18" s="4">
        <v>9062.34692</v>
      </c>
      <c r="E18" s="4">
        <v>4603.0824400000001</v>
      </c>
      <c r="F18" s="4">
        <v>32142.113530000002</v>
      </c>
      <c r="G18" s="4"/>
      <c r="H18" s="4">
        <v>31130.741829999995</v>
      </c>
      <c r="I18" s="4">
        <v>14527.748400000002</v>
      </c>
      <c r="J18" s="4">
        <v>27905.895679999998</v>
      </c>
      <c r="K18" s="4">
        <v>65358.033779999998</v>
      </c>
      <c r="L18" s="4">
        <v>26621.873459999999</v>
      </c>
      <c r="M18" s="4">
        <v>15253.069799999999</v>
      </c>
      <c r="N18" s="4"/>
      <c r="O18" s="4"/>
      <c r="P18" s="4">
        <v>14287.896349999999</v>
      </c>
      <c r="Q18" s="4">
        <v>68665.574250000005</v>
      </c>
      <c r="R18" s="4">
        <v>23449.833500000001</v>
      </c>
      <c r="S18" s="4">
        <v>82602.550500000012</v>
      </c>
      <c r="T18" s="4">
        <v>50582.705609999997</v>
      </c>
      <c r="U18" s="4">
        <v>29808.424959999997</v>
      </c>
      <c r="V18" s="4"/>
      <c r="W18" s="4">
        <v>18641.222160000001</v>
      </c>
      <c r="X18" s="4">
        <v>23394.9202</v>
      </c>
      <c r="Y18" s="4">
        <v>266.17821999999995</v>
      </c>
      <c r="Z18" s="4">
        <v>49494.318980000004</v>
      </c>
      <c r="AA18" s="4">
        <v>20606.46444</v>
      </c>
      <c r="AB18" s="4">
        <v>63856.506820000002</v>
      </c>
      <c r="AC18" s="4">
        <v>11984.891250000001</v>
      </c>
      <c r="AD18" s="4">
        <v>43398.362049999989</v>
      </c>
      <c r="AE18" s="4"/>
      <c r="AF18" s="4">
        <v>74882.385600000009</v>
      </c>
      <c r="AG18" s="4"/>
      <c r="AH18" s="4"/>
      <c r="AI18" s="4">
        <v>854748.89270000008</v>
      </c>
    </row>
    <row r="19" spans="1:35" x14ac:dyDescent="0.3">
      <c r="A19" s="13" t="s">
        <v>1446</v>
      </c>
      <c r="B19" s="4">
        <v>363855.28808999999</v>
      </c>
      <c r="C19" s="4">
        <v>359107.69388999994</v>
      </c>
      <c r="D19" s="4">
        <v>378574.92907999997</v>
      </c>
      <c r="E19" s="4">
        <v>452273.22826999996</v>
      </c>
      <c r="F19" s="4">
        <v>248682.45581000001</v>
      </c>
      <c r="G19" s="4">
        <v>462306.82647000003</v>
      </c>
      <c r="H19" s="4">
        <v>324730.13634000003</v>
      </c>
      <c r="I19" s="4">
        <v>302551.10198999994</v>
      </c>
      <c r="J19" s="4">
        <v>230759.22732999999</v>
      </c>
      <c r="K19" s="4">
        <v>218197.17447</v>
      </c>
      <c r="L19" s="4">
        <v>224622.41684999998</v>
      </c>
      <c r="M19" s="4">
        <v>307129.28079999995</v>
      </c>
      <c r="N19" s="4">
        <v>304758.52931999997</v>
      </c>
      <c r="O19" s="4">
        <v>306263.25543999998</v>
      </c>
      <c r="P19" s="4">
        <v>354504.64036999998</v>
      </c>
      <c r="Q19" s="4">
        <v>394092.03986000002</v>
      </c>
      <c r="R19" s="4">
        <v>478922.04041999998</v>
      </c>
      <c r="S19" s="4">
        <v>457946.82050999999</v>
      </c>
      <c r="T19" s="4">
        <v>358579.33869</v>
      </c>
      <c r="U19" s="4">
        <v>392355.91679999995</v>
      </c>
      <c r="V19" s="4">
        <v>290176.59899000003</v>
      </c>
      <c r="W19" s="4">
        <v>371213.05884000001</v>
      </c>
      <c r="X19" s="4">
        <v>356988.35120000009</v>
      </c>
      <c r="Y19" s="4">
        <v>302546.20922000002</v>
      </c>
      <c r="Z19" s="4">
        <v>356917.44964000001</v>
      </c>
      <c r="AA19" s="4">
        <v>116570.87691000001</v>
      </c>
      <c r="AB19" s="4">
        <v>392252.45528999995</v>
      </c>
      <c r="AC19" s="4">
        <v>248604.65168000001</v>
      </c>
      <c r="AD19" s="4">
        <v>326111.09581999993</v>
      </c>
      <c r="AE19" s="4">
        <v>463226.64392</v>
      </c>
      <c r="AF19" s="4">
        <v>515222.01847000001</v>
      </c>
      <c r="AG19" s="4">
        <v>243020.90048000001</v>
      </c>
      <c r="AH19" s="4">
        <v>25783.06524</v>
      </c>
      <c r="AI19" s="4">
        <v>10928845.716499999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B0DE-1722-42D6-A53C-D873DCF0461E}">
  <dimension ref="A1:G631"/>
  <sheetViews>
    <sheetView workbookViewId="0">
      <selection activeCell="G2" sqref="G2"/>
    </sheetView>
  </sheetViews>
  <sheetFormatPr defaultRowHeight="14.4" x14ac:dyDescent="0.3"/>
  <cols>
    <col min="1" max="1" width="14.77734375" bestFit="1" customWidth="1"/>
    <col min="2" max="2" width="10" bestFit="1" customWidth="1"/>
    <col min="3" max="3" width="18.88671875" style="4" bestFit="1" customWidth="1"/>
    <col min="4" max="4" width="15" style="4" bestFit="1" customWidth="1"/>
    <col min="5" max="5" width="13.33203125" style="4" bestFit="1" customWidth="1"/>
    <col min="6" max="6" width="15.5546875" bestFit="1" customWidth="1"/>
  </cols>
  <sheetData>
    <row r="1" spans="1:7" x14ac:dyDescent="0.3">
      <c r="A1" s="15" t="s">
        <v>9</v>
      </c>
      <c r="B1" s="15" t="s">
        <v>10</v>
      </c>
      <c r="C1" s="16" t="s">
        <v>1450</v>
      </c>
      <c r="D1" s="16" t="s">
        <v>1451</v>
      </c>
      <c r="E1" s="16" t="s">
        <v>1452</v>
      </c>
      <c r="F1" s="16" t="s">
        <v>1453</v>
      </c>
      <c r="G1" s="16" t="s">
        <v>1454</v>
      </c>
    </row>
    <row r="2" spans="1:7" x14ac:dyDescent="0.3">
      <c r="A2" t="s">
        <v>733</v>
      </c>
      <c r="B2" t="s">
        <v>1080</v>
      </c>
      <c r="C2" s="4">
        <v>79082.507010000001</v>
      </c>
      <c r="D2" s="4">
        <f>SUMIF($A:$A,A2,$C:$C)</f>
        <v>1331648.9160700005</v>
      </c>
      <c r="E2" s="4">
        <f t="shared" ref="E2:E33" si="0">IF(A2=A1,E1+C2,C2)</f>
        <v>79082.507010000001</v>
      </c>
      <c r="F2">
        <f t="shared" ref="F2:F65" si="1">E2/D2</f>
        <v>5.9386904502870402E-2</v>
      </c>
      <c r="G2" s="18" t="str">
        <f t="shared" ref="G2:G65" si="2">IF(F2&lt;=0.8,"A",IF(F2&lt;=0.95,"B","C"))</f>
        <v>A</v>
      </c>
    </row>
    <row r="3" spans="1:7" x14ac:dyDescent="0.3">
      <c r="A3" t="s">
        <v>733</v>
      </c>
      <c r="B3" t="s">
        <v>1053</v>
      </c>
      <c r="C3" s="4">
        <v>53034.364139999991</v>
      </c>
      <c r="D3" s="4">
        <f t="shared" ref="D3:D65" si="3">SUMIF($A:$A,A3,$C:$C)</f>
        <v>1331648.9160700005</v>
      </c>
      <c r="E3" s="4">
        <f t="shared" si="0"/>
        <v>132116.87114999999</v>
      </c>
      <c r="F3">
        <f t="shared" si="1"/>
        <v>9.9212990417855029E-2</v>
      </c>
      <c r="G3" t="str">
        <f t="shared" si="2"/>
        <v>A</v>
      </c>
    </row>
    <row r="4" spans="1:7" x14ac:dyDescent="0.3">
      <c r="A4" t="s">
        <v>733</v>
      </c>
      <c r="B4" t="s">
        <v>1288</v>
      </c>
      <c r="C4" s="4">
        <v>46450.26</v>
      </c>
      <c r="D4" s="4">
        <f t="shared" si="3"/>
        <v>1331648.9160700005</v>
      </c>
      <c r="E4" s="4">
        <f t="shared" si="0"/>
        <v>178567.13115</v>
      </c>
      <c r="F4">
        <f t="shared" si="1"/>
        <v>0.13409475199889195</v>
      </c>
      <c r="G4" t="str">
        <f t="shared" si="2"/>
        <v>A</v>
      </c>
    </row>
    <row r="5" spans="1:7" x14ac:dyDescent="0.3">
      <c r="A5" t="s">
        <v>733</v>
      </c>
      <c r="B5" t="s">
        <v>1040</v>
      </c>
      <c r="C5" s="4">
        <v>43084.872000000003</v>
      </c>
      <c r="D5" s="4">
        <f t="shared" si="3"/>
        <v>1331648.9160700005</v>
      </c>
      <c r="E5" s="4">
        <f t="shared" si="0"/>
        <v>221652.00315</v>
      </c>
      <c r="F5">
        <f t="shared" si="1"/>
        <v>0.16644927989289068</v>
      </c>
      <c r="G5" t="str">
        <f t="shared" si="2"/>
        <v>A</v>
      </c>
    </row>
    <row r="6" spans="1:7" x14ac:dyDescent="0.3">
      <c r="A6" t="s">
        <v>733</v>
      </c>
      <c r="B6" t="s">
        <v>752</v>
      </c>
      <c r="C6" s="4">
        <v>38096.18406</v>
      </c>
      <c r="D6" s="4">
        <f t="shared" si="3"/>
        <v>1331648.9160700005</v>
      </c>
      <c r="E6" s="4">
        <f t="shared" si="0"/>
        <v>259748.18721</v>
      </c>
      <c r="F6">
        <f t="shared" si="1"/>
        <v>0.19505755914747869</v>
      </c>
      <c r="G6" t="str">
        <f t="shared" si="2"/>
        <v>A</v>
      </c>
    </row>
    <row r="7" spans="1:7" x14ac:dyDescent="0.3">
      <c r="A7" t="s">
        <v>733</v>
      </c>
      <c r="B7" t="s">
        <v>810</v>
      </c>
      <c r="C7" s="4">
        <v>35396.277799999996</v>
      </c>
      <c r="D7" s="4">
        <f t="shared" si="3"/>
        <v>1331648.9160700005</v>
      </c>
      <c r="E7" s="4">
        <f t="shared" si="0"/>
        <v>295144.46500999999</v>
      </c>
      <c r="F7">
        <f t="shared" si="1"/>
        <v>0.22163834735137139</v>
      </c>
      <c r="G7" t="str">
        <f t="shared" si="2"/>
        <v>A</v>
      </c>
    </row>
    <row r="8" spans="1:7" x14ac:dyDescent="0.3">
      <c r="A8" t="s">
        <v>733</v>
      </c>
      <c r="B8" t="s">
        <v>1094</v>
      </c>
      <c r="C8" s="4">
        <v>35167.7448</v>
      </c>
      <c r="D8" s="4">
        <f t="shared" si="3"/>
        <v>1331648.9160700005</v>
      </c>
      <c r="E8" s="4">
        <f t="shared" si="0"/>
        <v>330312.20980999997</v>
      </c>
      <c r="F8">
        <f t="shared" si="1"/>
        <v>0.24804751899984764</v>
      </c>
      <c r="G8" t="str">
        <f t="shared" si="2"/>
        <v>A</v>
      </c>
    </row>
    <row r="9" spans="1:7" x14ac:dyDescent="0.3">
      <c r="A9" t="s">
        <v>733</v>
      </c>
      <c r="B9" t="s">
        <v>831</v>
      </c>
      <c r="C9" s="4">
        <v>34139.159999999996</v>
      </c>
      <c r="D9" s="4">
        <f t="shared" si="3"/>
        <v>1331648.9160700005</v>
      </c>
      <c r="E9" s="4">
        <f t="shared" si="0"/>
        <v>364451.36980999995</v>
      </c>
      <c r="F9">
        <f t="shared" si="1"/>
        <v>0.27368427624721015</v>
      </c>
      <c r="G9" t="str">
        <f t="shared" si="2"/>
        <v>A</v>
      </c>
    </row>
    <row r="10" spans="1:7" x14ac:dyDescent="0.3">
      <c r="A10" t="s">
        <v>733</v>
      </c>
      <c r="B10" t="s">
        <v>811</v>
      </c>
      <c r="C10" s="4">
        <v>33062.236480000007</v>
      </c>
      <c r="D10" s="4">
        <f t="shared" si="3"/>
        <v>1331648.9160700005</v>
      </c>
      <c r="E10" s="4">
        <f t="shared" si="0"/>
        <v>397513.60628999997</v>
      </c>
      <c r="F10">
        <f t="shared" si="1"/>
        <v>0.29851231919532756</v>
      </c>
      <c r="G10" t="str">
        <f t="shared" si="2"/>
        <v>A</v>
      </c>
    </row>
    <row r="11" spans="1:7" x14ac:dyDescent="0.3">
      <c r="A11" t="s">
        <v>733</v>
      </c>
      <c r="B11" t="s">
        <v>876</v>
      </c>
      <c r="C11" s="4">
        <v>32086.37586</v>
      </c>
      <c r="D11" s="4">
        <f t="shared" si="3"/>
        <v>1331648.9160700005</v>
      </c>
      <c r="E11" s="4">
        <f t="shared" si="0"/>
        <v>429599.98214999994</v>
      </c>
      <c r="F11">
        <f t="shared" si="1"/>
        <v>0.32260754089587473</v>
      </c>
      <c r="G11" t="str">
        <f t="shared" si="2"/>
        <v>A</v>
      </c>
    </row>
    <row r="12" spans="1:7" x14ac:dyDescent="0.3">
      <c r="A12" t="s">
        <v>733</v>
      </c>
      <c r="B12" t="s">
        <v>1175</v>
      </c>
      <c r="C12" s="4">
        <v>31513.085009999999</v>
      </c>
      <c r="D12" s="4">
        <f t="shared" si="3"/>
        <v>1331648.9160700005</v>
      </c>
      <c r="E12" s="4">
        <f t="shared" si="0"/>
        <v>461113.06715999992</v>
      </c>
      <c r="F12">
        <f t="shared" si="1"/>
        <v>0.34627225058752698</v>
      </c>
      <c r="G12" t="str">
        <f t="shared" si="2"/>
        <v>A</v>
      </c>
    </row>
    <row r="13" spans="1:7" x14ac:dyDescent="0.3">
      <c r="A13" t="s">
        <v>733</v>
      </c>
      <c r="B13" t="s">
        <v>941</v>
      </c>
      <c r="C13" s="4">
        <v>28386.015839999996</v>
      </c>
      <c r="D13" s="4">
        <f t="shared" si="3"/>
        <v>1331648.9160700005</v>
      </c>
      <c r="E13" s="4">
        <f t="shared" si="0"/>
        <v>489499.08299999993</v>
      </c>
      <c r="F13">
        <f t="shared" si="1"/>
        <v>0.36758869180371001</v>
      </c>
      <c r="G13" t="str">
        <f t="shared" si="2"/>
        <v>A</v>
      </c>
    </row>
    <row r="14" spans="1:7" x14ac:dyDescent="0.3">
      <c r="A14" t="s">
        <v>733</v>
      </c>
      <c r="B14" t="s">
        <v>1022</v>
      </c>
      <c r="C14" s="4">
        <v>26765.040239999998</v>
      </c>
      <c r="D14" s="4">
        <f t="shared" si="3"/>
        <v>1331648.9160700005</v>
      </c>
      <c r="E14" s="4">
        <f t="shared" si="0"/>
        <v>516264.12323999993</v>
      </c>
      <c r="F14">
        <f t="shared" si="1"/>
        <v>0.38768786352758283</v>
      </c>
      <c r="G14" t="str">
        <f t="shared" si="2"/>
        <v>A</v>
      </c>
    </row>
    <row r="15" spans="1:7" x14ac:dyDescent="0.3">
      <c r="A15" t="s">
        <v>733</v>
      </c>
      <c r="B15" t="s">
        <v>921</v>
      </c>
      <c r="C15" s="4">
        <v>26759.28775</v>
      </c>
      <c r="D15" s="4">
        <f t="shared" si="3"/>
        <v>1331648.9160700005</v>
      </c>
      <c r="E15" s="4">
        <f t="shared" si="0"/>
        <v>543023.41098999989</v>
      </c>
      <c r="F15">
        <f t="shared" si="1"/>
        <v>0.407782715426665</v>
      </c>
      <c r="G15" t="str">
        <f t="shared" si="2"/>
        <v>A</v>
      </c>
    </row>
    <row r="16" spans="1:7" x14ac:dyDescent="0.3">
      <c r="A16" t="s">
        <v>733</v>
      </c>
      <c r="B16" t="s">
        <v>1086</v>
      </c>
      <c r="C16" s="4">
        <v>26552.60298</v>
      </c>
      <c r="D16" s="4">
        <f t="shared" si="3"/>
        <v>1331648.9160700005</v>
      </c>
      <c r="E16" s="4">
        <f t="shared" si="0"/>
        <v>569576.01396999985</v>
      </c>
      <c r="F16">
        <f t="shared" si="1"/>
        <v>0.42772235766987932</v>
      </c>
      <c r="G16" t="str">
        <f t="shared" si="2"/>
        <v>A</v>
      </c>
    </row>
    <row r="17" spans="1:7" x14ac:dyDescent="0.3">
      <c r="A17" t="s">
        <v>733</v>
      </c>
      <c r="B17" t="s">
        <v>1171</v>
      </c>
      <c r="C17" s="4">
        <v>24278.849280000002</v>
      </c>
      <c r="D17" s="4">
        <f t="shared" si="3"/>
        <v>1331648.9160700005</v>
      </c>
      <c r="E17" s="4">
        <f t="shared" si="0"/>
        <v>593854.86324999982</v>
      </c>
      <c r="F17">
        <f t="shared" si="1"/>
        <v>0.44595452756617027</v>
      </c>
      <c r="G17" t="str">
        <f t="shared" si="2"/>
        <v>A</v>
      </c>
    </row>
    <row r="18" spans="1:7" x14ac:dyDescent="0.3">
      <c r="A18" t="s">
        <v>733</v>
      </c>
      <c r="B18" t="s">
        <v>1142</v>
      </c>
      <c r="C18" s="4">
        <v>23668.560000000001</v>
      </c>
      <c r="D18" s="4">
        <f t="shared" si="3"/>
        <v>1331648.9160700005</v>
      </c>
      <c r="E18" s="4">
        <f t="shared" si="0"/>
        <v>617523.42324999988</v>
      </c>
      <c r="F18">
        <f t="shared" si="1"/>
        <v>0.4637284015312777</v>
      </c>
      <c r="G18" t="str">
        <f t="shared" si="2"/>
        <v>A</v>
      </c>
    </row>
    <row r="19" spans="1:7" x14ac:dyDescent="0.3">
      <c r="A19" t="s">
        <v>733</v>
      </c>
      <c r="B19" t="s">
        <v>1026</v>
      </c>
      <c r="C19" s="4">
        <v>23375.594060000003</v>
      </c>
      <c r="D19" s="4">
        <f t="shared" si="3"/>
        <v>1331648.9160700005</v>
      </c>
      <c r="E19" s="4">
        <f t="shared" si="0"/>
        <v>640899.01730999991</v>
      </c>
      <c r="F19">
        <f t="shared" si="1"/>
        <v>0.48128227310952126</v>
      </c>
      <c r="G19" t="str">
        <f t="shared" si="2"/>
        <v>A</v>
      </c>
    </row>
    <row r="20" spans="1:7" x14ac:dyDescent="0.3">
      <c r="A20" t="s">
        <v>733</v>
      </c>
      <c r="B20" t="s">
        <v>1089</v>
      </c>
      <c r="C20" s="4">
        <v>23195.01828</v>
      </c>
      <c r="D20" s="4">
        <f t="shared" si="3"/>
        <v>1331648.9160700005</v>
      </c>
      <c r="E20" s="4">
        <f t="shared" si="0"/>
        <v>664094.03558999987</v>
      </c>
      <c r="F20">
        <f t="shared" si="1"/>
        <v>0.49870054154355697</v>
      </c>
      <c r="G20" t="str">
        <f t="shared" si="2"/>
        <v>A</v>
      </c>
    </row>
    <row r="21" spans="1:7" x14ac:dyDescent="0.3">
      <c r="A21" t="s">
        <v>733</v>
      </c>
      <c r="B21" t="s">
        <v>1212</v>
      </c>
      <c r="C21" s="4">
        <v>22620.859800000002</v>
      </c>
      <c r="D21" s="4">
        <f t="shared" si="3"/>
        <v>1331648.9160700005</v>
      </c>
      <c r="E21" s="4">
        <f t="shared" si="0"/>
        <v>686714.89538999985</v>
      </c>
      <c r="F21">
        <f t="shared" si="1"/>
        <v>0.51568764642309184</v>
      </c>
      <c r="G21" t="str">
        <f t="shared" si="2"/>
        <v>A</v>
      </c>
    </row>
    <row r="22" spans="1:7" x14ac:dyDescent="0.3">
      <c r="A22" t="s">
        <v>733</v>
      </c>
      <c r="B22" t="s">
        <v>1255</v>
      </c>
      <c r="C22" s="4">
        <v>22526.66</v>
      </c>
      <c r="D22" s="4">
        <f t="shared" si="3"/>
        <v>1331648.9160700005</v>
      </c>
      <c r="E22" s="4">
        <f t="shared" si="0"/>
        <v>709241.55538999988</v>
      </c>
      <c r="F22">
        <f t="shared" si="1"/>
        <v>0.53260401208685948</v>
      </c>
      <c r="G22" t="str">
        <f t="shared" si="2"/>
        <v>A</v>
      </c>
    </row>
    <row r="23" spans="1:7" x14ac:dyDescent="0.3">
      <c r="A23" t="s">
        <v>733</v>
      </c>
      <c r="B23" t="s">
        <v>1270</v>
      </c>
      <c r="C23" s="4">
        <v>20430.771599999996</v>
      </c>
      <c r="D23" s="4">
        <f t="shared" si="3"/>
        <v>1331648.9160700005</v>
      </c>
      <c r="E23" s="4">
        <f t="shared" si="0"/>
        <v>729672.32698999986</v>
      </c>
      <c r="F23">
        <f t="shared" si="1"/>
        <v>0.54794647311652478</v>
      </c>
      <c r="G23" t="str">
        <f t="shared" si="2"/>
        <v>A</v>
      </c>
    </row>
    <row r="24" spans="1:7" x14ac:dyDescent="0.3">
      <c r="A24" t="s">
        <v>733</v>
      </c>
      <c r="B24" t="s">
        <v>1285</v>
      </c>
      <c r="C24" s="4">
        <v>20163.409200000002</v>
      </c>
      <c r="D24" s="4">
        <f t="shared" si="3"/>
        <v>1331648.9160700005</v>
      </c>
      <c r="E24" s="4">
        <f t="shared" si="0"/>
        <v>749835.73618999985</v>
      </c>
      <c r="F24">
        <f t="shared" si="1"/>
        <v>0.56308815870397433</v>
      </c>
      <c r="G24" t="str">
        <f t="shared" si="2"/>
        <v>A</v>
      </c>
    </row>
    <row r="25" spans="1:7" x14ac:dyDescent="0.3">
      <c r="A25" t="s">
        <v>733</v>
      </c>
      <c r="B25" t="s">
        <v>827</v>
      </c>
      <c r="C25" s="4">
        <v>20079.343620000003</v>
      </c>
      <c r="D25" s="4">
        <f t="shared" si="3"/>
        <v>1331648.9160700005</v>
      </c>
      <c r="E25" s="4">
        <f t="shared" si="0"/>
        <v>769915.07980999991</v>
      </c>
      <c r="F25">
        <f t="shared" si="1"/>
        <v>0.578166715354821</v>
      </c>
      <c r="G25" t="str">
        <f t="shared" si="2"/>
        <v>A</v>
      </c>
    </row>
    <row r="26" spans="1:7" x14ac:dyDescent="0.3">
      <c r="A26" t="s">
        <v>733</v>
      </c>
      <c r="B26" t="s">
        <v>1184</v>
      </c>
      <c r="C26" s="4">
        <v>19628.476999999999</v>
      </c>
      <c r="D26" s="4">
        <f t="shared" si="3"/>
        <v>1331648.9160700005</v>
      </c>
      <c r="E26" s="4">
        <f t="shared" si="0"/>
        <v>789543.55680999986</v>
      </c>
      <c r="F26">
        <f t="shared" si="1"/>
        <v>0.59290669431108234</v>
      </c>
      <c r="G26" t="str">
        <f t="shared" si="2"/>
        <v>A</v>
      </c>
    </row>
    <row r="27" spans="1:7" x14ac:dyDescent="0.3">
      <c r="A27" t="s">
        <v>733</v>
      </c>
      <c r="B27" t="s">
        <v>1024</v>
      </c>
      <c r="C27" s="4">
        <v>19066.045319999997</v>
      </c>
      <c r="D27" s="4">
        <f t="shared" si="3"/>
        <v>1331648.9160700005</v>
      </c>
      <c r="E27" s="4">
        <f t="shared" si="0"/>
        <v>808609.6021299999</v>
      </c>
      <c r="F27">
        <f t="shared" si="1"/>
        <v>0.60722431593786086</v>
      </c>
      <c r="G27" t="str">
        <f t="shared" si="2"/>
        <v>A</v>
      </c>
    </row>
    <row r="28" spans="1:7" x14ac:dyDescent="0.3">
      <c r="A28" t="s">
        <v>733</v>
      </c>
      <c r="B28" t="s">
        <v>995</v>
      </c>
      <c r="C28" s="4">
        <v>17964.4038</v>
      </c>
      <c r="D28" s="4">
        <f t="shared" si="3"/>
        <v>1331648.9160700005</v>
      </c>
      <c r="E28" s="4">
        <f t="shared" si="0"/>
        <v>826574.00592999987</v>
      </c>
      <c r="F28">
        <f t="shared" si="1"/>
        <v>0.62071466131584307</v>
      </c>
      <c r="G28" t="str">
        <f t="shared" si="2"/>
        <v>A</v>
      </c>
    </row>
    <row r="29" spans="1:7" x14ac:dyDescent="0.3">
      <c r="A29" t="s">
        <v>733</v>
      </c>
      <c r="B29" t="s">
        <v>943</v>
      </c>
      <c r="C29" s="4">
        <v>17847.907199999998</v>
      </c>
      <c r="D29" s="4">
        <f t="shared" si="3"/>
        <v>1331648.9160700005</v>
      </c>
      <c r="E29" s="4">
        <f t="shared" si="0"/>
        <v>844421.91312999988</v>
      </c>
      <c r="F29">
        <f t="shared" si="1"/>
        <v>0.63411752372545871</v>
      </c>
      <c r="G29" t="str">
        <f t="shared" si="2"/>
        <v>A</v>
      </c>
    </row>
    <row r="30" spans="1:7" x14ac:dyDescent="0.3">
      <c r="A30" t="s">
        <v>733</v>
      </c>
      <c r="B30" t="s">
        <v>1074</v>
      </c>
      <c r="C30" s="4">
        <v>17067.938400000003</v>
      </c>
      <c r="D30" s="4">
        <f t="shared" si="3"/>
        <v>1331648.9160700005</v>
      </c>
      <c r="E30" s="4">
        <f t="shared" si="0"/>
        <v>861489.85152999987</v>
      </c>
      <c r="F30">
        <f t="shared" si="1"/>
        <v>0.64693466959178159</v>
      </c>
      <c r="G30" t="str">
        <f t="shared" si="2"/>
        <v>A</v>
      </c>
    </row>
    <row r="31" spans="1:7" x14ac:dyDescent="0.3">
      <c r="A31" t="s">
        <v>733</v>
      </c>
      <c r="B31" t="s">
        <v>800</v>
      </c>
      <c r="C31" s="4">
        <v>16013.681599999998</v>
      </c>
      <c r="D31" s="4">
        <f t="shared" si="3"/>
        <v>1331648.9160700005</v>
      </c>
      <c r="E31" s="4">
        <f t="shared" si="0"/>
        <v>877503.53312999988</v>
      </c>
      <c r="F31">
        <f t="shared" si="1"/>
        <v>0.65896012270239579</v>
      </c>
      <c r="G31" t="str">
        <f t="shared" si="2"/>
        <v>A</v>
      </c>
    </row>
    <row r="32" spans="1:7" x14ac:dyDescent="0.3">
      <c r="A32" t="s">
        <v>733</v>
      </c>
      <c r="B32" t="s">
        <v>744</v>
      </c>
      <c r="C32" s="4">
        <v>16006.14344</v>
      </c>
      <c r="D32" s="4">
        <f t="shared" si="3"/>
        <v>1331648.9160700005</v>
      </c>
      <c r="E32" s="4">
        <f t="shared" si="0"/>
        <v>893509.67656999989</v>
      </c>
      <c r="F32">
        <f t="shared" si="1"/>
        <v>0.6709799150416843</v>
      </c>
      <c r="G32" t="str">
        <f t="shared" si="2"/>
        <v>A</v>
      </c>
    </row>
    <row r="33" spans="1:7" x14ac:dyDescent="0.3">
      <c r="A33" t="s">
        <v>733</v>
      </c>
      <c r="B33" t="s">
        <v>1286</v>
      </c>
      <c r="C33" s="4">
        <v>15860.782080000001</v>
      </c>
      <c r="D33" s="4">
        <f t="shared" si="3"/>
        <v>1331648.9160700005</v>
      </c>
      <c r="E33" s="4">
        <f t="shared" si="0"/>
        <v>909370.45864999993</v>
      </c>
      <c r="F33">
        <f t="shared" si="1"/>
        <v>0.68289054845909347</v>
      </c>
      <c r="G33" t="str">
        <f t="shared" si="2"/>
        <v>A</v>
      </c>
    </row>
    <row r="34" spans="1:7" x14ac:dyDescent="0.3">
      <c r="A34" t="s">
        <v>733</v>
      </c>
      <c r="B34" t="s">
        <v>1279</v>
      </c>
      <c r="C34" s="4">
        <v>15530.929919999999</v>
      </c>
      <c r="D34" s="4">
        <f t="shared" si="3"/>
        <v>1331648.9160700005</v>
      </c>
      <c r="E34" s="4">
        <f t="shared" ref="E34:E65" si="4">IF(A34=A33,E33+C34,C34)</f>
        <v>924901.38856999995</v>
      </c>
      <c r="F34">
        <f t="shared" si="1"/>
        <v>0.69455347983130178</v>
      </c>
      <c r="G34" t="str">
        <f t="shared" si="2"/>
        <v>A</v>
      </c>
    </row>
    <row r="35" spans="1:7" x14ac:dyDescent="0.3">
      <c r="A35" t="s">
        <v>733</v>
      </c>
      <c r="B35" t="s">
        <v>784</v>
      </c>
      <c r="C35" s="4">
        <v>14894.903999999999</v>
      </c>
      <c r="D35" s="4">
        <f t="shared" si="3"/>
        <v>1331648.9160700005</v>
      </c>
      <c r="E35" s="4">
        <f t="shared" si="4"/>
        <v>939796.29256999993</v>
      </c>
      <c r="F35">
        <f t="shared" si="1"/>
        <v>0.70573878837640858</v>
      </c>
      <c r="G35" t="str">
        <f t="shared" si="2"/>
        <v>A</v>
      </c>
    </row>
    <row r="36" spans="1:7" x14ac:dyDescent="0.3">
      <c r="A36" t="s">
        <v>733</v>
      </c>
      <c r="B36" t="s">
        <v>1188</v>
      </c>
      <c r="C36" s="4">
        <v>14752.706080000002</v>
      </c>
      <c r="D36" s="4">
        <f t="shared" si="3"/>
        <v>1331648.9160700005</v>
      </c>
      <c r="E36" s="4">
        <f t="shared" si="4"/>
        <v>954548.99864999996</v>
      </c>
      <c r="F36">
        <f t="shared" si="1"/>
        <v>0.71681731358073841</v>
      </c>
      <c r="G36" t="str">
        <f t="shared" si="2"/>
        <v>A</v>
      </c>
    </row>
    <row r="37" spans="1:7" x14ac:dyDescent="0.3">
      <c r="A37" t="s">
        <v>733</v>
      </c>
      <c r="B37" t="s">
        <v>904</v>
      </c>
      <c r="C37" s="4">
        <v>14549.029120000001</v>
      </c>
      <c r="D37" s="4">
        <f t="shared" si="3"/>
        <v>1331648.9160700005</v>
      </c>
      <c r="E37" s="4">
        <f t="shared" si="4"/>
        <v>969098.02776999993</v>
      </c>
      <c r="F37">
        <f t="shared" si="1"/>
        <v>0.72774288784015917</v>
      </c>
      <c r="G37" t="str">
        <f t="shared" si="2"/>
        <v>A</v>
      </c>
    </row>
    <row r="38" spans="1:7" x14ac:dyDescent="0.3">
      <c r="A38" t="s">
        <v>733</v>
      </c>
      <c r="B38" t="s">
        <v>1128</v>
      </c>
      <c r="C38" s="4">
        <v>14431.738420000001</v>
      </c>
      <c r="D38" s="4">
        <f t="shared" si="3"/>
        <v>1331648.9160700005</v>
      </c>
      <c r="E38" s="4">
        <f t="shared" si="4"/>
        <v>983529.76618999988</v>
      </c>
      <c r="F38">
        <f t="shared" si="1"/>
        <v>0.73858038280286398</v>
      </c>
      <c r="G38" t="str">
        <f t="shared" si="2"/>
        <v>A</v>
      </c>
    </row>
    <row r="39" spans="1:7" x14ac:dyDescent="0.3">
      <c r="A39" t="s">
        <v>733</v>
      </c>
      <c r="B39" t="s">
        <v>1338</v>
      </c>
      <c r="C39" s="4">
        <v>13856.52411</v>
      </c>
      <c r="D39" s="4">
        <f t="shared" si="3"/>
        <v>1331648.9160700005</v>
      </c>
      <c r="E39" s="4">
        <f t="shared" si="4"/>
        <v>997386.29029999988</v>
      </c>
      <c r="F39">
        <f t="shared" si="1"/>
        <v>0.74898592133691977</v>
      </c>
      <c r="G39" t="str">
        <f t="shared" si="2"/>
        <v>A</v>
      </c>
    </row>
    <row r="40" spans="1:7" x14ac:dyDescent="0.3">
      <c r="A40" t="s">
        <v>733</v>
      </c>
      <c r="B40" t="s">
        <v>881</v>
      </c>
      <c r="C40" s="4">
        <v>13321.14</v>
      </c>
      <c r="D40" s="4">
        <f t="shared" si="3"/>
        <v>1331648.9160700005</v>
      </c>
      <c r="E40" s="4">
        <f t="shared" si="4"/>
        <v>1010707.4302999999</v>
      </c>
      <c r="F40">
        <f t="shared" si="1"/>
        <v>0.75898941387856789</v>
      </c>
      <c r="G40" t="str">
        <f t="shared" si="2"/>
        <v>A</v>
      </c>
    </row>
    <row r="41" spans="1:7" x14ac:dyDescent="0.3">
      <c r="A41" t="s">
        <v>733</v>
      </c>
      <c r="B41" t="s">
        <v>1291</v>
      </c>
      <c r="C41" s="4">
        <v>13108.78584</v>
      </c>
      <c r="D41" s="4">
        <f t="shared" si="3"/>
        <v>1331648.9160700005</v>
      </c>
      <c r="E41" s="4">
        <f t="shared" si="4"/>
        <v>1023816.2161399999</v>
      </c>
      <c r="F41">
        <f t="shared" si="1"/>
        <v>0.7688334393433931</v>
      </c>
      <c r="G41" t="str">
        <f t="shared" si="2"/>
        <v>A</v>
      </c>
    </row>
    <row r="42" spans="1:7" x14ac:dyDescent="0.3">
      <c r="A42" t="s">
        <v>733</v>
      </c>
      <c r="B42" t="s">
        <v>1033</v>
      </c>
      <c r="C42" s="4">
        <v>12699.28</v>
      </c>
      <c r="D42" s="4">
        <f t="shared" si="3"/>
        <v>1331648.9160700005</v>
      </c>
      <c r="E42" s="4">
        <f t="shared" si="4"/>
        <v>1036515.4961399999</v>
      </c>
      <c r="F42">
        <f t="shared" si="1"/>
        <v>0.77836994693690997</v>
      </c>
      <c r="G42" t="str">
        <f t="shared" si="2"/>
        <v>A</v>
      </c>
    </row>
    <row r="43" spans="1:7" x14ac:dyDescent="0.3">
      <c r="A43" t="s">
        <v>733</v>
      </c>
      <c r="B43" t="s">
        <v>1321</v>
      </c>
      <c r="C43" s="4">
        <v>12040.64352</v>
      </c>
      <c r="D43" s="4">
        <f t="shared" si="3"/>
        <v>1331648.9160700005</v>
      </c>
      <c r="E43" s="4">
        <f t="shared" si="4"/>
        <v>1048556.13966</v>
      </c>
      <c r="F43">
        <f t="shared" si="1"/>
        <v>0.78741185233306699</v>
      </c>
      <c r="G43" t="str">
        <f t="shared" si="2"/>
        <v>A</v>
      </c>
    </row>
    <row r="44" spans="1:7" x14ac:dyDescent="0.3">
      <c r="A44" t="s">
        <v>733</v>
      </c>
      <c r="B44" t="s">
        <v>1227</v>
      </c>
      <c r="C44" s="4">
        <v>11859.695119999998</v>
      </c>
      <c r="D44" s="4">
        <f t="shared" si="3"/>
        <v>1331648.9160700005</v>
      </c>
      <c r="E44" s="4">
        <f t="shared" si="4"/>
        <v>1060415.8347799999</v>
      </c>
      <c r="F44">
        <f t="shared" si="1"/>
        <v>0.79631787476651783</v>
      </c>
      <c r="G44" t="str">
        <f t="shared" si="2"/>
        <v>A</v>
      </c>
    </row>
    <row r="45" spans="1:7" x14ac:dyDescent="0.3">
      <c r="A45" t="s">
        <v>733</v>
      </c>
      <c r="B45" t="s">
        <v>1046</v>
      </c>
      <c r="C45" s="4">
        <v>11283.400799999999</v>
      </c>
      <c r="D45" s="4">
        <f t="shared" si="3"/>
        <v>1331648.9160700005</v>
      </c>
      <c r="E45" s="4">
        <f t="shared" si="4"/>
        <v>1071699.2355799999</v>
      </c>
      <c r="F45">
        <f t="shared" si="1"/>
        <v>0.80479112973923228</v>
      </c>
      <c r="G45" t="str">
        <f t="shared" si="2"/>
        <v>B</v>
      </c>
    </row>
    <row r="46" spans="1:7" x14ac:dyDescent="0.3">
      <c r="A46" t="s">
        <v>733</v>
      </c>
      <c r="B46" t="s">
        <v>888</v>
      </c>
      <c r="C46" s="4">
        <v>11015.510400000003</v>
      </c>
      <c r="D46" s="4">
        <f t="shared" si="3"/>
        <v>1331648.9160700005</v>
      </c>
      <c r="E46" s="4">
        <f t="shared" si="4"/>
        <v>1082714.7459799999</v>
      </c>
      <c r="F46">
        <f t="shared" si="1"/>
        <v>0.81306321276882643</v>
      </c>
      <c r="G46" t="str">
        <f t="shared" si="2"/>
        <v>B</v>
      </c>
    </row>
    <row r="47" spans="1:7" x14ac:dyDescent="0.3">
      <c r="A47" t="s">
        <v>733</v>
      </c>
      <c r="B47" t="s">
        <v>756</v>
      </c>
      <c r="C47" s="4">
        <v>10936.992</v>
      </c>
      <c r="D47" s="4">
        <f t="shared" si="3"/>
        <v>1331648.9160700005</v>
      </c>
      <c r="E47" s="4">
        <f t="shared" si="4"/>
        <v>1093651.73798</v>
      </c>
      <c r="F47">
        <f t="shared" si="1"/>
        <v>0.82127633250933407</v>
      </c>
      <c r="G47" t="str">
        <f t="shared" si="2"/>
        <v>B</v>
      </c>
    </row>
    <row r="48" spans="1:7" x14ac:dyDescent="0.3">
      <c r="A48" t="s">
        <v>733</v>
      </c>
      <c r="B48" t="s">
        <v>1149</v>
      </c>
      <c r="C48" s="4">
        <v>10893.6232</v>
      </c>
      <c r="D48" s="4">
        <f t="shared" si="3"/>
        <v>1331648.9160700005</v>
      </c>
      <c r="E48" s="4">
        <f t="shared" si="4"/>
        <v>1104545.36118</v>
      </c>
      <c r="F48">
        <f t="shared" si="1"/>
        <v>0.82945688450658983</v>
      </c>
      <c r="G48" t="str">
        <f t="shared" si="2"/>
        <v>B</v>
      </c>
    </row>
    <row r="49" spans="1:7" x14ac:dyDescent="0.3">
      <c r="A49" t="s">
        <v>733</v>
      </c>
      <c r="B49" t="s">
        <v>1355</v>
      </c>
      <c r="C49" s="4">
        <v>10693.88488</v>
      </c>
      <c r="D49" s="4">
        <f t="shared" si="3"/>
        <v>1331648.9160700005</v>
      </c>
      <c r="E49" s="4">
        <f t="shared" si="4"/>
        <v>1115239.24606</v>
      </c>
      <c r="F49">
        <f t="shared" si="1"/>
        <v>0.83748744327545832</v>
      </c>
      <c r="G49" t="str">
        <f t="shared" si="2"/>
        <v>B</v>
      </c>
    </row>
    <row r="50" spans="1:7" x14ac:dyDescent="0.3">
      <c r="A50" t="s">
        <v>733</v>
      </c>
      <c r="B50" t="s">
        <v>804</v>
      </c>
      <c r="C50" s="4">
        <v>10647.727199999999</v>
      </c>
      <c r="D50" s="4">
        <f t="shared" si="3"/>
        <v>1331648.9160700005</v>
      </c>
      <c r="E50" s="4">
        <f t="shared" si="4"/>
        <v>1125886.9732600001</v>
      </c>
      <c r="F50">
        <f t="shared" si="1"/>
        <v>0.84548333999531144</v>
      </c>
      <c r="G50" t="str">
        <f t="shared" si="2"/>
        <v>B</v>
      </c>
    </row>
    <row r="51" spans="1:7" x14ac:dyDescent="0.3">
      <c r="A51" t="s">
        <v>733</v>
      </c>
      <c r="B51" t="s">
        <v>919</v>
      </c>
      <c r="C51" s="4">
        <v>10388.429999999998</v>
      </c>
      <c r="D51" s="4">
        <f t="shared" si="3"/>
        <v>1331648.9160700005</v>
      </c>
      <c r="E51" s="4">
        <f t="shared" si="4"/>
        <v>1136275.4032600001</v>
      </c>
      <c r="F51">
        <f t="shared" si="1"/>
        <v>0.8532845178242684</v>
      </c>
      <c r="G51" t="str">
        <f t="shared" si="2"/>
        <v>B</v>
      </c>
    </row>
    <row r="52" spans="1:7" x14ac:dyDescent="0.3">
      <c r="A52" t="s">
        <v>733</v>
      </c>
      <c r="B52" t="s">
        <v>892</v>
      </c>
      <c r="C52" s="4">
        <v>10382.65884</v>
      </c>
      <c r="D52" s="4">
        <f t="shared" si="3"/>
        <v>1331648.9160700005</v>
      </c>
      <c r="E52" s="4">
        <f t="shared" si="4"/>
        <v>1146658.0621</v>
      </c>
      <c r="F52">
        <f t="shared" si="1"/>
        <v>0.86108136180822292</v>
      </c>
      <c r="G52" t="str">
        <f t="shared" si="2"/>
        <v>B</v>
      </c>
    </row>
    <row r="53" spans="1:7" x14ac:dyDescent="0.3">
      <c r="A53" t="s">
        <v>733</v>
      </c>
      <c r="B53" t="s">
        <v>1059</v>
      </c>
      <c r="C53" s="4">
        <v>9829.0483199999999</v>
      </c>
      <c r="D53" s="4">
        <f t="shared" si="3"/>
        <v>1331648.9160700005</v>
      </c>
      <c r="E53" s="4">
        <f t="shared" si="4"/>
        <v>1156487.11042</v>
      </c>
      <c r="F53">
        <f t="shared" si="1"/>
        <v>0.86846247270118093</v>
      </c>
      <c r="G53" t="str">
        <f t="shared" si="2"/>
        <v>B</v>
      </c>
    </row>
    <row r="54" spans="1:7" x14ac:dyDescent="0.3">
      <c r="A54" t="s">
        <v>733</v>
      </c>
      <c r="B54" t="s">
        <v>1322</v>
      </c>
      <c r="C54" s="4">
        <v>9022.35</v>
      </c>
      <c r="D54" s="4">
        <f t="shared" si="3"/>
        <v>1331648.9160700005</v>
      </c>
      <c r="E54" s="4">
        <f t="shared" si="4"/>
        <v>1165509.4604200001</v>
      </c>
      <c r="F54">
        <f t="shared" si="1"/>
        <v>0.87523779455299988</v>
      </c>
      <c r="G54" t="str">
        <f t="shared" si="2"/>
        <v>B</v>
      </c>
    </row>
    <row r="55" spans="1:7" x14ac:dyDescent="0.3">
      <c r="A55" t="s">
        <v>733</v>
      </c>
      <c r="B55" t="s">
        <v>1231</v>
      </c>
      <c r="C55" s="4">
        <v>8644.6696000000011</v>
      </c>
      <c r="D55" s="4">
        <f t="shared" si="3"/>
        <v>1331648.9160700005</v>
      </c>
      <c r="E55" s="4">
        <f t="shared" si="4"/>
        <v>1174154.13002</v>
      </c>
      <c r="F55">
        <f t="shared" si="1"/>
        <v>0.88172949780577037</v>
      </c>
      <c r="G55" t="str">
        <f t="shared" si="2"/>
        <v>B</v>
      </c>
    </row>
    <row r="56" spans="1:7" x14ac:dyDescent="0.3">
      <c r="A56" t="s">
        <v>733</v>
      </c>
      <c r="B56" t="s">
        <v>759</v>
      </c>
      <c r="C56" s="4">
        <v>8596.2905599999995</v>
      </c>
      <c r="D56" s="4">
        <f t="shared" si="3"/>
        <v>1331648.9160700005</v>
      </c>
      <c r="E56" s="4">
        <f t="shared" si="4"/>
        <v>1182750.4205800002</v>
      </c>
      <c r="F56">
        <f t="shared" si="1"/>
        <v>0.88818487088215881</v>
      </c>
      <c r="G56" t="str">
        <f t="shared" si="2"/>
        <v>B</v>
      </c>
    </row>
    <row r="57" spans="1:7" x14ac:dyDescent="0.3">
      <c r="A57" t="s">
        <v>733</v>
      </c>
      <c r="B57" t="s">
        <v>1326</v>
      </c>
      <c r="C57" s="4">
        <v>8366.02</v>
      </c>
      <c r="D57" s="4">
        <f t="shared" si="3"/>
        <v>1331648.9160700005</v>
      </c>
      <c r="E57" s="4">
        <f t="shared" si="4"/>
        <v>1191116.4405800002</v>
      </c>
      <c r="F57">
        <f t="shared" si="1"/>
        <v>0.89446732258473671</v>
      </c>
      <c r="G57" t="str">
        <f t="shared" si="2"/>
        <v>B</v>
      </c>
    </row>
    <row r="58" spans="1:7" x14ac:dyDescent="0.3">
      <c r="A58" t="s">
        <v>733</v>
      </c>
      <c r="B58" t="s">
        <v>1150</v>
      </c>
      <c r="C58" s="4">
        <v>7969.4615000000003</v>
      </c>
      <c r="D58" s="4">
        <f t="shared" si="3"/>
        <v>1331648.9160700005</v>
      </c>
      <c r="E58" s="4">
        <f t="shared" si="4"/>
        <v>1199085.9020800001</v>
      </c>
      <c r="F58">
        <f t="shared" si="1"/>
        <v>0.90045197920393005</v>
      </c>
      <c r="G58" t="str">
        <f t="shared" si="2"/>
        <v>B</v>
      </c>
    </row>
    <row r="59" spans="1:7" x14ac:dyDescent="0.3">
      <c r="A59" t="s">
        <v>733</v>
      </c>
      <c r="B59" t="s">
        <v>948</v>
      </c>
      <c r="C59" s="4">
        <v>7854.6693599999999</v>
      </c>
      <c r="D59" s="4">
        <f t="shared" si="3"/>
        <v>1331648.9160700005</v>
      </c>
      <c r="E59" s="4">
        <f t="shared" si="4"/>
        <v>1206940.5714400001</v>
      </c>
      <c r="F59">
        <f t="shared" si="1"/>
        <v>0.90635043281674932</v>
      </c>
      <c r="G59" t="str">
        <f t="shared" si="2"/>
        <v>B</v>
      </c>
    </row>
    <row r="60" spans="1:7" x14ac:dyDescent="0.3">
      <c r="A60" t="s">
        <v>733</v>
      </c>
      <c r="B60" t="s">
        <v>916</v>
      </c>
      <c r="C60" s="4">
        <v>7689.4560000000001</v>
      </c>
      <c r="D60" s="4">
        <f t="shared" si="3"/>
        <v>1331648.9160700005</v>
      </c>
      <c r="E60" s="4">
        <f t="shared" si="4"/>
        <v>1214630.0274400001</v>
      </c>
      <c r="F60">
        <f t="shared" si="1"/>
        <v>0.91212481967443049</v>
      </c>
      <c r="G60" t="str">
        <f t="shared" si="2"/>
        <v>B</v>
      </c>
    </row>
    <row r="61" spans="1:7" x14ac:dyDescent="0.3">
      <c r="A61" t="s">
        <v>733</v>
      </c>
      <c r="B61" t="s">
        <v>748</v>
      </c>
      <c r="C61" s="4">
        <v>7578.84</v>
      </c>
      <c r="D61" s="4">
        <f t="shared" si="3"/>
        <v>1331648.9160700005</v>
      </c>
      <c r="E61" s="4">
        <f t="shared" si="4"/>
        <v>1222208.8674400002</v>
      </c>
      <c r="F61">
        <f t="shared" si="1"/>
        <v>0.91781613959257158</v>
      </c>
      <c r="G61" t="str">
        <f t="shared" si="2"/>
        <v>B</v>
      </c>
    </row>
    <row r="62" spans="1:7" x14ac:dyDescent="0.3">
      <c r="A62" t="s">
        <v>733</v>
      </c>
      <c r="B62" t="s">
        <v>993</v>
      </c>
      <c r="C62" s="4">
        <v>7568.9632000000001</v>
      </c>
      <c r="D62" s="4">
        <f t="shared" si="3"/>
        <v>1331648.9160700005</v>
      </c>
      <c r="E62" s="4">
        <f t="shared" si="4"/>
        <v>1229777.8306400003</v>
      </c>
      <c r="F62">
        <f t="shared" si="1"/>
        <v>0.92350004254075846</v>
      </c>
      <c r="G62" t="str">
        <f t="shared" si="2"/>
        <v>B</v>
      </c>
    </row>
    <row r="63" spans="1:7" x14ac:dyDescent="0.3">
      <c r="A63" t="s">
        <v>733</v>
      </c>
      <c r="B63" t="s">
        <v>1225</v>
      </c>
      <c r="C63" s="4">
        <v>7507.4514899999995</v>
      </c>
      <c r="D63" s="4">
        <f t="shared" si="3"/>
        <v>1331648.9160700005</v>
      </c>
      <c r="E63" s="4">
        <f t="shared" si="4"/>
        <v>1237285.2821300002</v>
      </c>
      <c r="F63">
        <f t="shared" si="1"/>
        <v>0.92913775335131954</v>
      </c>
      <c r="G63" t="str">
        <f t="shared" si="2"/>
        <v>B</v>
      </c>
    </row>
    <row r="64" spans="1:7" x14ac:dyDescent="0.3">
      <c r="A64" t="s">
        <v>733</v>
      </c>
      <c r="B64" t="s">
        <v>1027</v>
      </c>
      <c r="C64" s="4">
        <v>7382.1450000000004</v>
      </c>
      <c r="D64" s="4">
        <f t="shared" si="3"/>
        <v>1331648.9160700005</v>
      </c>
      <c r="E64" s="4">
        <f t="shared" si="4"/>
        <v>1244667.4271300002</v>
      </c>
      <c r="F64">
        <f t="shared" si="1"/>
        <v>0.93468136541821967</v>
      </c>
      <c r="G64" t="str">
        <f t="shared" si="2"/>
        <v>B</v>
      </c>
    </row>
    <row r="65" spans="1:7" x14ac:dyDescent="0.3">
      <c r="A65" t="s">
        <v>733</v>
      </c>
      <c r="B65" t="s">
        <v>1004</v>
      </c>
      <c r="C65" s="4">
        <v>7235.2134999999998</v>
      </c>
      <c r="D65" s="4">
        <f t="shared" si="3"/>
        <v>1331648.9160700005</v>
      </c>
      <c r="E65" s="4">
        <f t="shared" si="4"/>
        <v>1251902.6406300003</v>
      </c>
      <c r="F65">
        <f t="shared" si="1"/>
        <v>0.94011463946867491</v>
      </c>
      <c r="G65" t="str">
        <f t="shared" si="2"/>
        <v>B</v>
      </c>
    </row>
    <row r="66" spans="1:7" x14ac:dyDescent="0.3">
      <c r="A66" t="s">
        <v>733</v>
      </c>
      <c r="B66" t="s">
        <v>1066</v>
      </c>
      <c r="C66" s="4">
        <v>7105.3528000000006</v>
      </c>
      <c r="D66" s="4">
        <f t="shared" ref="D66:D129" si="5">SUMIF($A:$A,A66,$C:$C)</f>
        <v>1331648.9160700005</v>
      </c>
      <c r="E66" s="4">
        <f t="shared" ref="E66:E81" si="6">IF(A66=A65,E65+C66,C66)</f>
        <v>1259007.9934300003</v>
      </c>
      <c r="F66">
        <f t="shared" ref="F66:F129" si="7">E66/D66</f>
        <v>0.94545039479746651</v>
      </c>
      <c r="G66" t="str">
        <f t="shared" ref="G66:G129" si="8">IF(F66&lt;=0.8,"A",IF(F66&lt;=0.95,"B","C"))</f>
        <v>B</v>
      </c>
    </row>
    <row r="67" spans="1:7" x14ac:dyDescent="0.3">
      <c r="A67" t="s">
        <v>733</v>
      </c>
      <c r="B67" t="s">
        <v>1310</v>
      </c>
      <c r="C67" s="4">
        <v>6732.4334000000008</v>
      </c>
      <c r="D67" s="4">
        <f t="shared" si="5"/>
        <v>1331648.9160700005</v>
      </c>
      <c r="E67" s="4">
        <f t="shared" si="6"/>
        <v>1265740.4268300002</v>
      </c>
      <c r="F67">
        <f t="shared" si="7"/>
        <v>0.95050610679389036</v>
      </c>
      <c r="G67" t="str">
        <f t="shared" si="8"/>
        <v>C</v>
      </c>
    </row>
    <row r="68" spans="1:7" x14ac:dyDescent="0.3">
      <c r="A68" t="s">
        <v>733</v>
      </c>
      <c r="B68" t="s">
        <v>1011</v>
      </c>
      <c r="C68" s="4">
        <v>6066.54648</v>
      </c>
      <c r="D68" s="4">
        <f t="shared" si="5"/>
        <v>1331648.9160700005</v>
      </c>
      <c r="E68" s="4">
        <f t="shared" si="6"/>
        <v>1271806.9733100003</v>
      </c>
      <c r="F68">
        <f t="shared" si="7"/>
        <v>0.95506177188458397</v>
      </c>
      <c r="G68" t="str">
        <f t="shared" si="8"/>
        <v>C</v>
      </c>
    </row>
    <row r="69" spans="1:7" x14ac:dyDescent="0.3">
      <c r="A69" t="s">
        <v>733</v>
      </c>
      <c r="B69" t="s">
        <v>837</v>
      </c>
      <c r="C69" s="4">
        <v>5960.3340000000007</v>
      </c>
      <c r="D69" s="4">
        <f t="shared" si="5"/>
        <v>1331648.9160700005</v>
      </c>
      <c r="E69" s="4">
        <f t="shared" si="6"/>
        <v>1277767.3073100003</v>
      </c>
      <c r="F69">
        <f t="shared" si="7"/>
        <v>0.95953767685328273</v>
      </c>
      <c r="G69" t="str">
        <f t="shared" si="8"/>
        <v>C</v>
      </c>
    </row>
    <row r="70" spans="1:7" x14ac:dyDescent="0.3">
      <c r="A70" t="s">
        <v>733</v>
      </c>
      <c r="B70" t="s">
        <v>1067</v>
      </c>
      <c r="C70" s="4">
        <v>5610.0923999999995</v>
      </c>
      <c r="D70" s="4">
        <f t="shared" si="5"/>
        <v>1331648.9160700005</v>
      </c>
      <c r="E70" s="4">
        <f t="shared" si="6"/>
        <v>1283377.3997100003</v>
      </c>
      <c r="F70">
        <f t="shared" si="7"/>
        <v>0.96375056835366146</v>
      </c>
      <c r="G70" t="str">
        <f t="shared" si="8"/>
        <v>C</v>
      </c>
    </row>
    <row r="71" spans="1:7" x14ac:dyDescent="0.3">
      <c r="A71" t="s">
        <v>733</v>
      </c>
      <c r="B71" t="s">
        <v>961</v>
      </c>
      <c r="C71" s="4">
        <v>5533.6230000000005</v>
      </c>
      <c r="D71" s="4">
        <f t="shared" si="5"/>
        <v>1331648.9160700005</v>
      </c>
      <c r="E71" s="4">
        <f t="shared" si="6"/>
        <v>1288911.0227100002</v>
      </c>
      <c r="F71">
        <f t="shared" si="7"/>
        <v>0.96790603525880559</v>
      </c>
      <c r="G71" t="str">
        <f t="shared" si="8"/>
        <v>C</v>
      </c>
    </row>
    <row r="72" spans="1:7" x14ac:dyDescent="0.3">
      <c r="A72" t="s">
        <v>733</v>
      </c>
      <c r="B72" t="s">
        <v>791</v>
      </c>
      <c r="C72" s="4">
        <v>4790.1068000000005</v>
      </c>
      <c r="D72" s="4">
        <f t="shared" si="5"/>
        <v>1331648.9160700005</v>
      </c>
      <c r="E72" s="4">
        <f t="shared" si="6"/>
        <v>1293701.1295100001</v>
      </c>
      <c r="F72">
        <f t="shared" si="7"/>
        <v>0.97150315965262601</v>
      </c>
      <c r="G72" t="str">
        <f t="shared" si="8"/>
        <v>C</v>
      </c>
    </row>
    <row r="73" spans="1:7" x14ac:dyDescent="0.3">
      <c r="A73" t="s">
        <v>733</v>
      </c>
      <c r="B73" t="s">
        <v>1275</v>
      </c>
      <c r="C73" s="4">
        <v>4737.2198399999997</v>
      </c>
      <c r="D73" s="4">
        <f t="shared" si="5"/>
        <v>1331648.9160700005</v>
      </c>
      <c r="E73" s="4">
        <f t="shared" si="6"/>
        <v>1298438.34935</v>
      </c>
      <c r="F73">
        <f t="shared" si="7"/>
        <v>0.97506056865347634</v>
      </c>
      <c r="G73" t="str">
        <f t="shared" si="8"/>
        <v>C</v>
      </c>
    </row>
    <row r="74" spans="1:7" x14ac:dyDescent="0.3">
      <c r="A74" t="s">
        <v>733</v>
      </c>
      <c r="B74" t="s">
        <v>1303</v>
      </c>
      <c r="C74" s="4">
        <v>4577.1480000000001</v>
      </c>
      <c r="D74" s="4">
        <f t="shared" si="5"/>
        <v>1331648.9160700005</v>
      </c>
      <c r="E74" s="4">
        <f t="shared" si="6"/>
        <v>1303015.4973500001</v>
      </c>
      <c r="F74">
        <f t="shared" si="7"/>
        <v>0.97849777191686216</v>
      </c>
      <c r="G74" t="str">
        <f t="shared" si="8"/>
        <v>C</v>
      </c>
    </row>
    <row r="75" spans="1:7" x14ac:dyDescent="0.3">
      <c r="A75" t="s">
        <v>733</v>
      </c>
      <c r="B75" t="s">
        <v>793</v>
      </c>
      <c r="C75" s="4">
        <v>4569.8508000000002</v>
      </c>
      <c r="D75" s="4">
        <f t="shared" si="5"/>
        <v>1331648.9160700005</v>
      </c>
      <c r="E75" s="4">
        <f t="shared" si="6"/>
        <v>1307585.34815</v>
      </c>
      <c r="F75">
        <f t="shared" si="7"/>
        <v>0.98192949535751695</v>
      </c>
      <c r="G75" t="str">
        <f t="shared" si="8"/>
        <v>C</v>
      </c>
    </row>
    <row r="76" spans="1:7" x14ac:dyDescent="0.3">
      <c r="A76" t="s">
        <v>733</v>
      </c>
      <c r="B76" t="s">
        <v>865</v>
      </c>
      <c r="C76" s="4">
        <v>4417.8334199999999</v>
      </c>
      <c r="D76" s="4">
        <f t="shared" si="5"/>
        <v>1331648.9160700005</v>
      </c>
      <c r="E76" s="4">
        <f t="shared" si="6"/>
        <v>1312003.18157</v>
      </c>
      <c r="F76">
        <f t="shared" si="7"/>
        <v>0.98524706154683805</v>
      </c>
      <c r="G76" t="str">
        <f t="shared" si="8"/>
        <v>C</v>
      </c>
    </row>
    <row r="77" spans="1:7" x14ac:dyDescent="0.3">
      <c r="A77" t="s">
        <v>733</v>
      </c>
      <c r="B77" t="s">
        <v>1092</v>
      </c>
      <c r="C77" s="4">
        <v>4071.8</v>
      </c>
      <c r="D77" s="4">
        <f t="shared" si="5"/>
        <v>1331648.9160700005</v>
      </c>
      <c r="E77" s="4">
        <f t="shared" si="6"/>
        <v>1316074.9815700001</v>
      </c>
      <c r="F77">
        <f t="shared" si="7"/>
        <v>0.98830477439506903</v>
      </c>
      <c r="G77" t="str">
        <f t="shared" si="8"/>
        <v>C</v>
      </c>
    </row>
    <row r="78" spans="1:7" x14ac:dyDescent="0.3">
      <c r="A78" t="s">
        <v>733</v>
      </c>
      <c r="B78" t="s">
        <v>1072</v>
      </c>
      <c r="C78" s="4">
        <v>3021.5016000000001</v>
      </c>
      <c r="D78" s="4">
        <f t="shared" si="5"/>
        <v>1331648.9160700005</v>
      </c>
      <c r="E78" s="4">
        <f t="shared" si="6"/>
        <v>1319096.4831700001</v>
      </c>
      <c r="F78">
        <f t="shared" si="7"/>
        <v>0.99057376704285882</v>
      </c>
      <c r="G78" t="str">
        <f t="shared" si="8"/>
        <v>C</v>
      </c>
    </row>
    <row r="79" spans="1:7" x14ac:dyDescent="0.3">
      <c r="A79" t="s">
        <v>733</v>
      </c>
      <c r="B79" t="s">
        <v>1199</v>
      </c>
      <c r="C79" s="4">
        <v>2719.8567000000003</v>
      </c>
      <c r="D79" s="4">
        <f t="shared" si="5"/>
        <v>1331648.9160700005</v>
      </c>
      <c r="E79" s="4">
        <f t="shared" si="6"/>
        <v>1321816.33987</v>
      </c>
      <c r="F79">
        <f t="shared" si="7"/>
        <v>0.9926162398502012</v>
      </c>
      <c r="G79" t="str">
        <f t="shared" si="8"/>
        <v>C</v>
      </c>
    </row>
    <row r="80" spans="1:7" x14ac:dyDescent="0.3">
      <c r="A80" t="s">
        <v>733</v>
      </c>
      <c r="B80" t="s">
        <v>847</v>
      </c>
      <c r="C80" s="4">
        <v>2117.4834999999998</v>
      </c>
      <c r="D80" s="4">
        <f t="shared" si="5"/>
        <v>1331648.9160700005</v>
      </c>
      <c r="E80" s="4">
        <f t="shared" si="6"/>
        <v>1323933.8233700001</v>
      </c>
      <c r="F80">
        <f t="shared" si="7"/>
        <v>0.99420636129621209</v>
      </c>
      <c r="G80" t="str">
        <f t="shared" si="8"/>
        <v>C</v>
      </c>
    </row>
    <row r="81" spans="1:7" x14ac:dyDescent="0.3">
      <c r="A81" t="s">
        <v>733</v>
      </c>
      <c r="B81" t="s">
        <v>1223</v>
      </c>
      <c r="C81" s="4">
        <v>1547.3500000000001</v>
      </c>
      <c r="D81" s="4">
        <f t="shared" si="5"/>
        <v>1331648.9160700005</v>
      </c>
      <c r="E81" s="4">
        <f t="shared" si="6"/>
        <v>1325481.1733700002</v>
      </c>
      <c r="F81">
        <f t="shared" si="7"/>
        <v>0.99536834174115296</v>
      </c>
      <c r="G81" t="str">
        <f t="shared" si="8"/>
        <v>C</v>
      </c>
    </row>
    <row r="82" spans="1:7" x14ac:dyDescent="0.3">
      <c r="A82" t="s">
        <v>733</v>
      </c>
      <c r="B82" t="s">
        <v>873</v>
      </c>
      <c r="C82" s="4">
        <v>1446.9507000000001</v>
      </c>
      <c r="D82" s="4">
        <f t="shared" si="5"/>
        <v>1331648.9160700005</v>
      </c>
      <c r="E82" s="4">
        <f>C82</f>
        <v>1446.9507000000001</v>
      </c>
      <c r="F82">
        <f t="shared" si="7"/>
        <v>1.086585722812197E-3</v>
      </c>
      <c r="G82" t="str">
        <f t="shared" si="8"/>
        <v>A</v>
      </c>
    </row>
    <row r="83" spans="1:7" x14ac:dyDescent="0.3">
      <c r="A83" t="s">
        <v>733</v>
      </c>
      <c r="B83" t="s">
        <v>1352</v>
      </c>
      <c r="C83" s="4">
        <v>1030.7574</v>
      </c>
      <c r="D83" s="4">
        <f t="shared" si="5"/>
        <v>1331648.9160700005</v>
      </c>
      <c r="E83" s="4">
        <f t="shared" ref="E83:E146" si="9">IF(A83=A82,E82+C83,C83)</f>
        <v>2477.7080999999998</v>
      </c>
      <c r="F83">
        <f t="shared" si="7"/>
        <v>1.860631635035067E-3</v>
      </c>
      <c r="G83" t="str">
        <f t="shared" si="8"/>
        <v>A</v>
      </c>
    </row>
    <row r="84" spans="1:7" x14ac:dyDescent="0.3">
      <c r="A84" t="s">
        <v>733</v>
      </c>
      <c r="B84" t="s">
        <v>1250</v>
      </c>
      <c r="C84" s="4">
        <v>1010.3759200000001</v>
      </c>
      <c r="D84" s="4">
        <f t="shared" si="5"/>
        <v>1331648.9160700005</v>
      </c>
      <c r="E84" s="4">
        <f t="shared" si="9"/>
        <v>3488.0840199999998</v>
      </c>
      <c r="F84">
        <f t="shared" si="7"/>
        <v>2.6193721016903844E-3</v>
      </c>
      <c r="G84" t="str">
        <f t="shared" si="8"/>
        <v>A</v>
      </c>
    </row>
    <row r="85" spans="1:7" x14ac:dyDescent="0.3">
      <c r="A85" t="s">
        <v>733</v>
      </c>
      <c r="B85" t="s">
        <v>1194</v>
      </c>
      <c r="C85" s="4">
        <v>930.17574000000002</v>
      </c>
      <c r="D85" s="4">
        <f t="shared" si="5"/>
        <v>1331648.9160700005</v>
      </c>
      <c r="E85" s="4">
        <f t="shared" si="9"/>
        <v>4418.2597599999999</v>
      </c>
      <c r="F85">
        <f t="shared" si="7"/>
        <v>3.3178863487827496E-3</v>
      </c>
      <c r="G85" t="str">
        <f t="shared" si="8"/>
        <v>A</v>
      </c>
    </row>
    <row r="86" spans="1:7" x14ac:dyDescent="0.3">
      <c r="A86" t="s">
        <v>733</v>
      </c>
      <c r="B86" t="s">
        <v>955</v>
      </c>
      <c r="C86" s="4">
        <v>908.03700000000003</v>
      </c>
      <c r="D86" s="4">
        <f t="shared" si="5"/>
        <v>1331648.9160700005</v>
      </c>
      <c r="E86" s="4">
        <f t="shared" si="9"/>
        <v>5326.2967600000002</v>
      </c>
      <c r="F86">
        <f t="shared" si="7"/>
        <v>3.9997755382245315E-3</v>
      </c>
      <c r="G86" t="str">
        <f t="shared" si="8"/>
        <v>A</v>
      </c>
    </row>
    <row r="87" spans="1:7" x14ac:dyDescent="0.3">
      <c r="A87" t="s">
        <v>733</v>
      </c>
      <c r="B87" t="s">
        <v>843</v>
      </c>
      <c r="C87" s="4">
        <v>549.80010000000004</v>
      </c>
      <c r="D87" s="4">
        <f t="shared" si="5"/>
        <v>1331648.9160700005</v>
      </c>
      <c r="E87" s="4">
        <f t="shared" si="9"/>
        <v>5876.0968600000006</v>
      </c>
      <c r="F87">
        <f t="shared" si="7"/>
        <v>4.4126471993396746E-3</v>
      </c>
      <c r="G87" t="str">
        <f t="shared" si="8"/>
        <v>A</v>
      </c>
    </row>
    <row r="88" spans="1:7" x14ac:dyDescent="0.3">
      <c r="A88" t="s">
        <v>733</v>
      </c>
      <c r="B88" t="s">
        <v>792</v>
      </c>
      <c r="C88" s="4">
        <v>272.98599999999999</v>
      </c>
      <c r="D88" s="4">
        <f t="shared" si="5"/>
        <v>1331648.9160700005</v>
      </c>
      <c r="E88" s="4">
        <f t="shared" si="9"/>
        <v>6149.0828600000004</v>
      </c>
      <c r="F88">
        <f t="shared" si="7"/>
        <v>4.6176456765701767E-3</v>
      </c>
      <c r="G88" t="str">
        <f t="shared" si="8"/>
        <v>A</v>
      </c>
    </row>
    <row r="89" spans="1:7" x14ac:dyDescent="0.3">
      <c r="A89" t="s">
        <v>733</v>
      </c>
      <c r="B89" t="s">
        <v>914</v>
      </c>
      <c r="C89" s="4">
        <v>18.659839999999999</v>
      </c>
      <c r="D89" s="4">
        <f t="shared" si="5"/>
        <v>1331648.9160700005</v>
      </c>
      <c r="E89" s="4">
        <f t="shared" si="9"/>
        <v>6167.7427000000007</v>
      </c>
      <c r="F89">
        <f t="shared" si="7"/>
        <v>4.631658258846795E-3</v>
      </c>
      <c r="G89" t="str">
        <f t="shared" si="8"/>
        <v>A</v>
      </c>
    </row>
    <row r="90" spans="1:7" x14ac:dyDescent="0.3">
      <c r="A90" t="s">
        <v>727</v>
      </c>
      <c r="B90" t="s">
        <v>971</v>
      </c>
      <c r="C90" s="4">
        <v>139277.83032000001</v>
      </c>
      <c r="D90" s="4">
        <f t="shared" si="5"/>
        <v>1545646.997579999</v>
      </c>
      <c r="E90" s="4">
        <f t="shared" si="9"/>
        <v>139277.83032000001</v>
      </c>
      <c r="F90">
        <f t="shared" si="7"/>
        <v>9.0109727860284816E-2</v>
      </c>
      <c r="G90" t="str">
        <f t="shared" si="8"/>
        <v>A</v>
      </c>
    </row>
    <row r="91" spans="1:7" x14ac:dyDescent="0.3">
      <c r="A91" t="s">
        <v>727</v>
      </c>
      <c r="B91" t="s">
        <v>1198</v>
      </c>
      <c r="C91" s="4">
        <v>84136.119600000005</v>
      </c>
      <c r="D91" s="4">
        <f t="shared" si="5"/>
        <v>1545646.997579999</v>
      </c>
      <c r="E91" s="4">
        <f t="shared" si="9"/>
        <v>223413.94992000001</v>
      </c>
      <c r="F91">
        <f t="shared" si="7"/>
        <v>0.14454396784634302</v>
      </c>
      <c r="G91" t="str">
        <f t="shared" si="8"/>
        <v>A</v>
      </c>
    </row>
    <row r="92" spans="1:7" x14ac:dyDescent="0.3">
      <c r="A92" t="s">
        <v>727</v>
      </c>
      <c r="B92" t="s">
        <v>860</v>
      </c>
      <c r="C92" s="4">
        <v>65111.38614000001</v>
      </c>
      <c r="D92" s="4">
        <f t="shared" si="5"/>
        <v>1545646.997579999</v>
      </c>
      <c r="E92" s="4">
        <f t="shared" si="9"/>
        <v>288525.33606</v>
      </c>
      <c r="F92">
        <f t="shared" si="7"/>
        <v>0.18666961894387313</v>
      </c>
      <c r="G92" t="str">
        <f t="shared" si="8"/>
        <v>A</v>
      </c>
    </row>
    <row r="93" spans="1:7" x14ac:dyDescent="0.3">
      <c r="A93" t="s">
        <v>727</v>
      </c>
      <c r="B93" t="s">
        <v>743</v>
      </c>
      <c r="C93" s="4">
        <v>60928.502359999999</v>
      </c>
      <c r="D93" s="4">
        <f t="shared" si="5"/>
        <v>1545646.997579999</v>
      </c>
      <c r="E93" s="4">
        <f t="shared" si="9"/>
        <v>349453.83841999999</v>
      </c>
      <c r="F93">
        <f t="shared" si="7"/>
        <v>0.22608903518535323</v>
      </c>
      <c r="G93" t="str">
        <f t="shared" si="8"/>
        <v>A</v>
      </c>
    </row>
    <row r="94" spans="1:7" x14ac:dyDescent="0.3">
      <c r="A94" t="s">
        <v>727</v>
      </c>
      <c r="B94" t="s">
        <v>1245</v>
      </c>
      <c r="C94" s="4">
        <v>50296.415399999998</v>
      </c>
      <c r="D94" s="4">
        <f t="shared" si="5"/>
        <v>1545646.997579999</v>
      </c>
      <c r="E94" s="4">
        <f t="shared" si="9"/>
        <v>399750.25381999998</v>
      </c>
      <c r="F94">
        <f t="shared" si="7"/>
        <v>0.25862972234014892</v>
      </c>
      <c r="G94" t="str">
        <f t="shared" si="8"/>
        <v>A</v>
      </c>
    </row>
    <row r="95" spans="1:7" x14ac:dyDescent="0.3">
      <c r="A95" t="s">
        <v>727</v>
      </c>
      <c r="B95" t="s">
        <v>1125</v>
      </c>
      <c r="C95" s="4">
        <v>48097.911050000002</v>
      </c>
      <c r="D95" s="4">
        <f t="shared" si="5"/>
        <v>1545646.997579999</v>
      </c>
      <c r="E95" s="4">
        <f t="shared" si="9"/>
        <v>447848.16486999998</v>
      </c>
      <c r="F95">
        <f t="shared" si="7"/>
        <v>0.28974802498318858</v>
      </c>
      <c r="G95" t="str">
        <f t="shared" si="8"/>
        <v>A</v>
      </c>
    </row>
    <row r="96" spans="1:7" x14ac:dyDescent="0.3">
      <c r="A96" t="s">
        <v>727</v>
      </c>
      <c r="B96" t="s">
        <v>1351</v>
      </c>
      <c r="C96" s="4">
        <v>41419.524249999995</v>
      </c>
      <c r="D96" s="4">
        <f t="shared" si="5"/>
        <v>1545646.997579999</v>
      </c>
      <c r="E96" s="4">
        <f t="shared" si="9"/>
        <v>489267.68912</v>
      </c>
      <c r="F96">
        <f t="shared" si="7"/>
        <v>0.31654555657665723</v>
      </c>
      <c r="G96" t="str">
        <f t="shared" si="8"/>
        <v>A</v>
      </c>
    </row>
    <row r="97" spans="1:7" x14ac:dyDescent="0.3">
      <c r="A97" t="s">
        <v>727</v>
      </c>
      <c r="B97" t="s">
        <v>1361</v>
      </c>
      <c r="C97" s="4">
        <v>40476.013200000001</v>
      </c>
      <c r="D97" s="4">
        <f t="shared" si="5"/>
        <v>1545646.997579999</v>
      </c>
      <c r="E97" s="4">
        <f t="shared" si="9"/>
        <v>529743.70232000004</v>
      </c>
      <c r="F97">
        <f t="shared" si="7"/>
        <v>0.34273265703580014</v>
      </c>
      <c r="G97" t="str">
        <f t="shared" si="8"/>
        <v>A</v>
      </c>
    </row>
    <row r="98" spans="1:7" x14ac:dyDescent="0.3">
      <c r="A98" t="s">
        <v>727</v>
      </c>
      <c r="B98" t="s">
        <v>794</v>
      </c>
      <c r="C98" s="4">
        <v>33687.501800000005</v>
      </c>
      <c r="D98" s="4">
        <f t="shared" si="5"/>
        <v>1545646.997579999</v>
      </c>
      <c r="E98" s="4">
        <f t="shared" si="9"/>
        <v>563431.20412000001</v>
      </c>
      <c r="F98">
        <f t="shared" si="7"/>
        <v>0.36452773822364193</v>
      </c>
      <c r="G98" t="str">
        <f t="shared" si="8"/>
        <v>A</v>
      </c>
    </row>
    <row r="99" spans="1:7" x14ac:dyDescent="0.3">
      <c r="A99" t="s">
        <v>727</v>
      </c>
      <c r="B99" t="s">
        <v>1247</v>
      </c>
      <c r="C99" s="4">
        <v>33308.550000000003</v>
      </c>
      <c r="D99" s="4">
        <f t="shared" si="5"/>
        <v>1545646.997579999</v>
      </c>
      <c r="E99" s="4">
        <f t="shared" si="9"/>
        <v>596739.75412000006</v>
      </c>
      <c r="F99">
        <f t="shared" si="7"/>
        <v>0.38607764583653859</v>
      </c>
      <c r="G99" t="str">
        <f t="shared" si="8"/>
        <v>A</v>
      </c>
    </row>
    <row r="100" spans="1:7" x14ac:dyDescent="0.3">
      <c r="A100" t="s">
        <v>727</v>
      </c>
      <c r="B100" t="s">
        <v>1238</v>
      </c>
      <c r="C100" s="4">
        <v>32335.21802</v>
      </c>
      <c r="D100" s="4">
        <f t="shared" si="5"/>
        <v>1545646.997579999</v>
      </c>
      <c r="E100" s="4">
        <f t="shared" si="9"/>
        <v>629074.97214000009</v>
      </c>
      <c r="F100">
        <f t="shared" si="7"/>
        <v>0.40699782882180424</v>
      </c>
      <c r="G100" t="str">
        <f t="shared" si="8"/>
        <v>A</v>
      </c>
    </row>
    <row r="101" spans="1:7" x14ac:dyDescent="0.3">
      <c r="A101" t="s">
        <v>727</v>
      </c>
      <c r="B101" t="s">
        <v>795</v>
      </c>
      <c r="C101" s="4">
        <v>27701.570400000001</v>
      </c>
      <c r="D101" s="4">
        <f t="shared" si="5"/>
        <v>1545646.997579999</v>
      </c>
      <c r="E101" s="4">
        <f t="shared" si="9"/>
        <v>656776.54254000005</v>
      </c>
      <c r="F101">
        <f t="shared" si="7"/>
        <v>0.42492014254762389</v>
      </c>
      <c r="G101" t="str">
        <f t="shared" si="8"/>
        <v>A</v>
      </c>
    </row>
    <row r="102" spans="1:7" x14ac:dyDescent="0.3">
      <c r="A102" t="s">
        <v>727</v>
      </c>
      <c r="B102" t="s">
        <v>844</v>
      </c>
      <c r="C102" s="4">
        <v>27676.35</v>
      </c>
      <c r="D102" s="4">
        <f t="shared" si="5"/>
        <v>1545646.997579999</v>
      </c>
      <c r="E102" s="4">
        <f t="shared" si="9"/>
        <v>684452.89254000003</v>
      </c>
      <c r="F102">
        <f t="shared" si="7"/>
        <v>0.44282613922301772</v>
      </c>
      <c r="G102" t="str">
        <f t="shared" si="8"/>
        <v>A</v>
      </c>
    </row>
    <row r="103" spans="1:7" x14ac:dyDescent="0.3">
      <c r="A103" t="s">
        <v>727</v>
      </c>
      <c r="B103" t="s">
        <v>768</v>
      </c>
      <c r="C103" s="4">
        <v>27331.829999999998</v>
      </c>
      <c r="D103" s="4">
        <f t="shared" si="5"/>
        <v>1545646.997579999</v>
      </c>
      <c r="E103" s="4">
        <f t="shared" si="9"/>
        <v>711784.72253999999</v>
      </c>
      <c r="F103">
        <f t="shared" si="7"/>
        <v>0.46050923894940615</v>
      </c>
      <c r="G103" t="str">
        <f t="shared" si="8"/>
        <v>A</v>
      </c>
    </row>
    <row r="104" spans="1:7" x14ac:dyDescent="0.3">
      <c r="A104" t="s">
        <v>727</v>
      </c>
      <c r="B104" t="s">
        <v>1082</v>
      </c>
      <c r="C104" s="4">
        <v>27158.894079999998</v>
      </c>
      <c r="D104" s="4">
        <f t="shared" si="5"/>
        <v>1545646.997579999</v>
      </c>
      <c r="E104" s="4">
        <f t="shared" si="9"/>
        <v>738943.61661999999</v>
      </c>
      <c r="F104">
        <f t="shared" si="7"/>
        <v>0.47808045289574863</v>
      </c>
      <c r="G104" t="str">
        <f t="shared" si="8"/>
        <v>A</v>
      </c>
    </row>
    <row r="105" spans="1:7" x14ac:dyDescent="0.3">
      <c r="A105" t="s">
        <v>727</v>
      </c>
      <c r="B105" t="s">
        <v>1058</v>
      </c>
      <c r="C105" s="4">
        <v>26015.449459999996</v>
      </c>
      <c r="D105" s="4">
        <f t="shared" si="5"/>
        <v>1545646.997579999</v>
      </c>
      <c r="E105" s="4">
        <f t="shared" si="9"/>
        <v>764959.06608000002</v>
      </c>
      <c r="F105">
        <f t="shared" si="7"/>
        <v>0.49491188303518674</v>
      </c>
      <c r="G105" t="str">
        <f t="shared" si="8"/>
        <v>A</v>
      </c>
    </row>
    <row r="106" spans="1:7" x14ac:dyDescent="0.3">
      <c r="A106" t="s">
        <v>727</v>
      </c>
      <c r="B106" t="s">
        <v>1034</v>
      </c>
      <c r="C106" s="4">
        <v>25577.274079999999</v>
      </c>
      <c r="D106" s="4">
        <f t="shared" si="5"/>
        <v>1545646.997579999</v>
      </c>
      <c r="E106" s="4">
        <f t="shared" si="9"/>
        <v>790536.34016000002</v>
      </c>
      <c r="F106">
        <f t="shared" si="7"/>
        <v>0.51145982323113448</v>
      </c>
      <c r="G106" t="str">
        <f t="shared" si="8"/>
        <v>A</v>
      </c>
    </row>
    <row r="107" spans="1:7" x14ac:dyDescent="0.3">
      <c r="A107" t="s">
        <v>727</v>
      </c>
      <c r="B107" t="s">
        <v>1201</v>
      </c>
      <c r="C107" s="4">
        <v>25269.09</v>
      </c>
      <c r="D107" s="4">
        <f t="shared" si="5"/>
        <v>1545646.997579999</v>
      </c>
      <c r="E107" s="4">
        <f t="shared" si="9"/>
        <v>815805.43015999999</v>
      </c>
      <c r="F107">
        <f t="shared" si="7"/>
        <v>0.52780837502825473</v>
      </c>
      <c r="G107" t="str">
        <f t="shared" si="8"/>
        <v>A</v>
      </c>
    </row>
    <row r="108" spans="1:7" x14ac:dyDescent="0.3">
      <c r="A108" t="s">
        <v>727</v>
      </c>
      <c r="B108" t="s">
        <v>1319</v>
      </c>
      <c r="C108" s="4">
        <v>25131.155999999999</v>
      </c>
      <c r="D108" s="4">
        <f t="shared" si="5"/>
        <v>1545646.997579999</v>
      </c>
      <c r="E108" s="4">
        <f t="shared" si="9"/>
        <v>840936.58615999995</v>
      </c>
      <c r="F108">
        <f t="shared" si="7"/>
        <v>0.54406768652651238</v>
      </c>
      <c r="G108" t="str">
        <f t="shared" si="8"/>
        <v>A</v>
      </c>
    </row>
    <row r="109" spans="1:7" x14ac:dyDescent="0.3">
      <c r="A109" t="s">
        <v>727</v>
      </c>
      <c r="B109" t="s">
        <v>758</v>
      </c>
      <c r="C109" s="4">
        <v>24894.430559999997</v>
      </c>
      <c r="D109" s="4">
        <f t="shared" si="5"/>
        <v>1545646.997579999</v>
      </c>
      <c r="E109" s="4">
        <f t="shared" si="9"/>
        <v>865831.01671999996</v>
      </c>
      <c r="F109">
        <f t="shared" si="7"/>
        <v>0.56017384181227747</v>
      </c>
      <c r="G109" t="str">
        <f t="shared" si="8"/>
        <v>A</v>
      </c>
    </row>
    <row r="110" spans="1:7" x14ac:dyDescent="0.3">
      <c r="A110" t="s">
        <v>727</v>
      </c>
      <c r="B110" t="s">
        <v>1192</v>
      </c>
      <c r="C110" s="4">
        <v>24321.57</v>
      </c>
      <c r="D110" s="4">
        <f t="shared" si="5"/>
        <v>1545646.997579999</v>
      </c>
      <c r="E110" s="4">
        <f t="shared" si="9"/>
        <v>890152.5867199999</v>
      </c>
      <c r="F110">
        <f t="shared" si="7"/>
        <v>0.5759093687715896</v>
      </c>
      <c r="G110" t="str">
        <f t="shared" si="8"/>
        <v>A</v>
      </c>
    </row>
    <row r="111" spans="1:7" x14ac:dyDescent="0.3">
      <c r="A111" t="s">
        <v>727</v>
      </c>
      <c r="B111" t="s">
        <v>891</v>
      </c>
      <c r="C111" s="4">
        <v>24147.922500000001</v>
      </c>
      <c r="D111" s="4">
        <f t="shared" si="5"/>
        <v>1545646.997579999</v>
      </c>
      <c r="E111" s="4">
        <f t="shared" si="9"/>
        <v>914300.50921999989</v>
      </c>
      <c r="F111">
        <f t="shared" si="7"/>
        <v>0.59153254957406787</v>
      </c>
      <c r="G111" t="str">
        <f t="shared" si="8"/>
        <v>A</v>
      </c>
    </row>
    <row r="112" spans="1:7" x14ac:dyDescent="0.3">
      <c r="A112" t="s">
        <v>727</v>
      </c>
      <c r="B112" t="s">
        <v>1185</v>
      </c>
      <c r="C112" s="4">
        <v>23694.405119999999</v>
      </c>
      <c r="D112" s="4">
        <f t="shared" si="5"/>
        <v>1545646.997579999</v>
      </c>
      <c r="E112" s="4">
        <f t="shared" si="9"/>
        <v>937994.9143399999</v>
      </c>
      <c r="F112">
        <f t="shared" si="7"/>
        <v>0.60686231449264116</v>
      </c>
      <c r="G112" t="str">
        <f t="shared" si="8"/>
        <v>A</v>
      </c>
    </row>
    <row r="113" spans="1:7" x14ac:dyDescent="0.3">
      <c r="A113" t="s">
        <v>727</v>
      </c>
      <c r="B113" t="s">
        <v>994</v>
      </c>
      <c r="C113" s="4">
        <v>22882.675440000003</v>
      </c>
      <c r="D113" s="4">
        <f t="shared" si="5"/>
        <v>1545646.997579999</v>
      </c>
      <c r="E113" s="4">
        <f t="shared" si="9"/>
        <v>960877.58977999992</v>
      </c>
      <c r="F113">
        <f t="shared" si="7"/>
        <v>0.62166690795791957</v>
      </c>
      <c r="G113" t="str">
        <f t="shared" si="8"/>
        <v>A</v>
      </c>
    </row>
    <row r="114" spans="1:7" x14ac:dyDescent="0.3">
      <c r="A114" t="s">
        <v>727</v>
      </c>
      <c r="B114" t="s">
        <v>812</v>
      </c>
      <c r="C114" s="4">
        <v>21787.936199999996</v>
      </c>
      <c r="D114" s="4">
        <f t="shared" si="5"/>
        <v>1545646.997579999</v>
      </c>
      <c r="E114" s="4">
        <f t="shared" si="9"/>
        <v>982665.52597999992</v>
      </c>
      <c r="F114">
        <f t="shared" si="7"/>
        <v>0.63576322893813886</v>
      </c>
      <c r="G114" t="str">
        <f t="shared" si="8"/>
        <v>A</v>
      </c>
    </row>
    <row r="115" spans="1:7" x14ac:dyDescent="0.3">
      <c r="A115" t="s">
        <v>727</v>
      </c>
      <c r="B115" t="s">
        <v>1099</v>
      </c>
      <c r="C115" s="4">
        <v>21584.693520000001</v>
      </c>
      <c r="D115" s="4">
        <f t="shared" si="5"/>
        <v>1545646.997579999</v>
      </c>
      <c r="E115" s="4">
        <f t="shared" si="9"/>
        <v>1004250.2194999999</v>
      </c>
      <c r="F115">
        <f t="shared" si="7"/>
        <v>0.64972805632356057</v>
      </c>
      <c r="G115" t="str">
        <f t="shared" si="8"/>
        <v>A</v>
      </c>
    </row>
    <row r="116" spans="1:7" x14ac:dyDescent="0.3">
      <c r="A116" t="s">
        <v>727</v>
      </c>
      <c r="B116" t="s">
        <v>1127</v>
      </c>
      <c r="C116" s="4">
        <v>19800.88896</v>
      </c>
      <c r="D116" s="4">
        <f t="shared" si="5"/>
        <v>1545646.997579999</v>
      </c>
      <c r="E116" s="4">
        <f t="shared" si="9"/>
        <v>1024051.1084599999</v>
      </c>
      <c r="F116">
        <f t="shared" si="7"/>
        <v>0.66253880094442286</v>
      </c>
      <c r="G116" t="str">
        <f t="shared" si="8"/>
        <v>A</v>
      </c>
    </row>
    <row r="117" spans="1:7" x14ac:dyDescent="0.3">
      <c r="A117" t="s">
        <v>727</v>
      </c>
      <c r="B117" t="s">
        <v>990</v>
      </c>
      <c r="C117" s="4">
        <v>19073.059649999999</v>
      </c>
      <c r="D117" s="4">
        <f t="shared" si="5"/>
        <v>1545646.997579999</v>
      </c>
      <c r="E117" s="4">
        <f t="shared" si="9"/>
        <v>1043124.1681099999</v>
      </c>
      <c r="F117">
        <f t="shared" si="7"/>
        <v>0.67487865582711115</v>
      </c>
      <c r="G117" t="str">
        <f t="shared" si="8"/>
        <v>A</v>
      </c>
    </row>
    <row r="118" spans="1:7" x14ac:dyDescent="0.3">
      <c r="A118" t="s">
        <v>727</v>
      </c>
      <c r="B118" t="s">
        <v>770</v>
      </c>
      <c r="C118" s="4">
        <v>18957.37689</v>
      </c>
      <c r="D118" s="4">
        <f t="shared" si="5"/>
        <v>1545646.997579999</v>
      </c>
      <c r="E118" s="4">
        <f t="shared" si="9"/>
        <v>1062081.5449999999</v>
      </c>
      <c r="F118">
        <f t="shared" si="7"/>
        <v>0.68714366647940195</v>
      </c>
      <c r="G118" t="str">
        <f t="shared" si="8"/>
        <v>A</v>
      </c>
    </row>
    <row r="119" spans="1:7" x14ac:dyDescent="0.3">
      <c r="A119" t="s">
        <v>727</v>
      </c>
      <c r="B119" t="s">
        <v>1101</v>
      </c>
      <c r="C119" s="4">
        <v>18554.370299999999</v>
      </c>
      <c r="D119" s="4">
        <f t="shared" si="5"/>
        <v>1545646.997579999</v>
      </c>
      <c r="E119" s="4">
        <f t="shared" si="9"/>
        <v>1080635.9153</v>
      </c>
      <c r="F119">
        <f t="shared" si="7"/>
        <v>0.69914794063064767</v>
      </c>
      <c r="G119" t="str">
        <f t="shared" si="8"/>
        <v>A</v>
      </c>
    </row>
    <row r="120" spans="1:7" x14ac:dyDescent="0.3">
      <c r="A120" t="s">
        <v>727</v>
      </c>
      <c r="B120" t="s">
        <v>944</v>
      </c>
      <c r="C120" s="4">
        <v>18061.204320000004</v>
      </c>
      <c r="D120" s="4">
        <f t="shared" si="5"/>
        <v>1545646.997579999</v>
      </c>
      <c r="E120" s="4">
        <f t="shared" si="9"/>
        <v>1098697.11962</v>
      </c>
      <c r="F120">
        <f t="shared" si="7"/>
        <v>0.71083314711587897</v>
      </c>
      <c r="G120" t="str">
        <f t="shared" si="8"/>
        <v>A</v>
      </c>
    </row>
    <row r="121" spans="1:7" x14ac:dyDescent="0.3">
      <c r="A121" t="s">
        <v>727</v>
      </c>
      <c r="B121" t="s">
        <v>778</v>
      </c>
      <c r="C121" s="4">
        <v>17930.494560000003</v>
      </c>
      <c r="D121" s="4">
        <f t="shared" si="5"/>
        <v>1545646.997579999</v>
      </c>
      <c r="E121" s="4">
        <f t="shared" si="9"/>
        <v>1116627.61418</v>
      </c>
      <c r="F121">
        <f t="shared" si="7"/>
        <v>0.72243378722844898</v>
      </c>
      <c r="G121" t="str">
        <f t="shared" si="8"/>
        <v>A</v>
      </c>
    </row>
    <row r="122" spans="1:7" x14ac:dyDescent="0.3">
      <c r="A122" t="s">
        <v>727</v>
      </c>
      <c r="B122" t="s">
        <v>1001</v>
      </c>
      <c r="C122" s="4">
        <v>17594.028880000002</v>
      </c>
      <c r="D122" s="4">
        <f t="shared" si="5"/>
        <v>1545646.997579999</v>
      </c>
      <c r="E122" s="4">
        <f t="shared" si="9"/>
        <v>1134221.6430600001</v>
      </c>
      <c r="F122">
        <f t="shared" si="7"/>
        <v>0.73381674136192632</v>
      </c>
      <c r="G122" t="str">
        <f t="shared" si="8"/>
        <v>A</v>
      </c>
    </row>
    <row r="123" spans="1:7" x14ac:dyDescent="0.3">
      <c r="A123" t="s">
        <v>727</v>
      </c>
      <c r="B123" t="s">
        <v>1298</v>
      </c>
      <c r="C123" s="4">
        <v>17540.201120000002</v>
      </c>
      <c r="D123" s="4">
        <f t="shared" si="5"/>
        <v>1545646.997579999</v>
      </c>
      <c r="E123" s="4">
        <f t="shared" si="9"/>
        <v>1151761.8441800002</v>
      </c>
      <c r="F123">
        <f t="shared" si="7"/>
        <v>0.74516487010507571</v>
      </c>
      <c r="G123" t="str">
        <f t="shared" si="8"/>
        <v>A</v>
      </c>
    </row>
    <row r="124" spans="1:7" x14ac:dyDescent="0.3">
      <c r="A124" t="s">
        <v>727</v>
      </c>
      <c r="B124" t="s">
        <v>1135</v>
      </c>
      <c r="C124" s="4">
        <v>16946.091840000001</v>
      </c>
      <c r="D124" s="4">
        <f t="shared" si="5"/>
        <v>1545646.997579999</v>
      </c>
      <c r="E124" s="4">
        <f t="shared" si="9"/>
        <v>1168707.9360200001</v>
      </c>
      <c r="F124">
        <f t="shared" si="7"/>
        <v>0.75612862306194895</v>
      </c>
      <c r="G124" t="str">
        <f t="shared" si="8"/>
        <v>A</v>
      </c>
    </row>
    <row r="125" spans="1:7" x14ac:dyDescent="0.3">
      <c r="A125" t="s">
        <v>727</v>
      </c>
      <c r="B125" t="s">
        <v>1205</v>
      </c>
      <c r="C125" s="4">
        <v>15374.563199999999</v>
      </c>
      <c r="D125" s="4">
        <f t="shared" si="5"/>
        <v>1545646.997579999</v>
      </c>
      <c r="E125" s="4">
        <f t="shared" si="9"/>
        <v>1184082.4992200001</v>
      </c>
      <c r="F125">
        <f t="shared" si="7"/>
        <v>0.76607563115892818</v>
      </c>
      <c r="G125" t="str">
        <f t="shared" si="8"/>
        <v>A</v>
      </c>
    </row>
    <row r="126" spans="1:7" x14ac:dyDescent="0.3">
      <c r="A126" t="s">
        <v>727</v>
      </c>
      <c r="B126" t="s">
        <v>1111</v>
      </c>
      <c r="C126" s="4">
        <v>15348.702599999999</v>
      </c>
      <c r="D126" s="4">
        <f t="shared" si="5"/>
        <v>1545646.997579999</v>
      </c>
      <c r="E126" s="4">
        <f t="shared" si="9"/>
        <v>1199431.2018200001</v>
      </c>
      <c r="F126">
        <f t="shared" si="7"/>
        <v>0.77600590801000169</v>
      </c>
      <c r="G126" t="str">
        <f t="shared" si="8"/>
        <v>A</v>
      </c>
    </row>
    <row r="127" spans="1:7" x14ac:dyDescent="0.3">
      <c r="A127" t="s">
        <v>727</v>
      </c>
      <c r="B127" t="s">
        <v>968</v>
      </c>
      <c r="C127" s="4">
        <v>14269.848599999999</v>
      </c>
      <c r="D127" s="4">
        <f t="shared" si="5"/>
        <v>1545646.997579999</v>
      </c>
      <c r="E127" s="4">
        <f t="shared" si="9"/>
        <v>1213701.05042</v>
      </c>
      <c r="F127">
        <f t="shared" si="7"/>
        <v>0.78523818978089899</v>
      </c>
      <c r="G127" t="str">
        <f t="shared" si="8"/>
        <v>A</v>
      </c>
    </row>
    <row r="128" spans="1:7" x14ac:dyDescent="0.3">
      <c r="A128" t="s">
        <v>727</v>
      </c>
      <c r="B128" t="s">
        <v>820</v>
      </c>
      <c r="C128" s="4">
        <v>14197.064400000001</v>
      </c>
      <c r="D128" s="4">
        <f t="shared" si="5"/>
        <v>1545646.997579999</v>
      </c>
      <c r="E128" s="4">
        <f t="shared" si="9"/>
        <v>1227898.11482</v>
      </c>
      <c r="F128">
        <f t="shared" si="7"/>
        <v>0.79442338175696348</v>
      </c>
      <c r="G128" t="str">
        <f t="shared" si="8"/>
        <v>A</v>
      </c>
    </row>
    <row r="129" spans="1:7" x14ac:dyDescent="0.3">
      <c r="A129" t="s">
        <v>727</v>
      </c>
      <c r="B129" t="s">
        <v>1358</v>
      </c>
      <c r="C129" s="4">
        <v>13983.752729999998</v>
      </c>
      <c r="D129" s="4">
        <f t="shared" si="5"/>
        <v>1545646.997579999</v>
      </c>
      <c r="E129" s="4">
        <f t="shared" si="9"/>
        <v>1241881.8675500001</v>
      </c>
      <c r="F129">
        <f t="shared" si="7"/>
        <v>0.80347056572063325</v>
      </c>
      <c r="G129" t="str">
        <f t="shared" si="8"/>
        <v>B</v>
      </c>
    </row>
    <row r="130" spans="1:7" x14ac:dyDescent="0.3">
      <c r="A130" t="s">
        <v>727</v>
      </c>
      <c r="B130" t="s">
        <v>954</v>
      </c>
      <c r="C130" s="4">
        <v>13519.529099999998</v>
      </c>
      <c r="D130" s="4">
        <f t="shared" ref="D130:D193" si="10">SUMIF($A:$A,A130,$C:$C)</f>
        <v>1545646.997579999</v>
      </c>
      <c r="E130" s="4">
        <f t="shared" si="9"/>
        <v>1255401.39665</v>
      </c>
      <c r="F130">
        <f t="shared" ref="F130:F193" si="11">E130/D130</f>
        <v>0.8122174070894369</v>
      </c>
      <c r="G130" t="str">
        <f t="shared" ref="G130:G193" si="12">IF(F130&lt;=0.8,"A",IF(F130&lt;=0.95,"B","C"))</f>
        <v>B</v>
      </c>
    </row>
    <row r="131" spans="1:7" x14ac:dyDescent="0.3">
      <c r="A131" t="s">
        <v>727</v>
      </c>
      <c r="B131" t="s">
        <v>1131</v>
      </c>
      <c r="C131" s="4">
        <v>13185.543</v>
      </c>
      <c r="D131" s="4">
        <f t="shared" si="10"/>
        <v>1545646.997579999</v>
      </c>
      <c r="E131" s="4">
        <f t="shared" si="9"/>
        <v>1268586.9396500001</v>
      </c>
      <c r="F131">
        <f t="shared" si="11"/>
        <v>0.82074816671349371</v>
      </c>
      <c r="G131" t="str">
        <f t="shared" si="12"/>
        <v>B</v>
      </c>
    </row>
    <row r="132" spans="1:7" x14ac:dyDescent="0.3">
      <c r="A132" t="s">
        <v>727</v>
      </c>
      <c r="B132" t="s">
        <v>819</v>
      </c>
      <c r="C132" s="4">
        <v>13146.470699999998</v>
      </c>
      <c r="D132" s="4">
        <f t="shared" si="10"/>
        <v>1545646.997579999</v>
      </c>
      <c r="E132" s="4">
        <f t="shared" si="9"/>
        <v>1281733.41035</v>
      </c>
      <c r="F132">
        <f t="shared" si="11"/>
        <v>0.82925364740901042</v>
      </c>
      <c r="G132" t="str">
        <f t="shared" si="12"/>
        <v>B</v>
      </c>
    </row>
    <row r="133" spans="1:7" x14ac:dyDescent="0.3">
      <c r="A133" t="s">
        <v>727</v>
      </c>
      <c r="B133" t="s">
        <v>984</v>
      </c>
      <c r="C133" s="4">
        <v>12186.368600000002</v>
      </c>
      <c r="D133" s="4">
        <f t="shared" si="10"/>
        <v>1545646.997579999</v>
      </c>
      <c r="E133" s="4">
        <f t="shared" si="9"/>
        <v>1293919.7789499999</v>
      </c>
      <c r="F133">
        <f t="shared" si="11"/>
        <v>0.83713796292159504</v>
      </c>
      <c r="G133" t="str">
        <f t="shared" si="12"/>
        <v>B</v>
      </c>
    </row>
    <row r="134" spans="1:7" x14ac:dyDescent="0.3">
      <c r="A134" t="s">
        <v>727</v>
      </c>
      <c r="B134" t="s">
        <v>839</v>
      </c>
      <c r="C134" s="4">
        <v>12080.215199999999</v>
      </c>
      <c r="D134" s="4">
        <f t="shared" si="10"/>
        <v>1545646.997579999</v>
      </c>
      <c r="E134" s="4">
        <f t="shared" si="9"/>
        <v>1305999.9941499999</v>
      </c>
      <c r="F134">
        <f t="shared" si="11"/>
        <v>0.84495359949250282</v>
      </c>
      <c r="G134" t="str">
        <f t="shared" si="12"/>
        <v>B</v>
      </c>
    </row>
    <row r="135" spans="1:7" x14ac:dyDescent="0.3">
      <c r="A135" t="s">
        <v>727</v>
      </c>
      <c r="B135" t="s">
        <v>771</v>
      </c>
      <c r="C135" s="4">
        <v>11995.153920000001</v>
      </c>
      <c r="D135" s="4">
        <f t="shared" si="10"/>
        <v>1545646.997579999</v>
      </c>
      <c r="E135" s="4">
        <f t="shared" si="9"/>
        <v>1317995.1480699999</v>
      </c>
      <c r="F135">
        <f t="shared" si="11"/>
        <v>0.85271420326476166</v>
      </c>
      <c r="G135" t="str">
        <f t="shared" si="12"/>
        <v>B</v>
      </c>
    </row>
    <row r="136" spans="1:7" x14ac:dyDescent="0.3">
      <c r="A136" t="s">
        <v>727</v>
      </c>
      <c r="B136" t="s">
        <v>1323</v>
      </c>
      <c r="C136" s="4">
        <v>11742.8703</v>
      </c>
      <c r="D136" s="4">
        <f t="shared" si="10"/>
        <v>1545646.997579999</v>
      </c>
      <c r="E136" s="4">
        <f t="shared" si="9"/>
        <v>1329738.0183699999</v>
      </c>
      <c r="F136">
        <f t="shared" si="11"/>
        <v>0.86031158502035376</v>
      </c>
      <c r="G136" t="str">
        <f t="shared" si="12"/>
        <v>B</v>
      </c>
    </row>
    <row r="137" spans="1:7" x14ac:dyDescent="0.3">
      <c r="A137" t="s">
        <v>727</v>
      </c>
      <c r="B137" t="s">
        <v>1023</v>
      </c>
      <c r="C137" s="4">
        <v>10456.416880000001</v>
      </c>
      <c r="D137" s="4">
        <f t="shared" si="10"/>
        <v>1545646.997579999</v>
      </c>
      <c r="E137" s="4">
        <f t="shared" si="9"/>
        <v>1340194.4352499999</v>
      </c>
      <c r="F137">
        <f t="shared" si="11"/>
        <v>0.86707665938492184</v>
      </c>
      <c r="G137" t="str">
        <f t="shared" si="12"/>
        <v>B</v>
      </c>
    </row>
    <row r="138" spans="1:7" x14ac:dyDescent="0.3">
      <c r="A138" t="s">
        <v>727</v>
      </c>
      <c r="B138" t="s">
        <v>764</v>
      </c>
      <c r="C138" s="4">
        <v>9805.8573800000013</v>
      </c>
      <c r="D138" s="4">
        <f t="shared" si="10"/>
        <v>1545646.997579999</v>
      </c>
      <c r="E138" s="4">
        <f t="shared" si="9"/>
        <v>1350000.2926299998</v>
      </c>
      <c r="F138">
        <f t="shared" si="11"/>
        <v>0.87342083589828667</v>
      </c>
      <c r="G138" t="str">
        <f t="shared" si="12"/>
        <v>B</v>
      </c>
    </row>
    <row r="139" spans="1:7" x14ac:dyDescent="0.3">
      <c r="A139" t="s">
        <v>727</v>
      </c>
      <c r="B139" t="s">
        <v>870</v>
      </c>
      <c r="C139" s="4">
        <v>9698.1638399999993</v>
      </c>
      <c r="D139" s="4">
        <f t="shared" si="10"/>
        <v>1545646.997579999</v>
      </c>
      <c r="E139" s="4">
        <f t="shared" si="9"/>
        <v>1359698.4564699999</v>
      </c>
      <c r="F139">
        <f t="shared" si="11"/>
        <v>0.87969533703288227</v>
      </c>
      <c r="G139" t="str">
        <f t="shared" si="12"/>
        <v>B</v>
      </c>
    </row>
    <row r="140" spans="1:7" x14ac:dyDescent="0.3">
      <c r="A140" t="s">
        <v>727</v>
      </c>
      <c r="B140" t="s">
        <v>803</v>
      </c>
      <c r="C140" s="4">
        <v>8930.7124999999996</v>
      </c>
      <c r="D140" s="4">
        <f t="shared" si="10"/>
        <v>1545646.997579999</v>
      </c>
      <c r="E140" s="4">
        <f t="shared" si="9"/>
        <v>1368629.1689699998</v>
      </c>
      <c r="F140">
        <f t="shared" si="11"/>
        <v>0.88547331383740657</v>
      </c>
      <c r="G140" t="str">
        <f t="shared" si="12"/>
        <v>B</v>
      </c>
    </row>
    <row r="141" spans="1:7" x14ac:dyDescent="0.3">
      <c r="A141" t="s">
        <v>727</v>
      </c>
      <c r="B141" t="s">
        <v>905</v>
      </c>
      <c r="C141" s="4">
        <v>8928.9795999999988</v>
      </c>
      <c r="D141" s="4">
        <f t="shared" si="10"/>
        <v>1545646.997579999</v>
      </c>
      <c r="E141" s="4">
        <f t="shared" si="9"/>
        <v>1377558.1485699997</v>
      </c>
      <c r="F141">
        <f t="shared" si="11"/>
        <v>0.89125016949330993</v>
      </c>
      <c r="G141" t="str">
        <f t="shared" si="12"/>
        <v>B</v>
      </c>
    </row>
    <row r="142" spans="1:7" x14ac:dyDescent="0.3">
      <c r="A142" t="s">
        <v>727</v>
      </c>
      <c r="B142" t="s">
        <v>859</v>
      </c>
      <c r="C142" s="4">
        <v>8909.8587200000002</v>
      </c>
      <c r="D142" s="4">
        <f t="shared" si="10"/>
        <v>1545646.997579999</v>
      </c>
      <c r="E142" s="4">
        <f t="shared" si="9"/>
        <v>1386468.0072899996</v>
      </c>
      <c r="F142">
        <f t="shared" si="11"/>
        <v>0.89701465435560379</v>
      </c>
      <c r="G142" t="str">
        <f t="shared" si="12"/>
        <v>B</v>
      </c>
    </row>
    <row r="143" spans="1:7" x14ac:dyDescent="0.3">
      <c r="A143" t="s">
        <v>727</v>
      </c>
      <c r="B143" t="s">
        <v>1028</v>
      </c>
      <c r="C143" s="4">
        <v>8903.4839999999986</v>
      </c>
      <c r="D143" s="4">
        <f t="shared" si="10"/>
        <v>1545646.997579999</v>
      </c>
      <c r="E143" s="4">
        <f t="shared" si="9"/>
        <v>1395371.4912899996</v>
      </c>
      <c r="F143">
        <f t="shared" si="11"/>
        <v>0.90277501491266499</v>
      </c>
      <c r="G143" t="str">
        <f t="shared" si="12"/>
        <v>B</v>
      </c>
    </row>
    <row r="144" spans="1:7" x14ac:dyDescent="0.3">
      <c r="A144" t="s">
        <v>727</v>
      </c>
      <c r="B144" t="s">
        <v>1049</v>
      </c>
      <c r="C144" s="4">
        <v>8780.5809000000008</v>
      </c>
      <c r="D144" s="4">
        <f t="shared" si="10"/>
        <v>1545646.997579999</v>
      </c>
      <c r="E144" s="4">
        <f t="shared" si="9"/>
        <v>1404152.0721899995</v>
      </c>
      <c r="F144">
        <f t="shared" si="11"/>
        <v>0.90845585983634269</v>
      </c>
      <c r="G144" t="str">
        <f t="shared" si="12"/>
        <v>B</v>
      </c>
    </row>
    <row r="145" spans="1:7" x14ac:dyDescent="0.3">
      <c r="A145" t="s">
        <v>727</v>
      </c>
      <c r="B145" t="s">
        <v>1328</v>
      </c>
      <c r="C145" s="4">
        <v>8128.5187499999993</v>
      </c>
      <c r="D145" s="4">
        <f t="shared" si="10"/>
        <v>1545646.997579999</v>
      </c>
      <c r="E145" s="4">
        <f t="shared" si="9"/>
        <v>1412280.5909399996</v>
      </c>
      <c r="F145">
        <f t="shared" si="11"/>
        <v>0.91371483472693982</v>
      </c>
      <c r="G145" t="str">
        <f t="shared" si="12"/>
        <v>B</v>
      </c>
    </row>
    <row r="146" spans="1:7" x14ac:dyDescent="0.3">
      <c r="A146" t="s">
        <v>727</v>
      </c>
      <c r="B146" t="s">
        <v>1137</v>
      </c>
      <c r="C146" s="4">
        <v>7832.0010999999995</v>
      </c>
      <c r="D146" s="4">
        <f t="shared" si="10"/>
        <v>1545646.997579999</v>
      </c>
      <c r="E146" s="4">
        <f t="shared" si="9"/>
        <v>1420112.5920399996</v>
      </c>
      <c r="F146">
        <f t="shared" si="11"/>
        <v>0.91878196914525301</v>
      </c>
      <c r="G146" t="str">
        <f t="shared" si="12"/>
        <v>B</v>
      </c>
    </row>
    <row r="147" spans="1:7" x14ac:dyDescent="0.3">
      <c r="A147" t="s">
        <v>727</v>
      </c>
      <c r="B147" t="s">
        <v>1253</v>
      </c>
      <c r="C147" s="4">
        <v>7399.4832000000006</v>
      </c>
      <c r="D147" s="4">
        <f t="shared" si="10"/>
        <v>1545646.997579999</v>
      </c>
      <c r="E147" s="4">
        <f t="shared" ref="E147:E210" si="13">IF(A147=A146,E146+C147,C147)</f>
        <v>1427512.0752399995</v>
      </c>
      <c r="F147">
        <f t="shared" si="11"/>
        <v>0.92356927388662358</v>
      </c>
      <c r="G147" t="str">
        <f t="shared" si="12"/>
        <v>B</v>
      </c>
    </row>
    <row r="148" spans="1:7" x14ac:dyDescent="0.3">
      <c r="A148" t="s">
        <v>727</v>
      </c>
      <c r="B148" t="s">
        <v>1170</v>
      </c>
      <c r="C148" s="4">
        <v>7340.3891399999993</v>
      </c>
      <c r="D148" s="4">
        <f t="shared" si="10"/>
        <v>1545646.997579999</v>
      </c>
      <c r="E148" s="4">
        <f t="shared" si="13"/>
        <v>1434852.4643799996</v>
      </c>
      <c r="F148">
        <f t="shared" si="11"/>
        <v>0.92831834605607289</v>
      </c>
      <c r="G148" t="str">
        <f t="shared" si="12"/>
        <v>B</v>
      </c>
    </row>
    <row r="149" spans="1:7" x14ac:dyDescent="0.3">
      <c r="A149" t="s">
        <v>727</v>
      </c>
      <c r="B149" t="s">
        <v>809</v>
      </c>
      <c r="C149" s="4">
        <v>6874.4828600000001</v>
      </c>
      <c r="D149" s="4">
        <f t="shared" si="10"/>
        <v>1545646.997579999</v>
      </c>
      <c r="E149" s="4">
        <f t="shared" si="13"/>
        <v>1441726.9472399997</v>
      </c>
      <c r="F149">
        <f t="shared" si="11"/>
        <v>0.93276598699269253</v>
      </c>
      <c r="G149" t="str">
        <f t="shared" si="12"/>
        <v>B</v>
      </c>
    </row>
    <row r="150" spans="1:7" x14ac:dyDescent="0.3">
      <c r="A150" t="s">
        <v>727</v>
      </c>
      <c r="B150" t="s">
        <v>1293</v>
      </c>
      <c r="C150" s="4">
        <v>6766.9829999999993</v>
      </c>
      <c r="D150" s="4">
        <f t="shared" si="10"/>
        <v>1545646.997579999</v>
      </c>
      <c r="E150" s="4">
        <f t="shared" si="13"/>
        <v>1448493.9302399997</v>
      </c>
      <c r="F150">
        <f t="shared" si="11"/>
        <v>0.93714407785729159</v>
      </c>
      <c r="G150" t="str">
        <f t="shared" si="12"/>
        <v>B</v>
      </c>
    </row>
    <row r="151" spans="1:7" x14ac:dyDescent="0.3">
      <c r="A151" t="s">
        <v>727</v>
      </c>
      <c r="B151" t="s">
        <v>940</v>
      </c>
      <c r="C151" s="4">
        <v>6702.3501999999999</v>
      </c>
      <c r="D151" s="4">
        <f t="shared" si="10"/>
        <v>1545646.997579999</v>
      </c>
      <c r="E151" s="4">
        <f t="shared" si="13"/>
        <v>1455196.2804399997</v>
      </c>
      <c r="F151">
        <f t="shared" si="11"/>
        <v>0.94148035270561969</v>
      </c>
      <c r="G151" t="str">
        <f t="shared" si="12"/>
        <v>B</v>
      </c>
    </row>
    <row r="152" spans="1:7" x14ac:dyDescent="0.3">
      <c r="A152" t="s">
        <v>727</v>
      </c>
      <c r="B152" t="s">
        <v>1224</v>
      </c>
      <c r="C152" s="4">
        <v>6664.0999999999995</v>
      </c>
      <c r="D152" s="4">
        <f t="shared" si="10"/>
        <v>1545646.997579999</v>
      </c>
      <c r="E152" s="4">
        <f t="shared" si="13"/>
        <v>1461860.3804399997</v>
      </c>
      <c r="F152">
        <f t="shared" si="11"/>
        <v>0.94579188050623264</v>
      </c>
      <c r="G152" t="str">
        <f t="shared" si="12"/>
        <v>B</v>
      </c>
    </row>
    <row r="153" spans="1:7" x14ac:dyDescent="0.3">
      <c r="A153" t="s">
        <v>727</v>
      </c>
      <c r="B153" t="s">
        <v>1257</v>
      </c>
      <c r="C153" s="4">
        <v>6435.2555999999995</v>
      </c>
      <c r="D153" s="4">
        <f t="shared" si="10"/>
        <v>1545646.997579999</v>
      </c>
      <c r="E153" s="4">
        <f t="shared" si="13"/>
        <v>1468295.6360399998</v>
      </c>
      <c r="F153">
        <f t="shared" si="11"/>
        <v>0.94995535095587325</v>
      </c>
      <c r="G153" t="str">
        <f t="shared" si="12"/>
        <v>B</v>
      </c>
    </row>
    <row r="154" spans="1:7" x14ac:dyDescent="0.3">
      <c r="A154" t="s">
        <v>727</v>
      </c>
      <c r="B154" t="s">
        <v>835</v>
      </c>
      <c r="C154" s="4">
        <v>6324.5775999999996</v>
      </c>
      <c r="D154" s="4">
        <f t="shared" si="10"/>
        <v>1545646.997579999</v>
      </c>
      <c r="E154" s="4">
        <f t="shared" si="13"/>
        <v>1474620.2136399997</v>
      </c>
      <c r="F154">
        <f t="shared" si="11"/>
        <v>0.95404721514601643</v>
      </c>
      <c r="G154" t="str">
        <f t="shared" si="12"/>
        <v>C</v>
      </c>
    </row>
    <row r="155" spans="1:7" x14ac:dyDescent="0.3">
      <c r="A155" t="s">
        <v>727</v>
      </c>
      <c r="B155" t="s">
        <v>1313</v>
      </c>
      <c r="C155" s="4">
        <v>6137.8019999999988</v>
      </c>
      <c r="D155" s="4">
        <f t="shared" si="10"/>
        <v>1545646.997579999</v>
      </c>
      <c r="E155" s="4">
        <f t="shared" si="13"/>
        <v>1480758.0156399996</v>
      </c>
      <c r="F155">
        <f t="shared" si="11"/>
        <v>0.95801823958407362</v>
      </c>
      <c r="G155" t="str">
        <f t="shared" si="12"/>
        <v>C</v>
      </c>
    </row>
    <row r="156" spans="1:7" x14ac:dyDescent="0.3">
      <c r="A156" t="s">
        <v>727</v>
      </c>
      <c r="B156" t="s">
        <v>1218</v>
      </c>
      <c r="C156" s="4">
        <v>6063.2517199999993</v>
      </c>
      <c r="D156" s="4">
        <f t="shared" si="10"/>
        <v>1545646.997579999</v>
      </c>
      <c r="E156" s="4">
        <f t="shared" si="13"/>
        <v>1486821.2673599997</v>
      </c>
      <c r="F156">
        <f t="shared" si="11"/>
        <v>0.96194103161193856</v>
      </c>
      <c r="G156" t="str">
        <f t="shared" si="12"/>
        <v>C</v>
      </c>
    </row>
    <row r="157" spans="1:7" x14ac:dyDescent="0.3">
      <c r="A157" t="s">
        <v>727</v>
      </c>
      <c r="B157" t="s">
        <v>895</v>
      </c>
      <c r="C157" s="4">
        <v>5650.1744000000008</v>
      </c>
      <c r="D157" s="4">
        <f t="shared" si="10"/>
        <v>1545646.997579999</v>
      </c>
      <c r="E157" s="4">
        <f t="shared" si="13"/>
        <v>1492471.4417599996</v>
      </c>
      <c r="F157">
        <f t="shared" si="11"/>
        <v>0.96559657159541878</v>
      </c>
      <c r="G157" t="str">
        <f t="shared" si="12"/>
        <v>C</v>
      </c>
    </row>
    <row r="158" spans="1:7" x14ac:dyDescent="0.3">
      <c r="A158" t="s">
        <v>727</v>
      </c>
      <c r="B158" t="s">
        <v>816</v>
      </c>
      <c r="C158" s="4">
        <v>5331.6696000000002</v>
      </c>
      <c r="D158" s="4">
        <f t="shared" si="10"/>
        <v>1545646.997579999</v>
      </c>
      <c r="E158" s="4">
        <f t="shared" si="13"/>
        <v>1497803.1113599995</v>
      </c>
      <c r="F158">
        <f t="shared" si="11"/>
        <v>0.96904604589863785</v>
      </c>
      <c r="G158" t="str">
        <f t="shared" si="12"/>
        <v>C</v>
      </c>
    </row>
    <row r="159" spans="1:7" x14ac:dyDescent="0.3">
      <c r="A159" t="s">
        <v>727</v>
      </c>
      <c r="B159" t="s">
        <v>746</v>
      </c>
      <c r="C159" s="4">
        <v>4968.5039999999999</v>
      </c>
      <c r="D159" s="4">
        <f t="shared" si="10"/>
        <v>1545646.997579999</v>
      </c>
      <c r="E159" s="4">
        <f t="shared" si="13"/>
        <v>1502771.6153599995</v>
      </c>
      <c r="F159">
        <f t="shared" si="11"/>
        <v>0.97226055995506799</v>
      </c>
      <c r="G159" t="str">
        <f t="shared" si="12"/>
        <v>C</v>
      </c>
    </row>
    <row r="160" spans="1:7" x14ac:dyDescent="0.3">
      <c r="A160" t="s">
        <v>727</v>
      </c>
      <c r="B160" t="s">
        <v>734</v>
      </c>
      <c r="C160" s="4">
        <v>4866.3287999999993</v>
      </c>
      <c r="D160" s="4">
        <f t="shared" si="10"/>
        <v>1545646.997579999</v>
      </c>
      <c r="E160" s="4">
        <f t="shared" si="13"/>
        <v>1507637.9441599995</v>
      </c>
      <c r="F160">
        <f t="shared" si="11"/>
        <v>0.97540896887872208</v>
      </c>
      <c r="G160" t="str">
        <f t="shared" si="12"/>
        <v>C</v>
      </c>
    </row>
    <row r="161" spans="1:7" x14ac:dyDescent="0.3">
      <c r="A161" t="s">
        <v>727</v>
      </c>
      <c r="B161" t="s">
        <v>956</v>
      </c>
      <c r="C161" s="4">
        <v>4503.4363999999996</v>
      </c>
      <c r="D161" s="4">
        <f t="shared" si="10"/>
        <v>1545646.997579999</v>
      </c>
      <c r="E161" s="4">
        <f t="shared" si="13"/>
        <v>1512141.3805599995</v>
      </c>
      <c r="F161">
        <f t="shared" si="11"/>
        <v>0.97832259431004698</v>
      </c>
      <c r="G161" t="str">
        <f t="shared" si="12"/>
        <v>C</v>
      </c>
    </row>
    <row r="162" spans="1:7" x14ac:dyDescent="0.3">
      <c r="A162" t="s">
        <v>727</v>
      </c>
      <c r="B162" t="s">
        <v>808</v>
      </c>
      <c r="C162" s="4">
        <v>4427.9172000000008</v>
      </c>
      <c r="D162" s="4">
        <f t="shared" si="10"/>
        <v>1545646.997579999</v>
      </c>
      <c r="E162" s="4">
        <f t="shared" si="13"/>
        <v>1516569.2977599995</v>
      </c>
      <c r="F162">
        <f t="shared" si="11"/>
        <v>0.98118736046100685</v>
      </c>
      <c r="G162" t="str">
        <f t="shared" si="12"/>
        <v>C</v>
      </c>
    </row>
    <row r="163" spans="1:7" x14ac:dyDescent="0.3">
      <c r="A163" t="s">
        <v>727</v>
      </c>
      <c r="B163" t="s">
        <v>1210</v>
      </c>
      <c r="C163" s="4">
        <v>4212.3745999999992</v>
      </c>
      <c r="D163" s="4">
        <f t="shared" si="10"/>
        <v>1545646.997579999</v>
      </c>
      <c r="E163" s="4">
        <f t="shared" si="13"/>
        <v>1520781.6723599995</v>
      </c>
      <c r="F163">
        <f t="shared" si="11"/>
        <v>0.98391267523636972</v>
      </c>
      <c r="G163" t="str">
        <f t="shared" si="12"/>
        <v>C</v>
      </c>
    </row>
    <row r="164" spans="1:7" x14ac:dyDescent="0.3">
      <c r="A164" t="s">
        <v>727</v>
      </c>
      <c r="B164" t="s">
        <v>1244</v>
      </c>
      <c r="C164" s="4">
        <v>3525.5505600000001</v>
      </c>
      <c r="D164" s="4">
        <f t="shared" si="10"/>
        <v>1545646.997579999</v>
      </c>
      <c r="E164" s="4">
        <f t="shared" si="13"/>
        <v>1524307.2229199994</v>
      </c>
      <c r="F164">
        <f t="shared" si="11"/>
        <v>0.98619362979165937</v>
      </c>
      <c r="G164" t="str">
        <f t="shared" si="12"/>
        <v>C</v>
      </c>
    </row>
    <row r="165" spans="1:7" x14ac:dyDescent="0.3">
      <c r="A165" t="s">
        <v>727</v>
      </c>
      <c r="B165" t="s">
        <v>1302</v>
      </c>
      <c r="C165" s="4">
        <v>3378.1478400000001</v>
      </c>
      <c r="D165" s="4">
        <f t="shared" si="10"/>
        <v>1545646.997579999</v>
      </c>
      <c r="E165" s="4">
        <f t="shared" si="13"/>
        <v>1527685.3707599994</v>
      </c>
      <c r="F165">
        <f t="shared" si="11"/>
        <v>0.98837921799212758</v>
      </c>
      <c r="G165" t="str">
        <f t="shared" si="12"/>
        <v>C</v>
      </c>
    </row>
    <row r="166" spans="1:7" x14ac:dyDescent="0.3">
      <c r="A166" t="s">
        <v>727</v>
      </c>
      <c r="B166" t="s">
        <v>1060</v>
      </c>
      <c r="C166" s="4">
        <v>2373.9623200000001</v>
      </c>
      <c r="D166" s="4">
        <f t="shared" si="10"/>
        <v>1545646.997579999</v>
      </c>
      <c r="E166" s="4">
        <f t="shared" si="13"/>
        <v>1530059.3330799993</v>
      </c>
      <c r="F166">
        <f t="shared" si="11"/>
        <v>0.98991511999544191</v>
      </c>
      <c r="G166" t="str">
        <f t="shared" si="12"/>
        <v>C</v>
      </c>
    </row>
    <row r="167" spans="1:7" x14ac:dyDescent="0.3">
      <c r="A167" t="s">
        <v>727</v>
      </c>
      <c r="B167" t="s">
        <v>903</v>
      </c>
      <c r="C167" s="4">
        <v>2316.2621999999997</v>
      </c>
      <c r="D167" s="4">
        <f t="shared" si="10"/>
        <v>1545646.997579999</v>
      </c>
      <c r="E167" s="4">
        <f t="shared" si="13"/>
        <v>1532375.5952799993</v>
      </c>
      <c r="F167">
        <f t="shared" si="11"/>
        <v>0.99141369127570611</v>
      </c>
      <c r="G167" t="str">
        <f t="shared" si="12"/>
        <v>C</v>
      </c>
    </row>
    <row r="168" spans="1:7" x14ac:dyDescent="0.3">
      <c r="A168" t="s">
        <v>727</v>
      </c>
      <c r="B168" t="s">
        <v>1341</v>
      </c>
      <c r="C168" s="4">
        <v>2077.46</v>
      </c>
      <c r="D168" s="4">
        <f t="shared" si="10"/>
        <v>1545646.997579999</v>
      </c>
      <c r="E168" s="4">
        <f t="shared" si="13"/>
        <v>1534453.0552799993</v>
      </c>
      <c r="F168">
        <f t="shared" si="11"/>
        <v>0.99275776272491323</v>
      </c>
      <c r="G168" t="str">
        <f t="shared" si="12"/>
        <v>C</v>
      </c>
    </row>
    <row r="169" spans="1:7" x14ac:dyDescent="0.3">
      <c r="A169" t="s">
        <v>727</v>
      </c>
      <c r="B169" t="s">
        <v>858</v>
      </c>
      <c r="C169" s="4">
        <v>2072.9258400000003</v>
      </c>
      <c r="D169" s="4">
        <f t="shared" si="10"/>
        <v>1545646.997579999</v>
      </c>
      <c r="E169" s="4">
        <f t="shared" si="13"/>
        <v>1536525.9811199992</v>
      </c>
      <c r="F169">
        <f t="shared" si="11"/>
        <v>0.99409890067118789</v>
      </c>
      <c r="G169" t="str">
        <f t="shared" si="12"/>
        <v>C</v>
      </c>
    </row>
    <row r="170" spans="1:7" x14ac:dyDescent="0.3">
      <c r="A170" t="s">
        <v>727</v>
      </c>
      <c r="B170" t="s">
        <v>1197</v>
      </c>
      <c r="C170" s="4">
        <v>1808.04592</v>
      </c>
      <c r="D170" s="4">
        <f t="shared" si="10"/>
        <v>1545646.997579999</v>
      </c>
      <c r="E170" s="4">
        <f t="shared" si="13"/>
        <v>1538334.0270399991</v>
      </c>
      <c r="F170">
        <f t="shared" si="11"/>
        <v>0.99526866706858053</v>
      </c>
      <c r="G170" t="str">
        <f t="shared" si="12"/>
        <v>C</v>
      </c>
    </row>
    <row r="171" spans="1:7" x14ac:dyDescent="0.3">
      <c r="A171" t="s">
        <v>727</v>
      </c>
      <c r="B171" t="s">
        <v>1193</v>
      </c>
      <c r="C171" s="4">
        <v>1662.6945600000001</v>
      </c>
      <c r="D171" s="4">
        <f t="shared" si="10"/>
        <v>1545646.997579999</v>
      </c>
      <c r="E171" s="4">
        <f t="shared" si="13"/>
        <v>1539996.7215999991</v>
      </c>
      <c r="F171">
        <f t="shared" si="11"/>
        <v>0.99634439429646837</v>
      </c>
      <c r="G171" t="str">
        <f t="shared" si="12"/>
        <v>C</v>
      </c>
    </row>
    <row r="172" spans="1:7" x14ac:dyDescent="0.3">
      <c r="A172" t="s">
        <v>727</v>
      </c>
      <c r="B172" t="s">
        <v>821</v>
      </c>
      <c r="C172" s="4">
        <v>1654.8966000000003</v>
      </c>
      <c r="D172" s="4">
        <f t="shared" si="10"/>
        <v>1545646.997579999</v>
      </c>
      <c r="E172" s="4">
        <f t="shared" si="13"/>
        <v>1541651.6181999992</v>
      </c>
      <c r="F172">
        <f t="shared" si="11"/>
        <v>0.99741507641378957</v>
      </c>
      <c r="G172" t="str">
        <f t="shared" si="12"/>
        <v>C</v>
      </c>
    </row>
    <row r="173" spans="1:7" x14ac:dyDescent="0.3">
      <c r="A173" t="s">
        <v>727</v>
      </c>
      <c r="B173" t="s">
        <v>1252</v>
      </c>
      <c r="C173" s="4">
        <v>855.72881999999993</v>
      </c>
      <c r="D173" s="4">
        <f t="shared" si="10"/>
        <v>1545646.997579999</v>
      </c>
      <c r="E173" s="4">
        <f t="shared" si="13"/>
        <v>1542507.3470199993</v>
      </c>
      <c r="F173">
        <f t="shared" si="11"/>
        <v>0.99796871435397894</v>
      </c>
      <c r="G173" t="str">
        <f t="shared" si="12"/>
        <v>C</v>
      </c>
    </row>
    <row r="174" spans="1:7" x14ac:dyDescent="0.3">
      <c r="A174" t="s">
        <v>727</v>
      </c>
      <c r="B174" t="s">
        <v>861</v>
      </c>
      <c r="C174" s="4">
        <v>853.32276999999988</v>
      </c>
      <c r="D174" s="4">
        <f t="shared" si="10"/>
        <v>1545646.997579999</v>
      </c>
      <c r="E174" s="4">
        <f t="shared" si="13"/>
        <v>1543360.6697899993</v>
      </c>
      <c r="F174">
        <f t="shared" si="11"/>
        <v>0.9985207956321337</v>
      </c>
      <c r="G174" t="str">
        <f t="shared" si="12"/>
        <v>C</v>
      </c>
    </row>
    <row r="175" spans="1:7" x14ac:dyDescent="0.3">
      <c r="A175" t="s">
        <v>727</v>
      </c>
      <c r="B175" t="s">
        <v>1057</v>
      </c>
      <c r="C175" s="4">
        <v>703.2428000000001</v>
      </c>
      <c r="D175" s="4">
        <f t="shared" si="10"/>
        <v>1545646.997579999</v>
      </c>
      <c r="E175" s="4">
        <f t="shared" si="13"/>
        <v>1544063.9125899991</v>
      </c>
      <c r="F175">
        <f t="shared" si="11"/>
        <v>0.99897577843292906</v>
      </c>
      <c r="G175" t="str">
        <f t="shared" si="12"/>
        <v>C</v>
      </c>
    </row>
    <row r="176" spans="1:7" x14ac:dyDescent="0.3">
      <c r="A176" t="s">
        <v>727</v>
      </c>
      <c r="B176" t="s">
        <v>964</v>
      </c>
      <c r="C176" s="4">
        <v>667.15008</v>
      </c>
      <c r="D176" s="4">
        <f t="shared" si="10"/>
        <v>1545646.997579999</v>
      </c>
      <c r="E176" s="4">
        <f t="shared" si="13"/>
        <v>1544731.0626699992</v>
      </c>
      <c r="F176">
        <f t="shared" si="11"/>
        <v>0.99940741002865863</v>
      </c>
      <c r="G176" t="str">
        <f t="shared" si="12"/>
        <v>C</v>
      </c>
    </row>
    <row r="177" spans="1:7" x14ac:dyDescent="0.3">
      <c r="A177" t="s">
        <v>727</v>
      </c>
      <c r="B177" t="s">
        <v>1307</v>
      </c>
      <c r="C177" s="4">
        <v>496.98660000000001</v>
      </c>
      <c r="D177" s="4">
        <f t="shared" si="10"/>
        <v>1545646.997579999</v>
      </c>
      <c r="E177" s="4">
        <f t="shared" si="13"/>
        <v>1545228.0492699991</v>
      </c>
      <c r="F177">
        <f t="shared" si="11"/>
        <v>0.99972894955274016</v>
      </c>
      <c r="G177" t="str">
        <f t="shared" si="12"/>
        <v>C</v>
      </c>
    </row>
    <row r="178" spans="1:7" x14ac:dyDescent="0.3">
      <c r="A178" t="s">
        <v>727</v>
      </c>
      <c r="B178" t="s">
        <v>911</v>
      </c>
      <c r="C178" s="4">
        <v>321.93290999999999</v>
      </c>
      <c r="D178" s="4">
        <f t="shared" si="10"/>
        <v>1545646.997579999</v>
      </c>
      <c r="E178" s="4">
        <f t="shared" si="13"/>
        <v>1545549.9821799991</v>
      </c>
      <c r="F178">
        <f t="shared" si="11"/>
        <v>0.99993723314563299</v>
      </c>
      <c r="G178" t="str">
        <f t="shared" si="12"/>
        <v>C</v>
      </c>
    </row>
    <row r="179" spans="1:7" x14ac:dyDescent="0.3">
      <c r="A179" t="s">
        <v>727</v>
      </c>
      <c r="B179" t="s">
        <v>906</v>
      </c>
      <c r="C179" s="4">
        <v>97.0154</v>
      </c>
      <c r="D179" s="4">
        <f t="shared" si="10"/>
        <v>1545646.997579999</v>
      </c>
      <c r="E179" s="4">
        <f t="shared" si="13"/>
        <v>1545646.997579999</v>
      </c>
      <c r="F179">
        <f t="shared" si="11"/>
        <v>1</v>
      </c>
      <c r="G179" t="str">
        <f t="shared" si="12"/>
        <v>C</v>
      </c>
    </row>
    <row r="180" spans="1:7" x14ac:dyDescent="0.3">
      <c r="A180" t="s">
        <v>731</v>
      </c>
      <c r="B180" t="s">
        <v>1155</v>
      </c>
      <c r="C180" s="4">
        <v>102122.94203999999</v>
      </c>
      <c r="D180" s="4">
        <f t="shared" si="10"/>
        <v>1711094.3775999995</v>
      </c>
      <c r="E180" s="4">
        <f t="shared" si="13"/>
        <v>102122.94203999999</v>
      </c>
      <c r="F180">
        <f t="shared" si="11"/>
        <v>5.9682822512244355E-2</v>
      </c>
      <c r="G180" t="str">
        <f t="shared" si="12"/>
        <v>A</v>
      </c>
    </row>
    <row r="181" spans="1:7" x14ac:dyDescent="0.3">
      <c r="A181" t="s">
        <v>731</v>
      </c>
      <c r="B181" t="s">
        <v>1096</v>
      </c>
      <c r="C181" s="4">
        <v>82514.711519999997</v>
      </c>
      <c r="D181" s="4">
        <f t="shared" si="10"/>
        <v>1711094.3775999995</v>
      </c>
      <c r="E181" s="4">
        <f t="shared" si="13"/>
        <v>184637.65356000001</v>
      </c>
      <c r="F181">
        <f t="shared" si="11"/>
        <v>0.1079061774599335</v>
      </c>
      <c r="G181" t="str">
        <f t="shared" si="12"/>
        <v>A</v>
      </c>
    </row>
    <row r="182" spans="1:7" x14ac:dyDescent="0.3">
      <c r="A182" t="s">
        <v>731</v>
      </c>
      <c r="B182" t="s">
        <v>851</v>
      </c>
      <c r="C182" s="4">
        <v>65119.329599999997</v>
      </c>
      <c r="D182" s="4">
        <f t="shared" si="10"/>
        <v>1711094.3775999995</v>
      </c>
      <c r="E182" s="4">
        <f t="shared" si="13"/>
        <v>249756.98316</v>
      </c>
      <c r="F182">
        <f t="shared" si="11"/>
        <v>0.14596330069783292</v>
      </c>
      <c r="G182" t="str">
        <f t="shared" si="12"/>
        <v>A</v>
      </c>
    </row>
    <row r="183" spans="1:7" x14ac:dyDescent="0.3">
      <c r="A183" t="s">
        <v>731</v>
      </c>
      <c r="B183" t="s">
        <v>1121</v>
      </c>
      <c r="C183" s="4">
        <v>65066.934229999999</v>
      </c>
      <c r="D183" s="4">
        <f t="shared" si="10"/>
        <v>1711094.3775999995</v>
      </c>
      <c r="E183" s="4">
        <f t="shared" si="13"/>
        <v>314823.91739000002</v>
      </c>
      <c r="F183">
        <f t="shared" si="11"/>
        <v>0.18398980296550072</v>
      </c>
      <c r="G183" t="str">
        <f t="shared" si="12"/>
        <v>A</v>
      </c>
    </row>
    <row r="184" spans="1:7" x14ac:dyDescent="0.3">
      <c r="A184" t="s">
        <v>731</v>
      </c>
      <c r="B184" t="s">
        <v>1254</v>
      </c>
      <c r="C184" s="4">
        <v>64192.976999999999</v>
      </c>
      <c r="D184" s="4">
        <f t="shared" si="10"/>
        <v>1711094.3775999995</v>
      </c>
      <c r="E184" s="4">
        <f t="shared" si="13"/>
        <v>379016.89439000003</v>
      </c>
      <c r="F184">
        <f t="shared" si="11"/>
        <v>0.2215055460129636</v>
      </c>
      <c r="G184" t="str">
        <f t="shared" si="12"/>
        <v>A</v>
      </c>
    </row>
    <row r="185" spans="1:7" x14ac:dyDescent="0.3">
      <c r="A185" t="s">
        <v>731</v>
      </c>
      <c r="B185" t="s">
        <v>1261</v>
      </c>
      <c r="C185" s="4">
        <v>58526.83122</v>
      </c>
      <c r="D185" s="4">
        <f t="shared" si="10"/>
        <v>1711094.3775999995</v>
      </c>
      <c r="E185" s="4">
        <f t="shared" si="13"/>
        <v>437543.72561000002</v>
      </c>
      <c r="F185">
        <f t="shared" si="11"/>
        <v>0.25570987277960894</v>
      </c>
      <c r="G185" t="str">
        <f t="shared" si="12"/>
        <v>A</v>
      </c>
    </row>
    <row r="186" spans="1:7" x14ac:dyDescent="0.3">
      <c r="A186" t="s">
        <v>731</v>
      </c>
      <c r="B186" t="s">
        <v>1164</v>
      </c>
      <c r="C186" s="4">
        <v>58057.65</v>
      </c>
      <c r="D186" s="4">
        <f t="shared" si="10"/>
        <v>1711094.3775999995</v>
      </c>
      <c r="E186" s="4">
        <f t="shared" si="13"/>
        <v>495601.37561000005</v>
      </c>
      <c r="F186">
        <f t="shared" si="11"/>
        <v>0.28964000004788526</v>
      </c>
      <c r="G186" t="str">
        <f t="shared" si="12"/>
        <v>A</v>
      </c>
    </row>
    <row r="187" spans="1:7" x14ac:dyDescent="0.3">
      <c r="A187" t="s">
        <v>731</v>
      </c>
      <c r="B187" t="s">
        <v>1299</v>
      </c>
      <c r="C187" s="4">
        <v>44173.627960000005</v>
      </c>
      <c r="D187" s="4">
        <f t="shared" si="10"/>
        <v>1711094.3775999995</v>
      </c>
      <c r="E187" s="4">
        <f t="shared" si="13"/>
        <v>539775.00357000006</v>
      </c>
      <c r="F187">
        <f t="shared" si="11"/>
        <v>0.31545600911101973</v>
      </c>
      <c r="G187" t="str">
        <f t="shared" si="12"/>
        <v>A</v>
      </c>
    </row>
    <row r="188" spans="1:7" x14ac:dyDescent="0.3">
      <c r="A188" t="s">
        <v>731</v>
      </c>
      <c r="B188" t="s">
        <v>1267</v>
      </c>
      <c r="C188" s="4">
        <v>42433.254400000005</v>
      </c>
      <c r="D188" s="4">
        <f t="shared" si="10"/>
        <v>1711094.3775999995</v>
      </c>
      <c r="E188" s="4">
        <f t="shared" si="13"/>
        <v>582208.25797000004</v>
      </c>
      <c r="F188">
        <f t="shared" si="11"/>
        <v>0.34025490679632292</v>
      </c>
      <c r="G188" t="str">
        <f t="shared" si="12"/>
        <v>A</v>
      </c>
    </row>
    <row r="189" spans="1:7" x14ac:dyDescent="0.3">
      <c r="A189" t="s">
        <v>731</v>
      </c>
      <c r="B189" t="s">
        <v>1211</v>
      </c>
      <c r="C189" s="4">
        <v>41914.215840000004</v>
      </c>
      <c r="D189" s="4">
        <f t="shared" si="10"/>
        <v>1711094.3775999995</v>
      </c>
      <c r="E189" s="4">
        <f t="shared" si="13"/>
        <v>624122.47381</v>
      </c>
      <c r="F189">
        <f t="shared" si="11"/>
        <v>0.36475046729181665</v>
      </c>
      <c r="G189" t="str">
        <f t="shared" si="12"/>
        <v>A</v>
      </c>
    </row>
    <row r="190" spans="1:7" x14ac:dyDescent="0.3">
      <c r="A190" t="s">
        <v>731</v>
      </c>
      <c r="B190" t="s">
        <v>1315</v>
      </c>
      <c r="C190" s="4">
        <v>40563.321749999996</v>
      </c>
      <c r="D190" s="4">
        <f t="shared" si="10"/>
        <v>1711094.3775999995</v>
      </c>
      <c r="E190" s="4">
        <f t="shared" si="13"/>
        <v>664685.79556</v>
      </c>
      <c r="F190">
        <f t="shared" si="11"/>
        <v>0.38845653650752793</v>
      </c>
      <c r="G190" t="str">
        <f t="shared" si="12"/>
        <v>A</v>
      </c>
    </row>
    <row r="191" spans="1:7" x14ac:dyDescent="0.3">
      <c r="A191" t="s">
        <v>731</v>
      </c>
      <c r="B191" t="s">
        <v>998</v>
      </c>
      <c r="C191" s="4">
        <v>40139.874619999995</v>
      </c>
      <c r="D191" s="4">
        <f t="shared" si="10"/>
        <v>1711094.3775999995</v>
      </c>
      <c r="E191" s="4">
        <f t="shared" si="13"/>
        <v>704825.67018000002</v>
      </c>
      <c r="F191">
        <f t="shared" si="11"/>
        <v>0.41191513420118681</v>
      </c>
      <c r="G191" t="str">
        <f t="shared" si="12"/>
        <v>A</v>
      </c>
    </row>
    <row r="192" spans="1:7" x14ac:dyDescent="0.3">
      <c r="A192" t="s">
        <v>731</v>
      </c>
      <c r="B192" t="s">
        <v>753</v>
      </c>
      <c r="C192" s="4">
        <v>39263.702919999996</v>
      </c>
      <c r="D192" s="4">
        <f t="shared" si="10"/>
        <v>1711094.3775999995</v>
      </c>
      <c r="E192" s="4">
        <f t="shared" si="13"/>
        <v>744089.37309999997</v>
      </c>
      <c r="F192">
        <f t="shared" si="11"/>
        <v>0.43486167849120527</v>
      </c>
      <c r="G192" t="str">
        <f t="shared" si="12"/>
        <v>A</v>
      </c>
    </row>
    <row r="193" spans="1:7" x14ac:dyDescent="0.3">
      <c r="A193" t="s">
        <v>731</v>
      </c>
      <c r="B193" t="s">
        <v>1215</v>
      </c>
      <c r="C193" s="4">
        <v>36161.097000000002</v>
      </c>
      <c r="D193" s="4">
        <f t="shared" si="10"/>
        <v>1711094.3775999995</v>
      </c>
      <c r="E193" s="4">
        <f t="shared" si="13"/>
        <v>780250.47009999992</v>
      </c>
      <c r="F193">
        <f t="shared" si="11"/>
        <v>0.45599499379712072</v>
      </c>
      <c r="G193" t="str">
        <f t="shared" si="12"/>
        <v>A</v>
      </c>
    </row>
    <row r="194" spans="1:7" x14ac:dyDescent="0.3">
      <c r="A194" t="s">
        <v>731</v>
      </c>
      <c r="B194" t="s">
        <v>976</v>
      </c>
      <c r="C194" s="4">
        <v>34082.864639999993</v>
      </c>
      <c r="D194" s="4">
        <f t="shared" ref="D194:D257" si="14">SUMIF($A:$A,A194,$C:$C)</f>
        <v>1711094.3775999995</v>
      </c>
      <c r="E194" s="4">
        <f t="shared" si="13"/>
        <v>814333.33473999996</v>
      </c>
      <c r="F194">
        <f t="shared" ref="F194:F257" si="15">E194/D194</f>
        <v>0.47591374584620699</v>
      </c>
      <c r="G194" t="str">
        <f t="shared" ref="G194:G257" si="16">IF(F194&lt;=0.8,"A",IF(F194&lt;=0.95,"B","C"))</f>
        <v>A</v>
      </c>
    </row>
    <row r="195" spans="1:7" x14ac:dyDescent="0.3">
      <c r="A195" t="s">
        <v>731</v>
      </c>
      <c r="B195" t="s">
        <v>1332</v>
      </c>
      <c r="C195" s="4">
        <v>33938.142760000002</v>
      </c>
      <c r="D195" s="4">
        <f t="shared" si="14"/>
        <v>1711094.3775999995</v>
      </c>
      <c r="E195" s="4">
        <f t="shared" si="13"/>
        <v>848271.47749999992</v>
      </c>
      <c r="F195">
        <f t="shared" si="15"/>
        <v>0.49574791934609425</v>
      </c>
      <c r="G195" t="str">
        <f t="shared" si="16"/>
        <v>A</v>
      </c>
    </row>
    <row r="196" spans="1:7" x14ac:dyDescent="0.3">
      <c r="A196" t="s">
        <v>731</v>
      </c>
      <c r="B196" t="s">
        <v>907</v>
      </c>
      <c r="C196" s="4">
        <v>31556.187599999997</v>
      </c>
      <c r="D196" s="4">
        <f t="shared" si="14"/>
        <v>1711094.3775999995</v>
      </c>
      <c r="E196" s="4">
        <f t="shared" si="13"/>
        <v>879827.66509999987</v>
      </c>
      <c r="F196">
        <f t="shared" si="15"/>
        <v>0.51419002751563958</v>
      </c>
      <c r="G196" t="str">
        <f t="shared" si="16"/>
        <v>A</v>
      </c>
    </row>
    <row r="197" spans="1:7" x14ac:dyDescent="0.3">
      <c r="A197" t="s">
        <v>731</v>
      </c>
      <c r="B197" t="s">
        <v>1159</v>
      </c>
      <c r="C197" s="4">
        <v>30435.614999999998</v>
      </c>
      <c r="D197" s="4">
        <f t="shared" si="14"/>
        <v>1711094.3775999995</v>
      </c>
      <c r="E197" s="4">
        <f t="shared" si="13"/>
        <v>910263.28009999986</v>
      </c>
      <c r="F197">
        <f t="shared" si="15"/>
        <v>0.53197724918992806</v>
      </c>
      <c r="G197" t="str">
        <f t="shared" si="16"/>
        <v>A</v>
      </c>
    </row>
    <row r="198" spans="1:7" x14ac:dyDescent="0.3">
      <c r="A198" t="s">
        <v>731</v>
      </c>
      <c r="B198" t="s">
        <v>845</v>
      </c>
      <c r="C198" s="4">
        <v>30151.675319999998</v>
      </c>
      <c r="D198" s="4">
        <f t="shared" si="14"/>
        <v>1711094.3775999995</v>
      </c>
      <c r="E198" s="4">
        <f t="shared" si="13"/>
        <v>940414.9554199999</v>
      </c>
      <c r="F198">
        <f t="shared" si="15"/>
        <v>0.5495985304674057</v>
      </c>
      <c r="G198" t="str">
        <f t="shared" si="16"/>
        <v>A</v>
      </c>
    </row>
    <row r="199" spans="1:7" x14ac:dyDescent="0.3">
      <c r="A199" t="s">
        <v>731</v>
      </c>
      <c r="B199" t="s">
        <v>790</v>
      </c>
      <c r="C199" s="4">
        <v>29659.68995</v>
      </c>
      <c r="D199" s="4">
        <f t="shared" si="14"/>
        <v>1711094.3775999995</v>
      </c>
      <c r="E199" s="4">
        <f t="shared" si="13"/>
        <v>970074.64536999993</v>
      </c>
      <c r="F199">
        <f t="shared" si="15"/>
        <v>0.5669322850155335</v>
      </c>
      <c r="G199" t="str">
        <f t="shared" si="16"/>
        <v>A</v>
      </c>
    </row>
    <row r="200" spans="1:7" x14ac:dyDescent="0.3">
      <c r="A200" t="s">
        <v>731</v>
      </c>
      <c r="B200" t="s">
        <v>1063</v>
      </c>
      <c r="C200" s="4">
        <v>27756.432000000001</v>
      </c>
      <c r="D200" s="4">
        <f t="shared" si="14"/>
        <v>1711094.3775999995</v>
      </c>
      <c r="E200" s="4">
        <f t="shared" si="13"/>
        <v>997831.07736999996</v>
      </c>
      <c r="F200">
        <f t="shared" si="15"/>
        <v>0.58315373507893187</v>
      </c>
      <c r="G200" t="str">
        <f t="shared" si="16"/>
        <v>A</v>
      </c>
    </row>
    <row r="201" spans="1:7" x14ac:dyDescent="0.3">
      <c r="A201" t="s">
        <v>731</v>
      </c>
      <c r="B201" t="s">
        <v>798</v>
      </c>
      <c r="C201" s="4">
        <v>26304.275999999998</v>
      </c>
      <c r="D201" s="4">
        <f t="shared" si="14"/>
        <v>1711094.3775999995</v>
      </c>
      <c r="E201" s="4">
        <f t="shared" si="13"/>
        <v>1024135.3533699999</v>
      </c>
      <c r="F201">
        <f t="shared" si="15"/>
        <v>0.5985265142454993</v>
      </c>
      <c r="G201" t="str">
        <f t="shared" si="16"/>
        <v>A</v>
      </c>
    </row>
    <row r="202" spans="1:7" x14ac:dyDescent="0.3">
      <c r="A202" t="s">
        <v>731</v>
      </c>
      <c r="B202" t="s">
        <v>833</v>
      </c>
      <c r="C202" s="4">
        <v>25502.910479999999</v>
      </c>
      <c r="D202" s="4">
        <f t="shared" si="14"/>
        <v>1711094.3775999995</v>
      </c>
      <c r="E202" s="4">
        <f t="shared" si="13"/>
        <v>1049638.26385</v>
      </c>
      <c r="F202">
        <f t="shared" si="15"/>
        <v>0.6134309583333647</v>
      </c>
      <c r="G202" t="str">
        <f t="shared" si="16"/>
        <v>A</v>
      </c>
    </row>
    <row r="203" spans="1:7" x14ac:dyDescent="0.3">
      <c r="A203" t="s">
        <v>731</v>
      </c>
      <c r="B203" t="s">
        <v>926</v>
      </c>
      <c r="C203" s="4">
        <v>24374.594880000001</v>
      </c>
      <c r="D203" s="4">
        <f t="shared" si="14"/>
        <v>1711094.3775999995</v>
      </c>
      <c r="E203" s="4">
        <f t="shared" si="13"/>
        <v>1074012.85873</v>
      </c>
      <c r="F203">
        <f t="shared" si="15"/>
        <v>0.6276759907518501</v>
      </c>
      <c r="G203" t="str">
        <f t="shared" si="16"/>
        <v>A</v>
      </c>
    </row>
    <row r="204" spans="1:7" x14ac:dyDescent="0.3">
      <c r="A204" t="s">
        <v>731</v>
      </c>
      <c r="B204" t="s">
        <v>989</v>
      </c>
      <c r="C204" s="4">
        <v>24161.205600000001</v>
      </c>
      <c r="D204" s="4">
        <f t="shared" si="14"/>
        <v>1711094.3775999995</v>
      </c>
      <c r="E204" s="4">
        <f t="shared" si="13"/>
        <v>1098174.06433</v>
      </c>
      <c r="F204">
        <f t="shared" si="15"/>
        <v>0.64179631392998404</v>
      </c>
      <c r="G204" t="str">
        <f t="shared" si="16"/>
        <v>A</v>
      </c>
    </row>
    <row r="205" spans="1:7" x14ac:dyDescent="0.3">
      <c r="A205" t="s">
        <v>731</v>
      </c>
      <c r="B205" t="s">
        <v>754</v>
      </c>
      <c r="C205" s="4">
        <v>23782.310720000001</v>
      </c>
      <c r="D205" s="4">
        <f t="shared" si="14"/>
        <v>1711094.3775999995</v>
      </c>
      <c r="E205" s="4">
        <f t="shared" si="13"/>
        <v>1121956.3750499999</v>
      </c>
      <c r="F205">
        <f t="shared" si="15"/>
        <v>0.65569520286991345</v>
      </c>
      <c r="G205" t="str">
        <f t="shared" si="16"/>
        <v>A</v>
      </c>
    </row>
    <row r="206" spans="1:7" x14ac:dyDescent="0.3">
      <c r="A206" t="s">
        <v>731</v>
      </c>
      <c r="B206" t="s">
        <v>1118</v>
      </c>
      <c r="C206" s="4">
        <v>22064.910300000003</v>
      </c>
      <c r="D206" s="4">
        <f t="shared" si="14"/>
        <v>1711094.3775999995</v>
      </c>
      <c r="E206" s="4">
        <f t="shared" si="13"/>
        <v>1144021.28535</v>
      </c>
      <c r="F206">
        <f t="shared" si="15"/>
        <v>0.66859040642434775</v>
      </c>
      <c r="G206" t="str">
        <f t="shared" si="16"/>
        <v>A</v>
      </c>
    </row>
    <row r="207" spans="1:7" x14ac:dyDescent="0.3">
      <c r="A207" t="s">
        <v>731</v>
      </c>
      <c r="B207" t="s">
        <v>885</v>
      </c>
      <c r="C207" s="4">
        <v>21572.590500000002</v>
      </c>
      <c r="D207" s="4">
        <f t="shared" si="14"/>
        <v>1711094.3775999995</v>
      </c>
      <c r="E207" s="4">
        <f t="shared" si="13"/>
        <v>1165593.87585</v>
      </c>
      <c r="F207">
        <f t="shared" si="15"/>
        <v>0.68119788780141699</v>
      </c>
      <c r="G207" t="str">
        <f t="shared" si="16"/>
        <v>A</v>
      </c>
    </row>
    <row r="208" spans="1:7" x14ac:dyDescent="0.3">
      <c r="A208" t="s">
        <v>731</v>
      </c>
      <c r="B208" t="s">
        <v>1029</v>
      </c>
      <c r="C208" s="4">
        <v>20455.985130000001</v>
      </c>
      <c r="D208" s="4">
        <f t="shared" si="14"/>
        <v>1711094.3775999995</v>
      </c>
      <c r="E208" s="4">
        <f t="shared" si="13"/>
        <v>1186049.8609799999</v>
      </c>
      <c r="F208">
        <f t="shared" si="15"/>
        <v>0.69315280121694223</v>
      </c>
      <c r="G208" t="str">
        <f t="shared" si="16"/>
        <v>A</v>
      </c>
    </row>
    <row r="209" spans="1:7" x14ac:dyDescent="0.3">
      <c r="A209" t="s">
        <v>731</v>
      </c>
      <c r="B209" t="s">
        <v>757</v>
      </c>
      <c r="C209" s="4">
        <v>20225.2248</v>
      </c>
      <c r="D209" s="4">
        <f t="shared" si="14"/>
        <v>1711094.3775999995</v>
      </c>
      <c r="E209" s="4">
        <f t="shared" si="13"/>
        <v>1206275.0857799998</v>
      </c>
      <c r="F209">
        <f t="shared" si="15"/>
        <v>0.70497285338049853</v>
      </c>
      <c r="G209" t="str">
        <f t="shared" si="16"/>
        <v>A</v>
      </c>
    </row>
    <row r="210" spans="1:7" x14ac:dyDescent="0.3">
      <c r="A210" t="s">
        <v>731</v>
      </c>
      <c r="B210" t="s">
        <v>806</v>
      </c>
      <c r="C210" s="4">
        <v>20171.63305</v>
      </c>
      <c r="D210" s="4">
        <f t="shared" si="14"/>
        <v>1711094.3775999995</v>
      </c>
      <c r="E210" s="4">
        <f t="shared" si="13"/>
        <v>1226446.7188299999</v>
      </c>
      <c r="F210">
        <f t="shared" si="15"/>
        <v>0.7167615853838688</v>
      </c>
      <c r="G210" t="str">
        <f t="shared" si="16"/>
        <v>A</v>
      </c>
    </row>
    <row r="211" spans="1:7" x14ac:dyDescent="0.3">
      <c r="A211" t="s">
        <v>731</v>
      </c>
      <c r="B211" t="s">
        <v>1120</v>
      </c>
      <c r="C211" s="4">
        <v>19773.362699999998</v>
      </c>
      <c r="D211" s="4">
        <f t="shared" si="14"/>
        <v>1711094.3775999995</v>
      </c>
      <c r="E211" s="4">
        <f t="shared" ref="E211:E274" si="17">IF(A211=A210,E210+C211,C211)</f>
        <v>1246220.0815299999</v>
      </c>
      <c r="F211">
        <f t="shared" si="15"/>
        <v>0.72831755971167544</v>
      </c>
      <c r="G211" t="str">
        <f t="shared" si="16"/>
        <v>A</v>
      </c>
    </row>
    <row r="212" spans="1:7" x14ac:dyDescent="0.3">
      <c r="A212" t="s">
        <v>731</v>
      </c>
      <c r="B212" t="s">
        <v>1273</v>
      </c>
      <c r="C212" s="4">
        <v>19581.87</v>
      </c>
      <c r="D212" s="4">
        <f t="shared" si="14"/>
        <v>1711094.3775999995</v>
      </c>
      <c r="E212" s="4">
        <f t="shared" si="17"/>
        <v>1265801.95153</v>
      </c>
      <c r="F212">
        <f t="shared" si="15"/>
        <v>0.73976162162687265</v>
      </c>
      <c r="G212" t="str">
        <f t="shared" si="16"/>
        <v>A</v>
      </c>
    </row>
    <row r="213" spans="1:7" x14ac:dyDescent="0.3">
      <c r="A213" t="s">
        <v>731</v>
      </c>
      <c r="B213" t="s">
        <v>924</v>
      </c>
      <c r="C213" s="4">
        <v>19542.975350000001</v>
      </c>
      <c r="D213" s="4">
        <f t="shared" si="14"/>
        <v>1711094.3775999995</v>
      </c>
      <c r="E213" s="4">
        <f t="shared" si="17"/>
        <v>1285344.9268799999</v>
      </c>
      <c r="F213">
        <f t="shared" si="15"/>
        <v>0.75118295268016677</v>
      </c>
      <c r="G213" t="str">
        <f t="shared" si="16"/>
        <v>A</v>
      </c>
    </row>
    <row r="214" spans="1:7" x14ac:dyDescent="0.3">
      <c r="A214" t="s">
        <v>731</v>
      </c>
      <c r="B214" t="s">
        <v>1305</v>
      </c>
      <c r="C214" s="4">
        <v>19139.594240000002</v>
      </c>
      <c r="D214" s="4">
        <f t="shared" si="14"/>
        <v>1711094.3775999995</v>
      </c>
      <c r="E214" s="4">
        <f t="shared" si="17"/>
        <v>1304484.5211199999</v>
      </c>
      <c r="F214">
        <f t="shared" si="15"/>
        <v>0.76236853922089598</v>
      </c>
      <c r="G214" t="str">
        <f t="shared" si="16"/>
        <v>A</v>
      </c>
    </row>
    <row r="215" spans="1:7" x14ac:dyDescent="0.3">
      <c r="A215" t="s">
        <v>731</v>
      </c>
      <c r="B215" t="s">
        <v>1130</v>
      </c>
      <c r="C215" s="4">
        <v>18641.222160000001</v>
      </c>
      <c r="D215" s="4">
        <f t="shared" si="14"/>
        <v>1711094.3775999995</v>
      </c>
      <c r="E215" s="4">
        <f t="shared" si="17"/>
        <v>1323125.7432799998</v>
      </c>
      <c r="F215">
        <f t="shared" si="15"/>
        <v>0.77326286650291676</v>
      </c>
      <c r="G215" t="str">
        <f t="shared" si="16"/>
        <v>A</v>
      </c>
    </row>
    <row r="216" spans="1:7" x14ac:dyDescent="0.3">
      <c r="A216" t="s">
        <v>731</v>
      </c>
      <c r="B216" t="s">
        <v>985</v>
      </c>
      <c r="C216" s="4">
        <v>17453.3436</v>
      </c>
      <c r="D216" s="4">
        <f t="shared" si="14"/>
        <v>1711094.3775999995</v>
      </c>
      <c r="E216" s="4">
        <f t="shared" si="17"/>
        <v>1340579.0868799998</v>
      </c>
      <c r="F216">
        <f t="shared" si="15"/>
        <v>0.78346297225306261</v>
      </c>
      <c r="G216" t="str">
        <f t="shared" si="16"/>
        <v>A</v>
      </c>
    </row>
    <row r="217" spans="1:7" x14ac:dyDescent="0.3">
      <c r="A217" t="s">
        <v>731</v>
      </c>
      <c r="B217" t="s">
        <v>1018</v>
      </c>
      <c r="C217" s="4">
        <v>15505.479600000001</v>
      </c>
      <c r="D217" s="4">
        <f t="shared" si="14"/>
        <v>1711094.3775999995</v>
      </c>
      <c r="E217" s="4">
        <f t="shared" si="17"/>
        <v>1356084.5664799998</v>
      </c>
      <c r="F217">
        <f t="shared" si="15"/>
        <v>0.79252470479276516</v>
      </c>
      <c r="G217" t="str">
        <f t="shared" si="16"/>
        <v>A</v>
      </c>
    </row>
    <row r="218" spans="1:7" x14ac:dyDescent="0.3">
      <c r="A218" t="s">
        <v>731</v>
      </c>
      <c r="B218" t="s">
        <v>958</v>
      </c>
      <c r="C218" s="4">
        <v>15490.527</v>
      </c>
      <c r="D218" s="4">
        <f t="shared" si="14"/>
        <v>1711094.3775999995</v>
      </c>
      <c r="E218" s="4">
        <f t="shared" si="17"/>
        <v>1371575.0934799998</v>
      </c>
      <c r="F218">
        <f t="shared" si="15"/>
        <v>0.80157769871454232</v>
      </c>
      <c r="G218" t="str">
        <f t="shared" si="16"/>
        <v>B</v>
      </c>
    </row>
    <row r="219" spans="1:7" x14ac:dyDescent="0.3">
      <c r="A219" t="s">
        <v>731</v>
      </c>
      <c r="B219" t="s">
        <v>1158</v>
      </c>
      <c r="C219" s="4">
        <v>15366.983199999999</v>
      </c>
      <c r="D219" s="4">
        <f t="shared" si="14"/>
        <v>1711094.3775999995</v>
      </c>
      <c r="E219" s="4">
        <f t="shared" si="17"/>
        <v>1386942.0766799997</v>
      </c>
      <c r="F219">
        <f t="shared" si="15"/>
        <v>0.81055849100815847</v>
      </c>
      <c r="G219" t="str">
        <f t="shared" si="16"/>
        <v>B</v>
      </c>
    </row>
    <row r="220" spans="1:7" x14ac:dyDescent="0.3">
      <c r="A220" t="s">
        <v>731</v>
      </c>
      <c r="B220" t="s">
        <v>1268</v>
      </c>
      <c r="C220" s="4">
        <v>15155.326800000001</v>
      </c>
      <c r="D220" s="4">
        <f t="shared" si="14"/>
        <v>1711094.3775999995</v>
      </c>
      <c r="E220" s="4">
        <f t="shared" si="17"/>
        <v>1402097.4034799996</v>
      </c>
      <c r="F220">
        <f t="shared" si="15"/>
        <v>0.81941558679340498</v>
      </c>
      <c r="G220" t="str">
        <f t="shared" si="16"/>
        <v>B</v>
      </c>
    </row>
    <row r="221" spans="1:7" x14ac:dyDescent="0.3">
      <c r="A221" t="s">
        <v>731</v>
      </c>
      <c r="B221" t="s">
        <v>1327</v>
      </c>
      <c r="C221" s="4">
        <v>14910.609600000002</v>
      </c>
      <c r="D221" s="4">
        <f t="shared" si="14"/>
        <v>1711094.3775999995</v>
      </c>
      <c r="E221" s="4">
        <f t="shared" si="17"/>
        <v>1417008.0130799997</v>
      </c>
      <c r="F221">
        <f t="shared" si="15"/>
        <v>0.82812966463457804</v>
      </c>
      <c r="G221" t="str">
        <f t="shared" si="16"/>
        <v>B</v>
      </c>
    </row>
    <row r="222" spans="1:7" x14ac:dyDescent="0.3">
      <c r="A222" t="s">
        <v>731</v>
      </c>
      <c r="B222" t="s">
        <v>900</v>
      </c>
      <c r="C222" s="4">
        <v>14448.298699999998</v>
      </c>
      <c r="D222" s="4">
        <f t="shared" si="14"/>
        <v>1711094.3775999995</v>
      </c>
      <c r="E222" s="4">
        <f t="shared" si="17"/>
        <v>1431456.3117799996</v>
      </c>
      <c r="F222">
        <f t="shared" si="15"/>
        <v>0.83657355813872558</v>
      </c>
      <c r="G222" t="str">
        <f t="shared" si="16"/>
        <v>B</v>
      </c>
    </row>
    <row r="223" spans="1:7" x14ac:dyDescent="0.3">
      <c r="A223" t="s">
        <v>731</v>
      </c>
      <c r="B223" t="s">
        <v>1276</v>
      </c>
      <c r="C223" s="4">
        <v>14114.068500000001</v>
      </c>
      <c r="D223" s="4">
        <f t="shared" si="14"/>
        <v>1711094.3775999995</v>
      </c>
      <c r="E223" s="4">
        <f t="shared" si="17"/>
        <v>1445570.3802799997</v>
      </c>
      <c r="F223">
        <f t="shared" si="15"/>
        <v>0.84482212039500304</v>
      </c>
      <c r="G223" t="str">
        <f t="shared" si="16"/>
        <v>B</v>
      </c>
    </row>
    <row r="224" spans="1:7" x14ac:dyDescent="0.3">
      <c r="A224" t="s">
        <v>731</v>
      </c>
      <c r="B224" t="s">
        <v>1102</v>
      </c>
      <c r="C224" s="4">
        <v>13784.586000000001</v>
      </c>
      <c r="D224" s="4">
        <f t="shared" si="14"/>
        <v>1711094.3775999995</v>
      </c>
      <c r="E224" s="4">
        <f t="shared" si="17"/>
        <v>1459354.9662799996</v>
      </c>
      <c r="F224">
        <f t="shared" si="15"/>
        <v>0.85287812606041491</v>
      </c>
      <c r="G224" t="str">
        <f t="shared" si="16"/>
        <v>B</v>
      </c>
    </row>
    <row r="225" spans="1:7" x14ac:dyDescent="0.3">
      <c r="A225" t="s">
        <v>731</v>
      </c>
      <c r="B225" t="s">
        <v>836</v>
      </c>
      <c r="C225" s="4">
        <v>13669.81</v>
      </c>
      <c r="D225" s="4">
        <f t="shared" si="14"/>
        <v>1711094.3775999995</v>
      </c>
      <c r="E225" s="4">
        <f t="shared" si="17"/>
        <v>1473024.7762799996</v>
      </c>
      <c r="F225">
        <f t="shared" si="15"/>
        <v>0.86086705418673692</v>
      </c>
      <c r="G225" t="str">
        <f t="shared" si="16"/>
        <v>B</v>
      </c>
    </row>
    <row r="226" spans="1:7" x14ac:dyDescent="0.3">
      <c r="A226" t="s">
        <v>731</v>
      </c>
      <c r="B226" t="s">
        <v>1079</v>
      </c>
      <c r="C226" s="4">
        <v>13637.287999999999</v>
      </c>
      <c r="D226" s="4">
        <f t="shared" si="14"/>
        <v>1711094.3775999995</v>
      </c>
      <c r="E226" s="4">
        <f t="shared" si="17"/>
        <v>1486662.0642799996</v>
      </c>
      <c r="F226">
        <f t="shared" si="15"/>
        <v>0.86883697576355123</v>
      </c>
      <c r="G226" t="str">
        <f t="shared" si="16"/>
        <v>B</v>
      </c>
    </row>
    <row r="227" spans="1:7" x14ac:dyDescent="0.3">
      <c r="A227" t="s">
        <v>731</v>
      </c>
      <c r="B227" t="s">
        <v>767</v>
      </c>
      <c r="C227" s="4">
        <v>13218.5</v>
      </c>
      <c r="D227" s="4">
        <f t="shared" si="14"/>
        <v>1711094.3775999995</v>
      </c>
      <c r="E227" s="4">
        <f t="shared" si="17"/>
        <v>1499880.5642799996</v>
      </c>
      <c r="F227">
        <f t="shared" si="15"/>
        <v>0.8765621487131231</v>
      </c>
      <c r="G227" t="str">
        <f t="shared" si="16"/>
        <v>B</v>
      </c>
    </row>
    <row r="228" spans="1:7" x14ac:dyDescent="0.3">
      <c r="A228" t="s">
        <v>731</v>
      </c>
      <c r="B228" t="s">
        <v>879</v>
      </c>
      <c r="C228" s="4">
        <v>12954.358080000002</v>
      </c>
      <c r="D228" s="4">
        <f t="shared" si="14"/>
        <v>1711094.3775999995</v>
      </c>
      <c r="E228" s="4">
        <f t="shared" si="17"/>
        <v>1512834.9223599995</v>
      </c>
      <c r="F228">
        <f t="shared" si="15"/>
        <v>0.88413295149851345</v>
      </c>
      <c r="G228" t="str">
        <f t="shared" si="16"/>
        <v>B</v>
      </c>
    </row>
    <row r="229" spans="1:7" x14ac:dyDescent="0.3">
      <c r="A229" t="s">
        <v>731</v>
      </c>
      <c r="B229" t="s">
        <v>838</v>
      </c>
      <c r="C229" s="4">
        <v>12335.654849999999</v>
      </c>
      <c r="D229" s="4">
        <f t="shared" si="14"/>
        <v>1711094.3775999995</v>
      </c>
      <c r="E229" s="4">
        <f t="shared" si="17"/>
        <v>1525170.5772099996</v>
      </c>
      <c r="F229">
        <f t="shared" si="15"/>
        <v>0.89134217093812274</v>
      </c>
      <c r="G229" t="str">
        <f t="shared" si="16"/>
        <v>B</v>
      </c>
    </row>
    <row r="230" spans="1:7" x14ac:dyDescent="0.3">
      <c r="A230" t="s">
        <v>731</v>
      </c>
      <c r="B230" t="s">
        <v>1083</v>
      </c>
      <c r="C230" s="4">
        <v>12236.874600000001</v>
      </c>
      <c r="D230" s="4">
        <f t="shared" si="14"/>
        <v>1711094.3775999995</v>
      </c>
      <c r="E230" s="4">
        <f t="shared" si="17"/>
        <v>1537407.4518099995</v>
      </c>
      <c r="F230">
        <f t="shared" si="15"/>
        <v>0.8984936610956461</v>
      </c>
      <c r="G230" t="str">
        <f t="shared" si="16"/>
        <v>B</v>
      </c>
    </row>
    <row r="231" spans="1:7" x14ac:dyDescent="0.3">
      <c r="A231" t="s">
        <v>731</v>
      </c>
      <c r="B231" t="s">
        <v>1017</v>
      </c>
      <c r="C231" s="4">
        <v>11696.156879999999</v>
      </c>
      <c r="D231" s="4">
        <f t="shared" si="14"/>
        <v>1711094.3775999995</v>
      </c>
      <c r="E231" s="4">
        <f t="shared" si="17"/>
        <v>1549103.6086899994</v>
      </c>
      <c r="F231">
        <f t="shared" si="15"/>
        <v>0.90532914430049716</v>
      </c>
      <c r="G231" t="str">
        <f t="shared" si="16"/>
        <v>B</v>
      </c>
    </row>
    <row r="232" spans="1:7" x14ac:dyDescent="0.3">
      <c r="A232" t="s">
        <v>731</v>
      </c>
      <c r="B232" t="s">
        <v>1248</v>
      </c>
      <c r="C232" s="4">
        <v>10859.64</v>
      </c>
      <c r="D232" s="4">
        <f t="shared" si="14"/>
        <v>1711094.3775999995</v>
      </c>
      <c r="E232" s="4">
        <f t="shared" si="17"/>
        <v>1559963.2486899993</v>
      </c>
      <c r="F232">
        <f t="shared" si="15"/>
        <v>0.91167574922315009</v>
      </c>
      <c r="G232" t="str">
        <f t="shared" si="16"/>
        <v>B</v>
      </c>
    </row>
    <row r="233" spans="1:7" x14ac:dyDescent="0.3">
      <c r="A233" t="s">
        <v>731</v>
      </c>
      <c r="B233" t="s">
        <v>1043</v>
      </c>
      <c r="C233" s="4">
        <v>9847.2358600000007</v>
      </c>
      <c r="D233" s="4">
        <f t="shared" si="14"/>
        <v>1711094.3775999995</v>
      </c>
      <c r="E233" s="4">
        <f t="shared" si="17"/>
        <v>1569810.4845499992</v>
      </c>
      <c r="F233">
        <f t="shared" si="15"/>
        <v>0.91743068360252189</v>
      </c>
      <c r="G233" t="str">
        <f t="shared" si="16"/>
        <v>B</v>
      </c>
    </row>
    <row r="234" spans="1:7" x14ac:dyDescent="0.3">
      <c r="A234" t="s">
        <v>731</v>
      </c>
      <c r="B234" t="s">
        <v>980</v>
      </c>
      <c r="C234" s="4">
        <v>9774.3888000000006</v>
      </c>
      <c r="D234" s="4">
        <f t="shared" si="14"/>
        <v>1711094.3775999995</v>
      </c>
      <c r="E234" s="4">
        <f t="shared" si="17"/>
        <v>1579584.8733499993</v>
      </c>
      <c r="F234">
        <f t="shared" si="15"/>
        <v>0.92314304460841201</v>
      </c>
      <c r="G234" t="str">
        <f t="shared" si="16"/>
        <v>B</v>
      </c>
    </row>
    <row r="235" spans="1:7" x14ac:dyDescent="0.3">
      <c r="A235" t="s">
        <v>731</v>
      </c>
      <c r="B235" t="s">
        <v>1179</v>
      </c>
      <c r="C235" s="4">
        <v>9771.4483199999995</v>
      </c>
      <c r="D235" s="4">
        <f t="shared" si="14"/>
        <v>1711094.3775999995</v>
      </c>
      <c r="E235" s="4">
        <f t="shared" si="17"/>
        <v>1589356.3216699993</v>
      </c>
      <c r="F235">
        <f t="shared" si="15"/>
        <v>0.92885368713515881</v>
      </c>
      <c r="G235" t="str">
        <f t="shared" si="16"/>
        <v>B</v>
      </c>
    </row>
    <row r="236" spans="1:7" x14ac:dyDescent="0.3">
      <c r="A236" t="s">
        <v>731</v>
      </c>
      <c r="B236" t="s">
        <v>1013</v>
      </c>
      <c r="C236" s="4">
        <v>8907.6924999999992</v>
      </c>
      <c r="D236" s="4">
        <f t="shared" si="14"/>
        <v>1711094.3775999995</v>
      </c>
      <c r="E236" s="4">
        <f t="shared" si="17"/>
        <v>1598264.0141699992</v>
      </c>
      <c r="F236">
        <f t="shared" si="15"/>
        <v>0.93405953236299122</v>
      </c>
      <c r="G236" t="str">
        <f t="shared" si="16"/>
        <v>B</v>
      </c>
    </row>
    <row r="237" spans="1:7" x14ac:dyDescent="0.3">
      <c r="A237" t="s">
        <v>731</v>
      </c>
      <c r="B237" t="s">
        <v>1009</v>
      </c>
      <c r="C237" s="4">
        <v>8567.3924999999999</v>
      </c>
      <c r="D237" s="4">
        <f t="shared" si="14"/>
        <v>1711094.3775999995</v>
      </c>
      <c r="E237" s="4">
        <f t="shared" si="17"/>
        <v>1606831.4066699992</v>
      </c>
      <c r="F237">
        <f t="shared" si="15"/>
        <v>0.93906649902254913</v>
      </c>
      <c r="G237" t="str">
        <f t="shared" si="16"/>
        <v>B</v>
      </c>
    </row>
    <row r="238" spans="1:7" x14ac:dyDescent="0.3">
      <c r="A238" t="s">
        <v>731</v>
      </c>
      <c r="B238" t="s">
        <v>866</v>
      </c>
      <c r="C238" s="4">
        <v>8336.8896000000004</v>
      </c>
      <c r="D238" s="4">
        <f t="shared" si="14"/>
        <v>1711094.3775999995</v>
      </c>
      <c r="E238" s="4">
        <f t="shared" si="17"/>
        <v>1615168.2962699994</v>
      </c>
      <c r="F238">
        <f t="shared" si="15"/>
        <v>0.94393875487771328</v>
      </c>
      <c r="G238" t="str">
        <f t="shared" si="16"/>
        <v>B</v>
      </c>
    </row>
    <row r="239" spans="1:7" x14ac:dyDescent="0.3">
      <c r="A239" t="s">
        <v>731</v>
      </c>
      <c r="B239" t="s">
        <v>1242</v>
      </c>
      <c r="C239" s="4">
        <v>8297.4286000000011</v>
      </c>
      <c r="D239" s="4">
        <f t="shared" si="14"/>
        <v>1711094.3775999995</v>
      </c>
      <c r="E239" s="4">
        <f t="shared" si="17"/>
        <v>1623465.7248699993</v>
      </c>
      <c r="F239">
        <f t="shared" si="15"/>
        <v>0.94878794888397144</v>
      </c>
      <c r="G239" t="str">
        <f t="shared" si="16"/>
        <v>B</v>
      </c>
    </row>
    <row r="240" spans="1:7" x14ac:dyDescent="0.3">
      <c r="A240" t="s">
        <v>731</v>
      </c>
      <c r="B240" t="s">
        <v>1191</v>
      </c>
      <c r="C240" s="4">
        <v>7643.2649999999994</v>
      </c>
      <c r="D240" s="4">
        <f t="shared" si="14"/>
        <v>1711094.3775999995</v>
      </c>
      <c r="E240" s="4">
        <f t="shared" si="17"/>
        <v>1631108.9898699992</v>
      </c>
      <c r="F240">
        <f t="shared" si="15"/>
        <v>0.95325483574892655</v>
      </c>
      <c r="G240" t="str">
        <f t="shared" si="16"/>
        <v>C</v>
      </c>
    </row>
    <row r="241" spans="1:7" x14ac:dyDescent="0.3">
      <c r="A241" t="s">
        <v>731</v>
      </c>
      <c r="B241" t="s">
        <v>749</v>
      </c>
      <c r="C241" s="4">
        <v>7090.5672000000004</v>
      </c>
      <c r="D241" s="4">
        <f t="shared" si="14"/>
        <v>1711094.3775999995</v>
      </c>
      <c r="E241" s="4">
        <f t="shared" si="17"/>
        <v>1638199.5570699992</v>
      </c>
      <c r="F241">
        <f t="shared" si="15"/>
        <v>0.95739871424728573</v>
      </c>
      <c r="G241" t="str">
        <f t="shared" si="16"/>
        <v>C</v>
      </c>
    </row>
    <row r="242" spans="1:7" x14ac:dyDescent="0.3">
      <c r="A242" t="s">
        <v>731</v>
      </c>
      <c r="B242" t="s">
        <v>1337</v>
      </c>
      <c r="C242" s="4">
        <v>7071.6331400000008</v>
      </c>
      <c r="D242" s="4">
        <f t="shared" si="14"/>
        <v>1711094.3775999995</v>
      </c>
      <c r="E242" s="4">
        <f t="shared" si="17"/>
        <v>1645271.1902099992</v>
      </c>
      <c r="F242">
        <f t="shared" si="15"/>
        <v>0.96153152727769187</v>
      </c>
      <c r="G242" t="str">
        <f t="shared" si="16"/>
        <v>C</v>
      </c>
    </row>
    <row r="243" spans="1:7" x14ac:dyDescent="0.3">
      <c r="A243" t="s">
        <v>731</v>
      </c>
      <c r="B243" t="s">
        <v>805</v>
      </c>
      <c r="C243" s="4">
        <v>6393.0952799999995</v>
      </c>
      <c r="D243" s="4">
        <f t="shared" si="14"/>
        <v>1711094.3775999995</v>
      </c>
      <c r="E243" s="4">
        <f t="shared" si="17"/>
        <v>1651664.2854899992</v>
      </c>
      <c r="F243">
        <f t="shared" si="15"/>
        <v>0.96526778833008753</v>
      </c>
      <c r="G243" t="str">
        <f t="shared" si="16"/>
        <v>C</v>
      </c>
    </row>
    <row r="244" spans="1:7" x14ac:dyDescent="0.3">
      <c r="A244" t="s">
        <v>731</v>
      </c>
      <c r="B244" t="s">
        <v>1038</v>
      </c>
      <c r="C244" s="4">
        <v>5932.7856000000002</v>
      </c>
      <c r="D244" s="4">
        <f t="shared" si="14"/>
        <v>1711094.3775999995</v>
      </c>
      <c r="E244" s="4">
        <f t="shared" si="17"/>
        <v>1657597.0710899993</v>
      </c>
      <c r="F244">
        <f t="shared" si="15"/>
        <v>0.96873503460105093</v>
      </c>
      <c r="G244" t="str">
        <f t="shared" si="16"/>
        <v>C</v>
      </c>
    </row>
    <row r="245" spans="1:7" x14ac:dyDescent="0.3">
      <c r="A245" t="s">
        <v>731</v>
      </c>
      <c r="B245" t="s">
        <v>786</v>
      </c>
      <c r="C245" s="4">
        <v>5785.8</v>
      </c>
      <c r="D245" s="4">
        <f t="shared" si="14"/>
        <v>1711094.3775999995</v>
      </c>
      <c r="E245" s="4">
        <f t="shared" si="17"/>
        <v>1663382.8710899993</v>
      </c>
      <c r="F245">
        <f t="shared" si="15"/>
        <v>0.97211637935663087</v>
      </c>
      <c r="G245" t="str">
        <f t="shared" si="16"/>
        <v>C</v>
      </c>
    </row>
    <row r="246" spans="1:7" x14ac:dyDescent="0.3">
      <c r="A246" t="s">
        <v>731</v>
      </c>
      <c r="B246" t="s">
        <v>1143</v>
      </c>
      <c r="C246" s="4">
        <v>5323.9903199999999</v>
      </c>
      <c r="D246" s="4">
        <f t="shared" si="14"/>
        <v>1711094.3775999995</v>
      </c>
      <c r="E246" s="4">
        <f t="shared" si="17"/>
        <v>1668706.8614099994</v>
      </c>
      <c r="F246">
        <f t="shared" si="15"/>
        <v>0.97522783269882907</v>
      </c>
      <c r="G246" t="str">
        <f t="shared" si="16"/>
        <v>C</v>
      </c>
    </row>
    <row r="247" spans="1:7" x14ac:dyDescent="0.3">
      <c r="A247" t="s">
        <v>731</v>
      </c>
      <c r="B247" t="s">
        <v>1136</v>
      </c>
      <c r="C247" s="4">
        <v>5250.4239000000007</v>
      </c>
      <c r="D247" s="4">
        <f t="shared" si="14"/>
        <v>1711094.3775999995</v>
      </c>
      <c r="E247" s="4">
        <f t="shared" si="17"/>
        <v>1673957.2853099995</v>
      </c>
      <c r="F247">
        <f t="shared" si="15"/>
        <v>0.97829629225823944</v>
      </c>
      <c r="G247" t="str">
        <f t="shared" si="16"/>
        <v>C</v>
      </c>
    </row>
    <row r="248" spans="1:7" x14ac:dyDescent="0.3">
      <c r="A248" t="s">
        <v>731</v>
      </c>
      <c r="B248" t="s">
        <v>1141</v>
      </c>
      <c r="C248" s="4">
        <v>4679.7141600000004</v>
      </c>
      <c r="D248" s="4">
        <f t="shared" si="14"/>
        <v>1711094.3775999995</v>
      </c>
      <c r="E248" s="4">
        <f t="shared" si="17"/>
        <v>1678636.9994699995</v>
      </c>
      <c r="F248">
        <f t="shared" si="15"/>
        <v>0.98103121688966965</v>
      </c>
      <c r="G248" t="str">
        <f t="shared" si="16"/>
        <v>C</v>
      </c>
    </row>
    <row r="249" spans="1:7" x14ac:dyDescent="0.3">
      <c r="A249" t="s">
        <v>731</v>
      </c>
      <c r="B249" t="s">
        <v>1297</v>
      </c>
      <c r="C249" s="4">
        <v>4229.4321199999995</v>
      </c>
      <c r="D249" s="4">
        <f t="shared" si="14"/>
        <v>1711094.3775999995</v>
      </c>
      <c r="E249" s="4">
        <f t="shared" si="17"/>
        <v>1682866.4315899995</v>
      </c>
      <c r="F249">
        <f t="shared" si="15"/>
        <v>0.98350298710606898</v>
      </c>
      <c r="G249" t="str">
        <f t="shared" si="16"/>
        <v>C</v>
      </c>
    </row>
    <row r="250" spans="1:7" x14ac:dyDescent="0.3">
      <c r="A250" t="s">
        <v>731</v>
      </c>
      <c r="B250" t="s">
        <v>739</v>
      </c>
      <c r="C250" s="4">
        <v>4141.7599999999993</v>
      </c>
      <c r="D250" s="4">
        <f t="shared" si="14"/>
        <v>1711094.3775999995</v>
      </c>
      <c r="E250" s="4">
        <f t="shared" si="17"/>
        <v>1687008.1915899995</v>
      </c>
      <c r="F250">
        <f t="shared" si="15"/>
        <v>0.98592351986815385</v>
      </c>
      <c r="G250" t="str">
        <f t="shared" si="16"/>
        <v>C</v>
      </c>
    </row>
    <row r="251" spans="1:7" x14ac:dyDescent="0.3">
      <c r="A251" t="s">
        <v>731</v>
      </c>
      <c r="B251" t="s">
        <v>1104</v>
      </c>
      <c r="C251" s="4">
        <v>4133.25108</v>
      </c>
      <c r="D251" s="4">
        <f t="shared" si="14"/>
        <v>1711094.3775999995</v>
      </c>
      <c r="E251" s="4">
        <f t="shared" si="17"/>
        <v>1691141.4426699996</v>
      </c>
      <c r="F251">
        <f t="shared" si="15"/>
        <v>0.98833907983615366</v>
      </c>
      <c r="G251" t="str">
        <f t="shared" si="16"/>
        <v>C</v>
      </c>
    </row>
    <row r="252" spans="1:7" x14ac:dyDescent="0.3">
      <c r="A252" t="s">
        <v>731</v>
      </c>
      <c r="B252" t="s">
        <v>1241</v>
      </c>
      <c r="C252" s="4">
        <v>3921.1744000000008</v>
      </c>
      <c r="D252" s="4">
        <f t="shared" si="14"/>
        <v>1711094.3775999995</v>
      </c>
      <c r="E252" s="4">
        <f t="shared" si="17"/>
        <v>1695062.6170699995</v>
      </c>
      <c r="F252">
        <f t="shared" si="15"/>
        <v>0.99063069767519984</v>
      </c>
      <c r="G252" t="str">
        <f t="shared" si="16"/>
        <v>C</v>
      </c>
    </row>
    <row r="253" spans="1:7" x14ac:dyDescent="0.3">
      <c r="A253" t="s">
        <v>731</v>
      </c>
      <c r="B253" t="s">
        <v>1316</v>
      </c>
      <c r="C253" s="4">
        <v>3823.6151599999998</v>
      </c>
      <c r="D253" s="4">
        <f t="shared" si="14"/>
        <v>1711094.3775999995</v>
      </c>
      <c r="E253" s="4">
        <f t="shared" si="17"/>
        <v>1698886.2322299995</v>
      </c>
      <c r="F253">
        <f t="shared" si="15"/>
        <v>0.99286529981641147</v>
      </c>
      <c r="G253" t="str">
        <f t="shared" si="16"/>
        <v>C</v>
      </c>
    </row>
    <row r="254" spans="1:7" x14ac:dyDescent="0.3">
      <c r="A254" t="s">
        <v>731</v>
      </c>
      <c r="B254" t="s">
        <v>973</v>
      </c>
      <c r="C254" s="4">
        <v>3823.5108</v>
      </c>
      <c r="D254" s="4">
        <f t="shared" si="14"/>
        <v>1711094.3775999995</v>
      </c>
      <c r="E254" s="4">
        <f t="shared" si="17"/>
        <v>1702709.7430299995</v>
      </c>
      <c r="F254">
        <f t="shared" si="15"/>
        <v>0.99509984096741622</v>
      </c>
      <c r="G254" t="str">
        <f t="shared" si="16"/>
        <v>C</v>
      </c>
    </row>
    <row r="255" spans="1:7" x14ac:dyDescent="0.3">
      <c r="A255" t="s">
        <v>731</v>
      </c>
      <c r="B255" t="s">
        <v>880</v>
      </c>
      <c r="C255" s="4">
        <v>3562.9028999999996</v>
      </c>
      <c r="D255" s="4">
        <f t="shared" si="14"/>
        <v>1711094.3775999995</v>
      </c>
      <c r="E255" s="4">
        <f t="shared" si="17"/>
        <v>1706272.6459299996</v>
      </c>
      <c r="F255">
        <f t="shared" si="15"/>
        <v>0.997182077310801</v>
      </c>
      <c r="G255" t="str">
        <f t="shared" si="16"/>
        <v>C</v>
      </c>
    </row>
    <row r="256" spans="1:7" x14ac:dyDescent="0.3">
      <c r="A256" t="s">
        <v>731</v>
      </c>
      <c r="B256" t="s">
        <v>787</v>
      </c>
      <c r="C256" s="4">
        <v>2518.8755800000004</v>
      </c>
      <c r="D256" s="4">
        <f t="shared" si="14"/>
        <v>1711094.3775999995</v>
      </c>
      <c r="E256" s="4">
        <f t="shared" si="17"/>
        <v>1708791.5215099996</v>
      </c>
      <c r="F256">
        <f t="shared" si="15"/>
        <v>0.99865416185094946</v>
      </c>
      <c r="G256" t="str">
        <f t="shared" si="16"/>
        <v>C</v>
      </c>
    </row>
    <row r="257" spans="1:7" x14ac:dyDescent="0.3">
      <c r="A257" t="s">
        <v>731</v>
      </c>
      <c r="B257" t="s">
        <v>1209</v>
      </c>
      <c r="C257" s="4">
        <v>1009.2969000000002</v>
      </c>
      <c r="D257" s="4">
        <f t="shared" si="14"/>
        <v>1711094.3775999995</v>
      </c>
      <c r="E257" s="4">
        <f t="shared" si="17"/>
        <v>1709800.8184099996</v>
      </c>
      <c r="F257">
        <f t="shared" si="15"/>
        <v>0.99924401645699157</v>
      </c>
      <c r="G257" t="str">
        <f t="shared" si="16"/>
        <v>C</v>
      </c>
    </row>
    <row r="258" spans="1:7" x14ac:dyDescent="0.3">
      <c r="A258" t="s">
        <v>731</v>
      </c>
      <c r="B258" t="s">
        <v>853</v>
      </c>
      <c r="C258" s="4">
        <v>592.92849000000001</v>
      </c>
      <c r="D258" s="4">
        <f t="shared" ref="D258:D321" si="18">SUMIF($A:$A,A258,$C:$C)</f>
        <v>1711094.3775999995</v>
      </c>
      <c r="E258" s="4">
        <f t="shared" si="17"/>
        <v>1710393.7468999997</v>
      </c>
      <c r="F258">
        <f t="shared" ref="F258:F321" si="19">E258/D258</f>
        <v>0.99959053649572349</v>
      </c>
      <c r="G258" t="str">
        <f t="shared" ref="G258:G321" si="20">IF(F258&lt;=0.8,"A",IF(F258&lt;=0.95,"B","C"))</f>
        <v>C</v>
      </c>
    </row>
    <row r="259" spans="1:7" x14ac:dyDescent="0.3">
      <c r="A259" t="s">
        <v>731</v>
      </c>
      <c r="B259" t="s">
        <v>1122</v>
      </c>
      <c r="C259" s="4">
        <v>434.45248000000004</v>
      </c>
      <c r="D259" s="4">
        <f t="shared" si="18"/>
        <v>1711094.3775999995</v>
      </c>
      <c r="E259" s="4">
        <f t="shared" si="17"/>
        <v>1710828.1993799997</v>
      </c>
      <c r="F259">
        <f t="shared" si="19"/>
        <v>0.99984443977872617</v>
      </c>
      <c r="G259" t="str">
        <f t="shared" si="20"/>
        <v>C</v>
      </c>
    </row>
    <row r="260" spans="1:7" x14ac:dyDescent="0.3">
      <c r="A260" t="s">
        <v>731</v>
      </c>
      <c r="B260" t="s">
        <v>1363</v>
      </c>
      <c r="C260" s="4">
        <v>266.17821999999995</v>
      </c>
      <c r="D260" s="4">
        <f t="shared" si="18"/>
        <v>1711094.3775999995</v>
      </c>
      <c r="E260" s="4">
        <f t="shared" si="17"/>
        <v>1711094.3775999995</v>
      </c>
      <c r="F260">
        <f t="shared" si="19"/>
        <v>1</v>
      </c>
      <c r="G260" t="str">
        <f t="shared" si="20"/>
        <v>C</v>
      </c>
    </row>
    <row r="261" spans="1:7" x14ac:dyDescent="0.3">
      <c r="A261" t="s">
        <v>732</v>
      </c>
      <c r="B261" t="s">
        <v>909</v>
      </c>
      <c r="C261" s="4">
        <v>92715.25</v>
      </c>
      <c r="D261" s="4">
        <f t="shared" si="18"/>
        <v>1551152.7018699991</v>
      </c>
      <c r="E261" s="4">
        <f t="shared" si="17"/>
        <v>92715.25</v>
      </c>
      <c r="F261">
        <f t="shared" si="19"/>
        <v>5.9771839283280566E-2</v>
      </c>
      <c r="G261" t="str">
        <f t="shared" si="20"/>
        <v>A</v>
      </c>
    </row>
    <row r="262" spans="1:7" x14ac:dyDescent="0.3">
      <c r="A262" t="s">
        <v>732</v>
      </c>
      <c r="B262" t="s">
        <v>874</v>
      </c>
      <c r="C262" s="4">
        <v>87404.929919999995</v>
      </c>
      <c r="D262" s="4">
        <f t="shared" si="18"/>
        <v>1551152.7018699991</v>
      </c>
      <c r="E262" s="4">
        <f t="shared" si="17"/>
        <v>180120.17992</v>
      </c>
      <c r="F262">
        <f t="shared" si="19"/>
        <v>0.1161202115709532</v>
      </c>
      <c r="G262" t="str">
        <f t="shared" si="20"/>
        <v>A</v>
      </c>
    </row>
    <row r="263" spans="1:7" x14ac:dyDescent="0.3">
      <c r="A263" t="s">
        <v>732</v>
      </c>
      <c r="B263" t="s">
        <v>899</v>
      </c>
      <c r="C263" s="4">
        <v>85637.740319999997</v>
      </c>
      <c r="D263" s="4">
        <f t="shared" si="18"/>
        <v>1551152.7018699991</v>
      </c>
      <c r="E263" s="4">
        <f t="shared" si="17"/>
        <v>265757.92024000001</v>
      </c>
      <c r="F263">
        <f t="shared" si="19"/>
        <v>0.17132930879056224</v>
      </c>
      <c r="G263" t="str">
        <f t="shared" si="20"/>
        <v>A</v>
      </c>
    </row>
    <row r="264" spans="1:7" x14ac:dyDescent="0.3">
      <c r="A264" t="s">
        <v>732</v>
      </c>
      <c r="B264" t="s">
        <v>797</v>
      </c>
      <c r="C264" s="4">
        <v>72665.817450000002</v>
      </c>
      <c r="D264" s="4">
        <f t="shared" si="18"/>
        <v>1551152.7018699991</v>
      </c>
      <c r="E264" s="4">
        <f t="shared" si="17"/>
        <v>338423.73768999998</v>
      </c>
      <c r="F264">
        <f t="shared" si="19"/>
        <v>0.21817564272170736</v>
      </c>
      <c r="G264" t="str">
        <f t="shared" si="20"/>
        <v>A</v>
      </c>
    </row>
    <row r="265" spans="1:7" x14ac:dyDescent="0.3">
      <c r="A265" t="s">
        <v>732</v>
      </c>
      <c r="B265" t="s">
        <v>1129</v>
      </c>
      <c r="C265" s="4">
        <v>56176.777799999996</v>
      </c>
      <c r="D265" s="4">
        <f t="shared" si="18"/>
        <v>1551152.7018699991</v>
      </c>
      <c r="E265" s="4">
        <f t="shared" si="17"/>
        <v>394600.51548999996</v>
      </c>
      <c r="F265">
        <f t="shared" si="19"/>
        <v>0.25439179199719508</v>
      </c>
      <c r="G265" t="str">
        <f t="shared" si="20"/>
        <v>A</v>
      </c>
    </row>
    <row r="266" spans="1:7" x14ac:dyDescent="0.3">
      <c r="A266" t="s">
        <v>732</v>
      </c>
      <c r="B266" t="s">
        <v>1181</v>
      </c>
      <c r="C266" s="4">
        <v>45547.183360000003</v>
      </c>
      <c r="D266" s="4">
        <f t="shared" si="18"/>
        <v>1551152.7018699991</v>
      </c>
      <c r="E266" s="4">
        <f t="shared" si="17"/>
        <v>440147.69884999999</v>
      </c>
      <c r="F266">
        <f t="shared" si="19"/>
        <v>0.28375523461963348</v>
      </c>
      <c r="G266" t="str">
        <f t="shared" si="20"/>
        <v>A</v>
      </c>
    </row>
    <row r="267" spans="1:7" x14ac:dyDescent="0.3">
      <c r="A267" t="s">
        <v>732</v>
      </c>
      <c r="B267" t="s">
        <v>774</v>
      </c>
      <c r="C267" s="4">
        <v>41106.800970000004</v>
      </c>
      <c r="D267" s="4">
        <f t="shared" si="18"/>
        <v>1551152.7018699991</v>
      </c>
      <c r="E267" s="4">
        <f t="shared" si="17"/>
        <v>481254.49981999997</v>
      </c>
      <c r="F267">
        <f t="shared" si="19"/>
        <v>0.31025604328949785</v>
      </c>
      <c r="G267" t="str">
        <f t="shared" si="20"/>
        <v>A</v>
      </c>
    </row>
    <row r="268" spans="1:7" x14ac:dyDescent="0.3">
      <c r="A268" t="s">
        <v>732</v>
      </c>
      <c r="B268" t="s">
        <v>1000</v>
      </c>
      <c r="C268" s="4">
        <v>38818.760160000005</v>
      </c>
      <c r="D268" s="4">
        <f t="shared" si="18"/>
        <v>1551152.7018699991</v>
      </c>
      <c r="E268" s="4">
        <f t="shared" si="17"/>
        <v>520073.25997999997</v>
      </c>
      <c r="F268">
        <f t="shared" si="19"/>
        <v>0.33528179356746973</v>
      </c>
      <c r="G268" t="str">
        <f t="shared" si="20"/>
        <v>A</v>
      </c>
    </row>
    <row r="269" spans="1:7" x14ac:dyDescent="0.3">
      <c r="A269" t="s">
        <v>732</v>
      </c>
      <c r="B269" t="s">
        <v>1006</v>
      </c>
      <c r="C269" s="4">
        <v>34632.106319999999</v>
      </c>
      <c r="D269" s="4">
        <f t="shared" si="18"/>
        <v>1551152.7018699991</v>
      </c>
      <c r="E269" s="4">
        <f t="shared" si="17"/>
        <v>554705.36629999999</v>
      </c>
      <c r="F269">
        <f t="shared" si="19"/>
        <v>0.35760848408494694</v>
      </c>
      <c r="G269" t="str">
        <f t="shared" si="20"/>
        <v>A</v>
      </c>
    </row>
    <row r="270" spans="1:7" x14ac:dyDescent="0.3">
      <c r="A270" t="s">
        <v>732</v>
      </c>
      <c r="B270" t="s">
        <v>1106</v>
      </c>
      <c r="C270" s="4">
        <v>32280.32474</v>
      </c>
      <c r="D270" s="4">
        <f t="shared" si="18"/>
        <v>1551152.7018699991</v>
      </c>
      <c r="E270" s="4">
        <f t="shared" si="17"/>
        <v>586985.69103999995</v>
      </c>
      <c r="F270">
        <f t="shared" si="19"/>
        <v>0.37841902369273944</v>
      </c>
      <c r="G270" t="str">
        <f t="shared" si="20"/>
        <v>A</v>
      </c>
    </row>
    <row r="271" spans="1:7" x14ac:dyDescent="0.3">
      <c r="A271" t="s">
        <v>732</v>
      </c>
      <c r="B271" t="s">
        <v>789</v>
      </c>
      <c r="C271" s="4">
        <v>31680.795320000001</v>
      </c>
      <c r="D271" s="4">
        <f t="shared" si="18"/>
        <v>1551152.7018699991</v>
      </c>
      <c r="E271" s="4">
        <f t="shared" si="17"/>
        <v>618666.48635999998</v>
      </c>
      <c r="F271">
        <f t="shared" si="19"/>
        <v>0.39884305756239463</v>
      </c>
      <c r="G271" t="str">
        <f t="shared" si="20"/>
        <v>A</v>
      </c>
    </row>
    <row r="272" spans="1:7" x14ac:dyDescent="0.3">
      <c r="A272" t="s">
        <v>732</v>
      </c>
      <c r="B272" t="s">
        <v>929</v>
      </c>
      <c r="C272" s="4">
        <v>31191.64716</v>
      </c>
      <c r="D272" s="4">
        <f t="shared" si="18"/>
        <v>1551152.7018699991</v>
      </c>
      <c r="E272" s="4">
        <f t="shared" si="17"/>
        <v>649858.13352000003</v>
      </c>
      <c r="F272">
        <f t="shared" si="19"/>
        <v>0.41895174648927902</v>
      </c>
      <c r="G272" t="str">
        <f t="shared" si="20"/>
        <v>A</v>
      </c>
    </row>
    <row r="273" spans="1:7" x14ac:dyDescent="0.3">
      <c r="A273" t="s">
        <v>732</v>
      </c>
      <c r="B273" t="s">
        <v>1044</v>
      </c>
      <c r="C273" s="4">
        <v>30799.273800000003</v>
      </c>
      <c r="D273" s="4">
        <f t="shared" si="18"/>
        <v>1551152.7018699991</v>
      </c>
      <c r="E273" s="4">
        <f t="shared" si="17"/>
        <v>680657.40732</v>
      </c>
      <c r="F273">
        <f t="shared" si="19"/>
        <v>0.43880747943089704</v>
      </c>
      <c r="G273" t="str">
        <f t="shared" si="20"/>
        <v>A</v>
      </c>
    </row>
    <row r="274" spans="1:7" x14ac:dyDescent="0.3">
      <c r="A274" t="s">
        <v>732</v>
      </c>
      <c r="B274" t="s">
        <v>1274</v>
      </c>
      <c r="C274" s="4">
        <v>30652.403519999996</v>
      </c>
      <c r="D274" s="4">
        <f t="shared" si="18"/>
        <v>1551152.7018699991</v>
      </c>
      <c r="E274" s="4">
        <f t="shared" si="17"/>
        <v>711309.81084000005</v>
      </c>
      <c r="F274">
        <f t="shared" si="19"/>
        <v>0.45856852776807683</v>
      </c>
      <c r="G274" t="str">
        <f t="shared" si="20"/>
        <v>A</v>
      </c>
    </row>
    <row r="275" spans="1:7" x14ac:dyDescent="0.3">
      <c r="A275" t="s">
        <v>732</v>
      </c>
      <c r="B275" t="s">
        <v>1007</v>
      </c>
      <c r="C275" s="4">
        <v>29536.716</v>
      </c>
      <c r="D275" s="4">
        <f t="shared" si="18"/>
        <v>1551152.7018699991</v>
      </c>
      <c r="E275" s="4">
        <f t="shared" ref="E275:E338" si="21">IF(A275=A274,E274+C275,C275)</f>
        <v>740846.52684000006</v>
      </c>
      <c r="F275">
        <f t="shared" si="19"/>
        <v>0.47761031260614717</v>
      </c>
      <c r="G275" t="str">
        <f t="shared" si="20"/>
        <v>A</v>
      </c>
    </row>
    <row r="276" spans="1:7" x14ac:dyDescent="0.3">
      <c r="A276" t="s">
        <v>732</v>
      </c>
      <c r="B276" t="s">
        <v>922</v>
      </c>
      <c r="C276" s="4">
        <v>28072.190160000002</v>
      </c>
      <c r="D276" s="4">
        <f t="shared" si="18"/>
        <v>1551152.7018699991</v>
      </c>
      <c r="E276" s="4">
        <f t="shared" si="21"/>
        <v>768918.71700000006</v>
      </c>
      <c r="F276">
        <f t="shared" si="19"/>
        <v>0.49570794421015202</v>
      </c>
      <c r="G276" t="str">
        <f t="shared" si="20"/>
        <v>A</v>
      </c>
    </row>
    <row r="277" spans="1:7" x14ac:dyDescent="0.3">
      <c r="A277" t="s">
        <v>732</v>
      </c>
      <c r="B277" t="s">
        <v>869</v>
      </c>
      <c r="C277" s="4">
        <v>27370.540859999997</v>
      </c>
      <c r="D277" s="4">
        <f t="shared" si="18"/>
        <v>1551152.7018699991</v>
      </c>
      <c r="E277" s="4">
        <f t="shared" si="21"/>
        <v>796289.25786000001</v>
      </c>
      <c r="F277">
        <f t="shared" si="19"/>
        <v>0.51335323524242971</v>
      </c>
      <c r="G277" t="str">
        <f t="shared" si="20"/>
        <v>A</v>
      </c>
    </row>
    <row r="278" spans="1:7" x14ac:dyDescent="0.3">
      <c r="A278" t="s">
        <v>732</v>
      </c>
      <c r="B278" t="s">
        <v>918</v>
      </c>
      <c r="C278" s="4">
        <v>26408.63841</v>
      </c>
      <c r="D278" s="4">
        <f t="shared" si="18"/>
        <v>1551152.7018699991</v>
      </c>
      <c r="E278" s="4">
        <f t="shared" si="21"/>
        <v>822697.89627000003</v>
      </c>
      <c r="F278">
        <f t="shared" si="19"/>
        <v>0.53037840521967494</v>
      </c>
      <c r="G278" t="str">
        <f t="shared" si="20"/>
        <v>A</v>
      </c>
    </row>
    <row r="279" spans="1:7" x14ac:dyDescent="0.3">
      <c r="A279" t="s">
        <v>732</v>
      </c>
      <c r="B279" t="s">
        <v>939</v>
      </c>
      <c r="C279" s="4">
        <v>26131.70736</v>
      </c>
      <c r="D279" s="4">
        <f t="shared" si="18"/>
        <v>1551152.7018699991</v>
      </c>
      <c r="E279" s="4">
        <f t="shared" si="21"/>
        <v>848829.60363000003</v>
      </c>
      <c r="F279">
        <f t="shared" si="19"/>
        <v>0.54722504277411865</v>
      </c>
      <c r="G279" t="str">
        <f t="shared" si="20"/>
        <v>A</v>
      </c>
    </row>
    <row r="280" spans="1:7" x14ac:dyDescent="0.3">
      <c r="A280" t="s">
        <v>732</v>
      </c>
      <c r="B280" t="s">
        <v>1073</v>
      </c>
      <c r="C280" s="4">
        <v>26106.613960000002</v>
      </c>
      <c r="D280" s="4">
        <f t="shared" si="18"/>
        <v>1551152.7018699991</v>
      </c>
      <c r="E280" s="4">
        <f t="shared" si="21"/>
        <v>874936.21759000001</v>
      </c>
      <c r="F280">
        <f t="shared" si="19"/>
        <v>0.56405550306892205</v>
      </c>
      <c r="G280" t="str">
        <f t="shared" si="20"/>
        <v>A</v>
      </c>
    </row>
    <row r="281" spans="1:7" x14ac:dyDescent="0.3">
      <c r="A281" t="s">
        <v>732</v>
      </c>
      <c r="B281" t="s">
        <v>938</v>
      </c>
      <c r="C281" s="4">
        <v>25553.782800000001</v>
      </c>
      <c r="D281" s="4">
        <f t="shared" si="18"/>
        <v>1551152.7018699991</v>
      </c>
      <c r="E281" s="4">
        <f t="shared" si="21"/>
        <v>900490.00039000006</v>
      </c>
      <c r="F281">
        <f t="shared" si="19"/>
        <v>0.58052956314643323</v>
      </c>
      <c r="G281" t="str">
        <f t="shared" si="20"/>
        <v>A</v>
      </c>
    </row>
    <row r="282" spans="1:7" x14ac:dyDescent="0.3">
      <c r="A282" t="s">
        <v>732</v>
      </c>
      <c r="B282" t="s">
        <v>1300</v>
      </c>
      <c r="C282" s="4">
        <v>25079.480689999997</v>
      </c>
      <c r="D282" s="4">
        <f t="shared" si="18"/>
        <v>1551152.7018699991</v>
      </c>
      <c r="E282" s="4">
        <f t="shared" si="21"/>
        <v>925569.48108000006</v>
      </c>
      <c r="F282">
        <f t="shared" si="19"/>
        <v>0.59669784926021507</v>
      </c>
      <c r="G282" t="str">
        <f t="shared" si="20"/>
        <v>A</v>
      </c>
    </row>
    <row r="283" spans="1:7" x14ac:dyDescent="0.3">
      <c r="A283" t="s">
        <v>732</v>
      </c>
      <c r="B283" t="s">
        <v>849</v>
      </c>
      <c r="C283" s="4">
        <v>24523.006720000001</v>
      </c>
      <c r="D283" s="4">
        <f t="shared" si="18"/>
        <v>1551152.7018699991</v>
      </c>
      <c r="E283" s="4">
        <f t="shared" si="21"/>
        <v>950092.4878</v>
      </c>
      <c r="F283">
        <f t="shared" si="19"/>
        <v>0.61250738670319937</v>
      </c>
      <c r="G283" t="str">
        <f t="shared" si="20"/>
        <v>A</v>
      </c>
    </row>
    <row r="284" spans="1:7" x14ac:dyDescent="0.3">
      <c r="A284" t="s">
        <v>732</v>
      </c>
      <c r="B284" t="s">
        <v>1187</v>
      </c>
      <c r="C284" s="4">
        <v>23132.398349999996</v>
      </c>
      <c r="D284" s="4">
        <f t="shared" si="18"/>
        <v>1551152.7018699991</v>
      </c>
      <c r="E284" s="4">
        <f t="shared" si="21"/>
        <v>973224.88615000003</v>
      </c>
      <c r="F284">
        <f t="shared" si="19"/>
        <v>0.62742042416373611</v>
      </c>
      <c r="G284" t="str">
        <f t="shared" si="20"/>
        <v>A</v>
      </c>
    </row>
    <row r="285" spans="1:7" x14ac:dyDescent="0.3">
      <c r="A285" t="s">
        <v>732</v>
      </c>
      <c r="B285" t="s">
        <v>855</v>
      </c>
      <c r="C285" s="4">
        <v>22983.34563</v>
      </c>
      <c r="D285" s="4">
        <f t="shared" si="18"/>
        <v>1551152.7018699991</v>
      </c>
      <c r="E285" s="4">
        <f t="shared" si="21"/>
        <v>996208.23178000003</v>
      </c>
      <c r="F285">
        <f t="shared" si="19"/>
        <v>0.64223737004036852</v>
      </c>
      <c r="G285" t="str">
        <f t="shared" si="20"/>
        <v>A</v>
      </c>
    </row>
    <row r="286" spans="1:7" x14ac:dyDescent="0.3">
      <c r="A286" t="s">
        <v>732</v>
      </c>
      <c r="B286" t="s">
        <v>894</v>
      </c>
      <c r="C286" s="4">
        <v>22044.871499999997</v>
      </c>
      <c r="D286" s="4">
        <f t="shared" si="18"/>
        <v>1551152.7018699991</v>
      </c>
      <c r="E286" s="4">
        <f t="shared" si="21"/>
        <v>1018253.10328</v>
      </c>
      <c r="F286">
        <f t="shared" si="19"/>
        <v>0.65644929867474711</v>
      </c>
      <c r="G286" t="str">
        <f t="shared" si="20"/>
        <v>A</v>
      </c>
    </row>
    <row r="287" spans="1:7" x14ac:dyDescent="0.3">
      <c r="A287" t="s">
        <v>732</v>
      </c>
      <c r="B287" t="s">
        <v>1233</v>
      </c>
      <c r="C287" s="4">
        <v>20332.775539999999</v>
      </c>
      <c r="D287" s="4">
        <f t="shared" si="18"/>
        <v>1551152.7018699991</v>
      </c>
      <c r="E287" s="4">
        <f t="shared" si="21"/>
        <v>1038585.87882</v>
      </c>
      <c r="F287">
        <f t="shared" si="19"/>
        <v>0.66955747011105238</v>
      </c>
      <c r="G287" t="str">
        <f t="shared" si="20"/>
        <v>A</v>
      </c>
    </row>
    <row r="288" spans="1:7" x14ac:dyDescent="0.3">
      <c r="A288" t="s">
        <v>732</v>
      </c>
      <c r="B288" t="s">
        <v>986</v>
      </c>
      <c r="C288" s="4">
        <v>17689.623</v>
      </c>
      <c r="D288" s="4">
        <f t="shared" si="18"/>
        <v>1551152.7018699991</v>
      </c>
      <c r="E288" s="4">
        <f t="shared" si="21"/>
        <v>1056275.5018199999</v>
      </c>
      <c r="F288">
        <f t="shared" si="19"/>
        <v>0.68096164906691792</v>
      </c>
      <c r="G288" t="str">
        <f t="shared" si="20"/>
        <v>A</v>
      </c>
    </row>
    <row r="289" spans="1:7" x14ac:dyDescent="0.3">
      <c r="A289" t="s">
        <v>732</v>
      </c>
      <c r="B289" t="s">
        <v>1014</v>
      </c>
      <c r="C289" s="4">
        <v>17441.021520000002</v>
      </c>
      <c r="D289" s="4">
        <f t="shared" si="18"/>
        <v>1551152.7018699991</v>
      </c>
      <c r="E289" s="4">
        <f t="shared" si="21"/>
        <v>1073716.5233399998</v>
      </c>
      <c r="F289">
        <f t="shared" si="19"/>
        <v>0.6922055591596985</v>
      </c>
      <c r="G289" t="str">
        <f t="shared" si="20"/>
        <v>A</v>
      </c>
    </row>
    <row r="290" spans="1:7" x14ac:dyDescent="0.3">
      <c r="A290" t="s">
        <v>732</v>
      </c>
      <c r="B290" t="s">
        <v>1232</v>
      </c>
      <c r="C290" s="4">
        <v>16574.544740000001</v>
      </c>
      <c r="D290" s="4">
        <f t="shared" si="18"/>
        <v>1551152.7018699991</v>
      </c>
      <c r="E290" s="4">
        <f t="shared" si="21"/>
        <v>1090291.0680799999</v>
      </c>
      <c r="F290">
        <f t="shared" si="19"/>
        <v>0.70289086739532136</v>
      </c>
      <c r="G290" t="str">
        <f t="shared" si="20"/>
        <v>A</v>
      </c>
    </row>
    <row r="291" spans="1:7" x14ac:dyDescent="0.3">
      <c r="A291" t="s">
        <v>732</v>
      </c>
      <c r="B291" t="s">
        <v>1085</v>
      </c>
      <c r="C291" s="4">
        <v>16487.22781</v>
      </c>
      <c r="D291" s="4">
        <f t="shared" si="18"/>
        <v>1551152.7018699991</v>
      </c>
      <c r="E291" s="4">
        <f t="shared" si="21"/>
        <v>1106778.29589</v>
      </c>
      <c r="F291">
        <f t="shared" si="19"/>
        <v>0.71351988399060806</v>
      </c>
      <c r="G291" t="str">
        <f t="shared" si="20"/>
        <v>A</v>
      </c>
    </row>
    <row r="292" spans="1:7" x14ac:dyDescent="0.3">
      <c r="A292" t="s">
        <v>732</v>
      </c>
      <c r="B292" t="s">
        <v>1123</v>
      </c>
      <c r="C292" s="4">
        <v>16142.527829999999</v>
      </c>
      <c r="D292" s="4">
        <f t="shared" si="18"/>
        <v>1551152.7018699991</v>
      </c>
      <c r="E292" s="4">
        <f t="shared" si="21"/>
        <v>1122920.82372</v>
      </c>
      <c r="F292">
        <f t="shared" si="19"/>
        <v>0.72392667876364314</v>
      </c>
      <c r="G292" t="str">
        <f t="shared" si="20"/>
        <v>A</v>
      </c>
    </row>
    <row r="293" spans="1:7" x14ac:dyDescent="0.3">
      <c r="A293" t="s">
        <v>732</v>
      </c>
      <c r="B293" t="s">
        <v>1256</v>
      </c>
      <c r="C293" s="4">
        <v>16121.273400000002</v>
      </c>
      <c r="D293" s="4">
        <f t="shared" si="18"/>
        <v>1551152.7018699991</v>
      </c>
      <c r="E293" s="4">
        <f t="shared" si="21"/>
        <v>1139042.09712</v>
      </c>
      <c r="F293">
        <f t="shared" si="19"/>
        <v>0.73431977119133585</v>
      </c>
      <c r="G293" t="str">
        <f t="shared" si="20"/>
        <v>A</v>
      </c>
    </row>
    <row r="294" spans="1:7" x14ac:dyDescent="0.3">
      <c r="A294" t="s">
        <v>732</v>
      </c>
      <c r="B294" t="s">
        <v>1117</v>
      </c>
      <c r="C294" s="4">
        <v>15257.51748</v>
      </c>
      <c r="D294" s="4">
        <f t="shared" si="18"/>
        <v>1551152.7018699991</v>
      </c>
      <c r="E294" s="4">
        <f t="shared" si="21"/>
        <v>1154299.6146</v>
      </c>
      <c r="F294">
        <f t="shared" si="19"/>
        <v>0.74415601585094038</v>
      </c>
      <c r="G294" t="str">
        <f t="shared" si="20"/>
        <v>A</v>
      </c>
    </row>
    <row r="295" spans="1:7" x14ac:dyDescent="0.3">
      <c r="A295" t="s">
        <v>732</v>
      </c>
      <c r="B295" t="s">
        <v>742</v>
      </c>
      <c r="C295" s="4">
        <v>14714.12934</v>
      </c>
      <c r="D295" s="4">
        <f t="shared" si="18"/>
        <v>1551152.7018699991</v>
      </c>
      <c r="E295" s="4">
        <f t="shared" si="21"/>
        <v>1169013.74394</v>
      </c>
      <c r="F295">
        <f t="shared" si="19"/>
        <v>0.75364194803689555</v>
      </c>
      <c r="G295" t="str">
        <f t="shared" si="20"/>
        <v>A</v>
      </c>
    </row>
    <row r="296" spans="1:7" x14ac:dyDescent="0.3">
      <c r="A296" t="s">
        <v>732</v>
      </c>
      <c r="B296" t="s">
        <v>1306</v>
      </c>
      <c r="C296" s="4">
        <v>14466.95104</v>
      </c>
      <c r="D296" s="4">
        <f t="shared" si="18"/>
        <v>1551152.7018699991</v>
      </c>
      <c r="E296" s="4">
        <f t="shared" si="21"/>
        <v>1183480.6949799999</v>
      </c>
      <c r="F296">
        <f t="shared" si="19"/>
        <v>0.76296852885808697</v>
      </c>
      <c r="G296" t="str">
        <f t="shared" si="20"/>
        <v>A</v>
      </c>
    </row>
    <row r="297" spans="1:7" x14ac:dyDescent="0.3">
      <c r="A297" t="s">
        <v>732</v>
      </c>
      <c r="B297" t="s">
        <v>801</v>
      </c>
      <c r="C297" s="4">
        <v>14287.896349999999</v>
      </c>
      <c r="D297" s="4">
        <f t="shared" si="18"/>
        <v>1551152.7018699991</v>
      </c>
      <c r="E297" s="4">
        <f t="shared" si="21"/>
        <v>1197768.59133</v>
      </c>
      <c r="F297">
        <f t="shared" si="19"/>
        <v>0.77217967636972473</v>
      </c>
      <c r="G297" t="str">
        <f t="shared" si="20"/>
        <v>A</v>
      </c>
    </row>
    <row r="298" spans="1:7" x14ac:dyDescent="0.3">
      <c r="A298" t="s">
        <v>732</v>
      </c>
      <c r="B298" t="s">
        <v>1161</v>
      </c>
      <c r="C298" s="4">
        <v>13450.74</v>
      </c>
      <c r="D298" s="4">
        <f t="shared" si="18"/>
        <v>1551152.7018699991</v>
      </c>
      <c r="E298" s="4">
        <f t="shared" si="21"/>
        <v>1211219.33133</v>
      </c>
      <c r="F298">
        <f t="shared" si="19"/>
        <v>0.78085112437338311</v>
      </c>
      <c r="G298" t="str">
        <f t="shared" si="20"/>
        <v>A</v>
      </c>
    </row>
    <row r="299" spans="1:7" x14ac:dyDescent="0.3">
      <c r="A299" t="s">
        <v>732</v>
      </c>
      <c r="B299" t="s">
        <v>1138</v>
      </c>
      <c r="C299" s="4">
        <v>13437.300239999999</v>
      </c>
      <c r="D299" s="4">
        <f t="shared" si="18"/>
        <v>1551152.7018699991</v>
      </c>
      <c r="E299" s="4">
        <f t="shared" si="21"/>
        <v>1224656.63157</v>
      </c>
      <c r="F299">
        <f t="shared" si="19"/>
        <v>0.78951390800764465</v>
      </c>
      <c r="G299" t="str">
        <f t="shared" si="20"/>
        <v>A</v>
      </c>
    </row>
    <row r="300" spans="1:7" x14ac:dyDescent="0.3">
      <c r="A300" t="s">
        <v>732</v>
      </c>
      <c r="B300" t="s">
        <v>1132</v>
      </c>
      <c r="C300" s="4">
        <v>12972.00222</v>
      </c>
      <c r="D300" s="4">
        <f t="shared" si="18"/>
        <v>1551152.7018699991</v>
      </c>
      <c r="E300" s="4">
        <f t="shared" si="21"/>
        <v>1237628.6337899999</v>
      </c>
      <c r="F300">
        <f t="shared" si="19"/>
        <v>0.79787672245161367</v>
      </c>
      <c r="G300" t="str">
        <f t="shared" si="20"/>
        <v>A</v>
      </c>
    </row>
    <row r="301" spans="1:7" x14ac:dyDescent="0.3">
      <c r="A301" t="s">
        <v>732</v>
      </c>
      <c r="B301" t="s">
        <v>1166</v>
      </c>
      <c r="C301" s="4">
        <v>12967.958640000001</v>
      </c>
      <c r="D301" s="4">
        <f t="shared" si="18"/>
        <v>1551152.7018699991</v>
      </c>
      <c r="E301" s="4">
        <f t="shared" si="21"/>
        <v>1250596.59243</v>
      </c>
      <c r="F301">
        <f t="shared" si="19"/>
        <v>0.80623693007293074</v>
      </c>
      <c r="G301" t="str">
        <f t="shared" si="20"/>
        <v>B</v>
      </c>
    </row>
    <row r="302" spans="1:7" x14ac:dyDescent="0.3">
      <c r="A302" t="s">
        <v>732</v>
      </c>
      <c r="B302" t="s">
        <v>901</v>
      </c>
      <c r="C302" s="4">
        <v>12413.98458</v>
      </c>
      <c r="D302" s="4">
        <f t="shared" si="18"/>
        <v>1551152.7018699991</v>
      </c>
      <c r="E302" s="4">
        <f t="shared" si="21"/>
        <v>1263010.5770099999</v>
      </c>
      <c r="F302">
        <f t="shared" si="19"/>
        <v>0.81424000067006419</v>
      </c>
      <c r="G302" t="str">
        <f t="shared" si="20"/>
        <v>B</v>
      </c>
    </row>
    <row r="303" spans="1:7" x14ac:dyDescent="0.3">
      <c r="A303" t="s">
        <v>732</v>
      </c>
      <c r="B303" t="s">
        <v>897</v>
      </c>
      <c r="C303" s="4">
        <v>12194.714</v>
      </c>
      <c r="D303" s="4">
        <f t="shared" si="18"/>
        <v>1551152.7018699991</v>
      </c>
      <c r="E303" s="4">
        <f t="shared" si="21"/>
        <v>1275205.2910099998</v>
      </c>
      <c r="F303">
        <f t="shared" si="19"/>
        <v>0.82210171150311018</v>
      </c>
      <c r="G303" t="str">
        <f t="shared" si="20"/>
        <v>B</v>
      </c>
    </row>
    <row r="304" spans="1:7" x14ac:dyDescent="0.3">
      <c r="A304" t="s">
        <v>732</v>
      </c>
      <c r="B304" t="s">
        <v>822</v>
      </c>
      <c r="C304" s="4">
        <v>11842.8464</v>
      </c>
      <c r="D304" s="4">
        <f t="shared" si="18"/>
        <v>1551152.7018699991</v>
      </c>
      <c r="E304" s="4">
        <f t="shared" si="21"/>
        <v>1287048.1374099997</v>
      </c>
      <c r="F304">
        <f t="shared" si="19"/>
        <v>0.82973657967935277</v>
      </c>
      <c r="G304" t="str">
        <f t="shared" si="20"/>
        <v>B</v>
      </c>
    </row>
    <row r="305" spans="1:7" x14ac:dyDescent="0.3">
      <c r="A305" t="s">
        <v>732</v>
      </c>
      <c r="B305" t="s">
        <v>983</v>
      </c>
      <c r="C305" s="4">
        <v>11813.604160000001</v>
      </c>
      <c r="D305" s="4">
        <f t="shared" si="18"/>
        <v>1551152.7018699991</v>
      </c>
      <c r="E305" s="4">
        <f t="shared" si="21"/>
        <v>1298861.7415699998</v>
      </c>
      <c r="F305">
        <f t="shared" si="19"/>
        <v>0.83735259591409106</v>
      </c>
      <c r="G305" t="str">
        <f t="shared" si="20"/>
        <v>B</v>
      </c>
    </row>
    <row r="306" spans="1:7" x14ac:dyDescent="0.3">
      <c r="A306" t="s">
        <v>732</v>
      </c>
      <c r="B306" t="s">
        <v>1281</v>
      </c>
      <c r="C306" s="4">
        <v>10937.519999999999</v>
      </c>
      <c r="D306" s="4">
        <f t="shared" si="18"/>
        <v>1551152.7018699991</v>
      </c>
      <c r="E306" s="4">
        <f t="shared" si="21"/>
        <v>1309799.2615699999</v>
      </c>
      <c r="F306">
        <f t="shared" si="19"/>
        <v>0.84440381658811892</v>
      </c>
      <c r="G306" t="str">
        <f t="shared" si="20"/>
        <v>B</v>
      </c>
    </row>
    <row r="307" spans="1:7" x14ac:dyDescent="0.3">
      <c r="A307" t="s">
        <v>732</v>
      </c>
      <c r="B307" t="s">
        <v>1290</v>
      </c>
      <c r="C307" s="4">
        <v>10519.776450000001</v>
      </c>
      <c r="D307" s="4">
        <f t="shared" si="18"/>
        <v>1551152.7018699991</v>
      </c>
      <c r="E307" s="4">
        <f t="shared" si="21"/>
        <v>1320319.0380199999</v>
      </c>
      <c r="F307">
        <f t="shared" si="19"/>
        <v>0.85118572557574979</v>
      </c>
      <c r="G307" t="str">
        <f t="shared" si="20"/>
        <v>B</v>
      </c>
    </row>
    <row r="308" spans="1:7" x14ac:dyDescent="0.3">
      <c r="A308" t="s">
        <v>732</v>
      </c>
      <c r="B308" t="s">
        <v>1152</v>
      </c>
      <c r="C308" s="4">
        <v>9509.2865999999995</v>
      </c>
      <c r="D308" s="4">
        <f t="shared" si="18"/>
        <v>1551152.7018699991</v>
      </c>
      <c r="E308" s="4">
        <f t="shared" si="21"/>
        <v>1329828.3246199999</v>
      </c>
      <c r="F308">
        <f t="shared" si="19"/>
        <v>0.85731619009322513</v>
      </c>
      <c r="G308" t="str">
        <f t="shared" si="20"/>
        <v>B</v>
      </c>
    </row>
    <row r="309" spans="1:7" x14ac:dyDescent="0.3">
      <c r="A309" t="s">
        <v>732</v>
      </c>
      <c r="B309" t="s">
        <v>1344</v>
      </c>
      <c r="C309" s="4">
        <v>9256.14</v>
      </c>
      <c r="D309" s="4">
        <f t="shared" si="18"/>
        <v>1551152.7018699991</v>
      </c>
      <c r="E309" s="4">
        <f t="shared" si="21"/>
        <v>1339084.4646199998</v>
      </c>
      <c r="F309">
        <f t="shared" si="19"/>
        <v>0.8632834555912261</v>
      </c>
      <c r="G309" t="str">
        <f t="shared" si="20"/>
        <v>B</v>
      </c>
    </row>
    <row r="310" spans="1:7" x14ac:dyDescent="0.3">
      <c r="A310" t="s">
        <v>732</v>
      </c>
      <c r="B310" t="s">
        <v>1243</v>
      </c>
      <c r="C310" s="4">
        <v>9232.2830599999998</v>
      </c>
      <c r="D310" s="4">
        <f t="shared" si="18"/>
        <v>1551152.7018699991</v>
      </c>
      <c r="E310" s="4">
        <f t="shared" si="21"/>
        <v>1348316.7476799998</v>
      </c>
      <c r="F310">
        <f t="shared" si="19"/>
        <v>0.86923534095291233</v>
      </c>
      <c r="G310" t="str">
        <f t="shared" si="20"/>
        <v>B</v>
      </c>
    </row>
    <row r="311" spans="1:7" x14ac:dyDescent="0.3">
      <c r="A311" t="s">
        <v>732</v>
      </c>
      <c r="B311" t="s">
        <v>925</v>
      </c>
      <c r="C311" s="4">
        <v>8763.2849999999999</v>
      </c>
      <c r="D311" s="4">
        <f t="shared" si="18"/>
        <v>1551152.7018699991</v>
      </c>
      <c r="E311" s="4">
        <f t="shared" si="21"/>
        <v>1357080.0326799997</v>
      </c>
      <c r="F311">
        <f t="shared" si="19"/>
        <v>0.8748848717756581</v>
      </c>
      <c r="G311" t="str">
        <f t="shared" si="20"/>
        <v>B</v>
      </c>
    </row>
    <row r="312" spans="1:7" x14ac:dyDescent="0.3">
      <c r="A312" t="s">
        <v>732</v>
      </c>
      <c r="B312" t="s">
        <v>917</v>
      </c>
      <c r="C312" s="4">
        <v>8698.8768300000011</v>
      </c>
      <c r="D312" s="4">
        <f t="shared" si="18"/>
        <v>1551152.7018699991</v>
      </c>
      <c r="E312" s="4">
        <f t="shared" si="21"/>
        <v>1365778.9095099997</v>
      </c>
      <c r="F312">
        <f t="shared" si="19"/>
        <v>0.88049287981994218</v>
      </c>
      <c r="G312" t="str">
        <f t="shared" si="20"/>
        <v>B</v>
      </c>
    </row>
    <row r="313" spans="1:7" x14ac:dyDescent="0.3">
      <c r="A313" t="s">
        <v>732</v>
      </c>
      <c r="B313" t="s">
        <v>802</v>
      </c>
      <c r="C313" s="4">
        <v>8671.7354400000004</v>
      </c>
      <c r="D313" s="4">
        <f t="shared" si="18"/>
        <v>1551152.7018699991</v>
      </c>
      <c r="E313" s="4">
        <f t="shared" si="21"/>
        <v>1374450.6449499996</v>
      </c>
      <c r="F313">
        <f t="shared" si="19"/>
        <v>0.88608339030259531</v>
      </c>
      <c r="G313" t="str">
        <f t="shared" si="20"/>
        <v>B</v>
      </c>
    </row>
    <row r="314" spans="1:7" x14ac:dyDescent="0.3">
      <c r="A314" t="s">
        <v>732</v>
      </c>
      <c r="B314" t="s">
        <v>923</v>
      </c>
      <c r="C314" s="4">
        <v>8590.7094000000016</v>
      </c>
      <c r="D314" s="4">
        <f t="shared" si="18"/>
        <v>1551152.7018699991</v>
      </c>
      <c r="E314" s="4">
        <f t="shared" si="21"/>
        <v>1383041.3543499997</v>
      </c>
      <c r="F314">
        <f t="shared" si="19"/>
        <v>0.89162166476754223</v>
      </c>
      <c r="G314" t="str">
        <f t="shared" si="20"/>
        <v>B</v>
      </c>
    </row>
    <row r="315" spans="1:7" x14ac:dyDescent="0.3">
      <c r="A315" t="s">
        <v>732</v>
      </c>
      <c r="B315" t="s">
        <v>1295</v>
      </c>
      <c r="C315" s="4">
        <v>8520.2954399999999</v>
      </c>
      <c r="D315" s="4">
        <f t="shared" si="18"/>
        <v>1551152.7018699991</v>
      </c>
      <c r="E315" s="4">
        <f t="shared" si="21"/>
        <v>1391561.6497899997</v>
      </c>
      <c r="F315">
        <f t="shared" si="19"/>
        <v>0.89711454463019424</v>
      </c>
      <c r="G315" t="str">
        <f t="shared" si="20"/>
        <v>B</v>
      </c>
    </row>
    <row r="316" spans="1:7" x14ac:dyDescent="0.3">
      <c r="A316" t="s">
        <v>732</v>
      </c>
      <c r="B316" t="s">
        <v>1206</v>
      </c>
      <c r="C316" s="4">
        <v>8330.2513199999994</v>
      </c>
      <c r="D316" s="4">
        <f t="shared" si="18"/>
        <v>1551152.7018699991</v>
      </c>
      <c r="E316" s="4">
        <f t="shared" si="21"/>
        <v>1399891.9011099997</v>
      </c>
      <c r="F316">
        <f t="shared" si="19"/>
        <v>0.9024849064971836</v>
      </c>
      <c r="G316" t="str">
        <f t="shared" si="20"/>
        <v>B</v>
      </c>
    </row>
    <row r="317" spans="1:7" x14ac:dyDescent="0.3">
      <c r="A317" t="s">
        <v>732</v>
      </c>
      <c r="B317" t="s">
        <v>1190</v>
      </c>
      <c r="C317" s="4">
        <v>7854.6931199999999</v>
      </c>
      <c r="D317" s="4">
        <f t="shared" si="18"/>
        <v>1551152.7018699991</v>
      </c>
      <c r="E317" s="4">
        <f t="shared" si="21"/>
        <v>1407746.5942299997</v>
      </c>
      <c r="F317">
        <f t="shared" si="19"/>
        <v>0.90754868462201332</v>
      </c>
      <c r="G317" t="str">
        <f t="shared" si="20"/>
        <v>B</v>
      </c>
    </row>
    <row r="318" spans="1:7" x14ac:dyDescent="0.3">
      <c r="A318" t="s">
        <v>732</v>
      </c>
      <c r="B318" t="s">
        <v>950</v>
      </c>
      <c r="C318" s="4">
        <v>7738.9596900000006</v>
      </c>
      <c r="D318" s="4">
        <f t="shared" si="18"/>
        <v>1551152.7018699991</v>
      </c>
      <c r="E318" s="4">
        <f t="shared" si="21"/>
        <v>1415485.5539199996</v>
      </c>
      <c r="F318">
        <f t="shared" si="19"/>
        <v>0.91253785150459699</v>
      </c>
      <c r="G318" t="str">
        <f t="shared" si="20"/>
        <v>B</v>
      </c>
    </row>
    <row r="319" spans="1:7" x14ac:dyDescent="0.3">
      <c r="A319" t="s">
        <v>732</v>
      </c>
      <c r="B319" t="s">
        <v>864</v>
      </c>
      <c r="C319" s="4">
        <v>7703.8640800000003</v>
      </c>
      <c r="D319" s="4">
        <f t="shared" si="18"/>
        <v>1551152.7018699991</v>
      </c>
      <c r="E319" s="4">
        <f t="shared" si="21"/>
        <v>1423189.4179999996</v>
      </c>
      <c r="F319">
        <f t="shared" si="19"/>
        <v>0.91750439288425134</v>
      </c>
      <c r="G319" t="str">
        <f t="shared" si="20"/>
        <v>B</v>
      </c>
    </row>
    <row r="320" spans="1:7" x14ac:dyDescent="0.3">
      <c r="A320" t="s">
        <v>732</v>
      </c>
      <c r="B320" t="s">
        <v>1097</v>
      </c>
      <c r="C320" s="4">
        <v>7327.9533600000004</v>
      </c>
      <c r="D320" s="4">
        <f t="shared" si="18"/>
        <v>1551152.7018699991</v>
      </c>
      <c r="E320" s="4">
        <f t="shared" si="21"/>
        <v>1430517.3713599995</v>
      </c>
      <c r="F320">
        <f t="shared" si="19"/>
        <v>0.92222859144391967</v>
      </c>
      <c r="G320" t="str">
        <f t="shared" si="20"/>
        <v>B</v>
      </c>
    </row>
    <row r="321" spans="1:7" x14ac:dyDescent="0.3">
      <c r="A321" t="s">
        <v>732</v>
      </c>
      <c r="B321" t="s">
        <v>1005</v>
      </c>
      <c r="C321" s="4">
        <v>7120.6486400000003</v>
      </c>
      <c r="D321" s="4">
        <f t="shared" si="18"/>
        <v>1551152.7018699991</v>
      </c>
      <c r="E321" s="4">
        <f t="shared" si="21"/>
        <v>1437638.0199999996</v>
      </c>
      <c r="F321">
        <f t="shared" si="19"/>
        <v>0.92681914441231261</v>
      </c>
      <c r="G321" t="str">
        <f t="shared" si="20"/>
        <v>B</v>
      </c>
    </row>
    <row r="322" spans="1:7" x14ac:dyDescent="0.3">
      <c r="A322" t="s">
        <v>732</v>
      </c>
      <c r="B322" t="s">
        <v>912</v>
      </c>
      <c r="C322" s="4">
        <v>7098.5495999999994</v>
      </c>
      <c r="D322" s="4">
        <f t="shared" ref="D322:D385" si="22">SUMIF($A:$A,A322,$C:$C)</f>
        <v>1551152.7018699991</v>
      </c>
      <c r="E322" s="4">
        <f t="shared" si="21"/>
        <v>1444736.5695999996</v>
      </c>
      <c r="F322">
        <f t="shared" ref="F322:F385" si="23">E322/D322</f>
        <v>0.93139545053062212</v>
      </c>
      <c r="G322" t="str">
        <f t="shared" ref="G322:G385" si="24">IF(F322&lt;=0.8,"A",IF(F322&lt;=0.95,"B","C"))</f>
        <v>B</v>
      </c>
    </row>
    <row r="323" spans="1:7" x14ac:dyDescent="0.3">
      <c r="A323" t="s">
        <v>732</v>
      </c>
      <c r="B323" t="s">
        <v>902</v>
      </c>
      <c r="C323" s="4">
        <v>6824.2884000000004</v>
      </c>
      <c r="D323" s="4">
        <f t="shared" si="22"/>
        <v>1551152.7018699991</v>
      </c>
      <c r="E323" s="4">
        <f t="shared" si="21"/>
        <v>1451560.8579999995</v>
      </c>
      <c r="F323">
        <f t="shared" si="23"/>
        <v>0.93579494542997854</v>
      </c>
      <c r="G323" t="str">
        <f t="shared" si="24"/>
        <v>B</v>
      </c>
    </row>
    <row r="324" spans="1:7" x14ac:dyDescent="0.3">
      <c r="A324" t="s">
        <v>732</v>
      </c>
      <c r="B324" t="s">
        <v>988</v>
      </c>
      <c r="C324" s="4">
        <v>6468.2751599999992</v>
      </c>
      <c r="D324" s="4">
        <f t="shared" si="22"/>
        <v>1551152.7018699991</v>
      </c>
      <c r="E324" s="4">
        <f t="shared" si="21"/>
        <v>1458029.1331599995</v>
      </c>
      <c r="F324">
        <f t="shared" si="23"/>
        <v>0.93996492505364948</v>
      </c>
      <c r="G324" t="str">
        <f t="shared" si="24"/>
        <v>B</v>
      </c>
    </row>
    <row r="325" spans="1:7" x14ac:dyDescent="0.3">
      <c r="A325" t="s">
        <v>732</v>
      </c>
      <c r="B325" t="s">
        <v>1062</v>
      </c>
      <c r="C325" s="4">
        <v>6229.7423999999992</v>
      </c>
      <c r="D325" s="4">
        <f t="shared" si="22"/>
        <v>1551152.7018699991</v>
      </c>
      <c r="E325" s="4">
        <f t="shared" si="21"/>
        <v>1464258.8755599996</v>
      </c>
      <c r="F325">
        <f t="shared" si="23"/>
        <v>0.94398112693531444</v>
      </c>
      <c r="G325" t="str">
        <f t="shared" si="24"/>
        <v>B</v>
      </c>
    </row>
    <row r="326" spans="1:7" x14ac:dyDescent="0.3">
      <c r="A326" t="s">
        <v>732</v>
      </c>
      <c r="B326" t="s">
        <v>1331</v>
      </c>
      <c r="C326" s="4">
        <v>5962.1422499999999</v>
      </c>
      <c r="D326" s="4">
        <f t="shared" si="22"/>
        <v>1551152.7018699991</v>
      </c>
      <c r="E326" s="4">
        <f t="shared" si="21"/>
        <v>1470221.0178099996</v>
      </c>
      <c r="F326">
        <f t="shared" si="23"/>
        <v>0.94782481185609135</v>
      </c>
      <c r="G326" t="str">
        <f t="shared" si="24"/>
        <v>B</v>
      </c>
    </row>
    <row r="327" spans="1:7" x14ac:dyDescent="0.3">
      <c r="A327" t="s">
        <v>732</v>
      </c>
      <c r="B327" t="s">
        <v>852</v>
      </c>
      <c r="C327" s="4">
        <v>5769.2758000000003</v>
      </c>
      <c r="D327" s="4">
        <f t="shared" si="22"/>
        <v>1551152.7018699991</v>
      </c>
      <c r="E327" s="4">
        <f t="shared" si="21"/>
        <v>1475990.2936099996</v>
      </c>
      <c r="F327">
        <f t="shared" si="23"/>
        <v>0.95154415927626779</v>
      </c>
      <c r="G327" t="str">
        <f t="shared" si="24"/>
        <v>C</v>
      </c>
    </row>
    <row r="328" spans="1:7" x14ac:dyDescent="0.3">
      <c r="A328" t="s">
        <v>732</v>
      </c>
      <c r="B328" t="s">
        <v>1325</v>
      </c>
      <c r="C328" s="4">
        <v>5725.6496000000006</v>
      </c>
      <c r="D328" s="4">
        <f t="shared" si="22"/>
        <v>1551152.7018699991</v>
      </c>
      <c r="E328" s="4">
        <f t="shared" si="21"/>
        <v>1481715.9432099995</v>
      </c>
      <c r="F328">
        <f t="shared" si="23"/>
        <v>0.95523538167693622</v>
      </c>
      <c r="G328" t="str">
        <f t="shared" si="24"/>
        <v>C</v>
      </c>
    </row>
    <row r="329" spans="1:7" x14ac:dyDescent="0.3">
      <c r="A329" t="s">
        <v>732</v>
      </c>
      <c r="B329" t="s">
        <v>1180</v>
      </c>
      <c r="C329" s="4">
        <v>5565.3272500000003</v>
      </c>
      <c r="D329" s="4">
        <f t="shared" si="22"/>
        <v>1551152.7018699991</v>
      </c>
      <c r="E329" s="4">
        <f t="shared" si="21"/>
        <v>1487281.2704599996</v>
      </c>
      <c r="F329">
        <f t="shared" si="23"/>
        <v>0.95882324716773593</v>
      </c>
      <c r="G329" t="str">
        <f t="shared" si="24"/>
        <v>C</v>
      </c>
    </row>
    <row r="330" spans="1:7" x14ac:dyDescent="0.3">
      <c r="A330" t="s">
        <v>732</v>
      </c>
      <c r="B330" t="s">
        <v>967</v>
      </c>
      <c r="C330" s="4">
        <v>5280.8577599999999</v>
      </c>
      <c r="D330" s="4">
        <f t="shared" si="22"/>
        <v>1551152.7018699991</v>
      </c>
      <c r="E330" s="4">
        <f t="shared" si="21"/>
        <v>1492562.1282199996</v>
      </c>
      <c r="F330">
        <f t="shared" si="23"/>
        <v>0.96222772034025705</v>
      </c>
      <c r="G330" t="str">
        <f t="shared" si="24"/>
        <v>C</v>
      </c>
    </row>
    <row r="331" spans="1:7" x14ac:dyDescent="0.3">
      <c r="A331" t="s">
        <v>732</v>
      </c>
      <c r="B331" t="s">
        <v>1359</v>
      </c>
      <c r="C331" s="4">
        <v>5096.4790800000001</v>
      </c>
      <c r="D331" s="4">
        <f t="shared" si="22"/>
        <v>1551152.7018699991</v>
      </c>
      <c r="E331" s="4">
        <f t="shared" si="21"/>
        <v>1497658.6072999996</v>
      </c>
      <c r="F331">
        <f t="shared" si="23"/>
        <v>0.96551332792347944</v>
      </c>
      <c r="G331" t="str">
        <f t="shared" si="24"/>
        <v>C</v>
      </c>
    </row>
    <row r="332" spans="1:7" x14ac:dyDescent="0.3">
      <c r="A332" t="s">
        <v>732</v>
      </c>
      <c r="B332" t="s">
        <v>1048</v>
      </c>
      <c r="C332" s="4">
        <v>5032.4433599999993</v>
      </c>
      <c r="D332" s="4">
        <f t="shared" si="22"/>
        <v>1551152.7018699991</v>
      </c>
      <c r="E332" s="4">
        <f t="shared" si="21"/>
        <v>1502691.0506599995</v>
      </c>
      <c r="F332">
        <f t="shared" si="23"/>
        <v>0.96875765283999671</v>
      </c>
      <c r="G332" t="str">
        <f t="shared" si="24"/>
        <v>C</v>
      </c>
    </row>
    <row r="333" spans="1:7" x14ac:dyDescent="0.3">
      <c r="A333" t="s">
        <v>732</v>
      </c>
      <c r="B333" t="s">
        <v>813</v>
      </c>
      <c r="C333" s="4">
        <v>4877.1379800000004</v>
      </c>
      <c r="D333" s="4">
        <f t="shared" si="22"/>
        <v>1551152.7018699991</v>
      </c>
      <c r="E333" s="4">
        <f t="shared" si="21"/>
        <v>1507568.1886399996</v>
      </c>
      <c r="F333">
        <f t="shared" si="23"/>
        <v>0.97190185519616734</v>
      </c>
      <c r="G333" t="str">
        <f t="shared" si="24"/>
        <v>C</v>
      </c>
    </row>
    <row r="334" spans="1:7" x14ac:dyDescent="0.3">
      <c r="A334" t="s">
        <v>732</v>
      </c>
      <c r="B334" t="s">
        <v>920</v>
      </c>
      <c r="C334" s="4">
        <v>4831.9464600000001</v>
      </c>
      <c r="D334" s="4">
        <f t="shared" si="22"/>
        <v>1551152.7018699991</v>
      </c>
      <c r="E334" s="4">
        <f t="shared" si="21"/>
        <v>1512400.1350999996</v>
      </c>
      <c r="F334">
        <f t="shared" si="23"/>
        <v>0.97501692339942991</v>
      </c>
      <c r="G334" t="str">
        <f t="shared" si="24"/>
        <v>C</v>
      </c>
    </row>
    <row r="335" spans="1:7" x14ac:dyDescent="0.3">
      <c r="A335" t="s">
        <v>732</v>
      </c>
      <c r="B335" t="s">
        <v>1278</v>
      </c>
      <c r="C335" s="4">
        <v>4826.5396199999996</v>
      </c>
      <c r="D335" s="4">
        <f t="shared" si="22"/>
        <v>1551152.7018699991</v>
      </c>
      <c r="E335" s="4">
        <f t="shared" si="21"/>
        <v>1517226.6747199995</v>
      </c>
      <c r="F335">
        <f t="shared" si="23"/>
        <v>0.97812850591105582</v>
      </c>
      <c r="G335" t="str">
        <f t="shared" si="24"/>
        <v>C</v>
      </c>
    </row>
    <row r="336" spans="1:7" x14ac:dyDescent="0.3">
      <c r="A336" t="s">
        <v>732</v>
      </c>
      <c r="B336" t="s">
        <v>1228</v>
      </c>
      <c r="C336" s="4">
        <v>4682.9519799999998</v>
      </c>
      <c r="D336" s="4">
        <f t="shared" si="22"/>
        <v>1551152.7018699991</v>
      </c>
      <c r="E336" s="4">
        <f t="shared" si="21"/>
        <v>1521909.6266999994</v>
      </c>
      <c r="F336">
        <f t="shared" si="23"/>
        <v>0.98114752007668526</v>
      </c>
      <c r="G336" t="str">
        <f t="shared" si="24"/>
        <v>C</v>
      </c>
    </row>
    <row r="337" spans="1:7" x14ac:dyDescent="0.3">
      <c r="A337" t="s">
        <v>732</v>
      </c>
      <c r="B337" t="s">
        <v>992</v>
      </c>
      <c r="C337" s="4">
        <v>4375.3620000000001</v>
      </c>
      <c r="D337" s="4">
        <f t="shared" si="22"/>
        <v>1551152.7018699991</v>
      </c>
      <c r="E337" s="4">
        <f t="shared" si="21"/>
        <v>1526284.9886999994</v>
      </c>
      <c r="F337">
        <f t="shared" si="23"/>
        <v>0.98396823656367272</v>
      </c>
      <c r="G337" t="str">
        <f t="shared" si="24"/>
        <v>C</v>
      </c>
    </row>
    <row r="338" spans="1:7" x14ac:dyDescent="0.3">
      <c r="A338" t="s">
        <v>732</v>
      </c>
      <c r="B338" t="s">
        <v>1031</v>
      </c>
      <c r="C338" s="4">
        <v>3190.8713200000002</v>
      </c>
      <c r="D338" s="4">
        <f t="shared" si="22"/>
        <v>1551152.7018699991</v>
      </c>
      <c r="E338" s="4">
        <f t="shared" si="21"/>
        <v>1529475.8600199993</v>
      </c>
      <c r="F338">
        <f t="shared" si="23"/>
        <v>0.98602533340278675</v>
      </c>
      <c r="G338" t="str">
        <f t="shared" si="24"/>
        <v>C</v>
      </c>
    </row>
    <row r="339" spans="1:7" x14ac:dyDescent="0.3">
      <c r="A339" t="s">
        <v>732</v>
      </c>
      <c r="B339" t="s">
        <v>1052</v>
      </c>
      <c r="C339" s="4">
        <v>2915.4540999999999</v>
      </c>
      <c r="D339" s="4">
        <f t="shared" si="22"/>
        <v>1551152.7018699991</v>
      </c>
      <c r="E339" s="4">
        <f t="shared" ref="E339:E402" si="25">IF(A339=A338,E338+C339,C339)</f>
        <v>1532391.3141199993</v>
      </c>
      <c r="F339">
        <f t="shared" si="23"/>
        <v>0.98790487375783065</v>
      </c>
      <c r="G339" t="str">
        <f t="shared" si="24"/>
        <v>C</v>
      </c>
    </row>
    <row r="340" spans="1:7" x14ac:dyDescent="0.3">
      <c r="A340" t="s">
        <v>732</v>
      </c>
      <c r="B340" t="s">
        <v>740</v>
      </c>
      <c r="C340" s="4">
        <v>2886.4496399999998</v>
      </c>
      <c r="D340" s="4">
        <f t="shared" si="22"/>
        <v>1551152.7018699991</v>
      </c>
      <c r="E340" s="4">
        <f t="shared" si="25"/>
        <v>1535277.7637599993</v>
      </c>
      <c r="F340">
        <f t="shared" si="23"/>
        <v>0.98976571546382142</v>
      </c>
      <c r="G340" t="str">
        <f t="shared" si="24"/>
        <v>C</v>
      </c>
    </row>
    <row r="341" spans="1:7" x14ac:dyDescent="0.3">
      <c r="A341" t="s">
        <v>732</v>
      </c>
      <c r="B341" t="s">
        <v>1165</v>
      </c>
      <c r="C341" s="4">
        <v>2627.6239999999998</v>
      </c>
      <c r="D341" s="4">
        <f t="shared" si="22"/>
        <v>1551152.7018699991</v>
      </c>
      <c r="E341" s="4">
        <f t="shared" si="25"/>
        <v>1537905.3877599994</v>
      </c>
      <c r="F341">
        <f t="shared" si="23"/>
        <v>0.99145969697630065</v>
      </c>
      <c r="G341" t="str">
        <f t="shared" si="24"/>
        <v>C</v>
      </c>
    </row>
    <row r="342" spans="1:7" x14ac:dyDescent="0.3">
      <c r="A342" t="s">
        <v>732</v>
      </c>
      <c r="B342" t="s">
        <v>951</v>
      </c>
      <c r="C342" s="4">
        <v>2231.6467200000002</v>
      </c>
      <c r="D342" s="4">
        <f t="shared" si="22"/>
        <v>1551152.7018699991</v>
      </c>
      <c r="E342" s="4">
        <f t="shared" si="25"/>
        <v>1540137.0344799994</v>
      </c>
      <c r="F342">
        <f t="shared" si="23"/>
        <v>0.99289839912168565</v>
      </c>
      <c r="G342" t="str">
        <f t="shared" si="24"/>
        <v>C</v>
      </c>
    </row>
    <row r="343" spans="1:7" x14ac:dyDescent="0.3">
      <c r="A343" t="s">
        <v>732</v>
      </c>
      <c r="B343" t="s">
        <v>1283</v>
      </c>
      <c r="C343" s="4">
        <v>1846.8040799999999</v>
      </c>
      <c r="D343" s="4">
        <f t="shared" si="22"/>
        <v>1551152.7018699991</v>
      </c>
      <c r="E343" s="4">
        <f t="shared" si="25"/>
        <v>1541983.8385599994</v>
      </c>
      <c r="F343">
        <f t="shared" si="23"/>
        <v>0.99408900020033741</v>
      </c>
      <c r="G343" t="str">
        <f t="shared" si="24"/>
        <v>C</v>
      </c>
    </row>
    <row r="344" spans="1:7" x14ac:dyDescent="0.3">
      <c r="A344" t="s">
        <v>732</v>
      </c>
      <c r="B344" t="s">
        <v>1314</v>
      </c>
      <c r="C344" s="4">
        <v>1801.4076000000002</v>
      </c>
      <c r="D344" s="4">
        <f t="shared" si="22"/>
        <v>1551152.7018699991</v>
      </c>
      <c r="E344" s="4">
        <f t="shared" si="25"/>
        <v>1543785.2461599994</v>
      </c>
      <c r="F344">
        <f t="shared" si="23"/>
        <v>0.99525033499208826</v>
      </c>
      <c r="G344" t="str">
        <f t="shared" si="24"/>
        <v>C</v>
      </c>
    </row>
    <row r="345" spans="1:7" x14ac:dyDescent="0.3">
      <c r="A345" t="s">
        <v>732</v>
      </c>
      <c r="B345" t="s">
        <v>945</v>
      </c>
      <c r="C345" s="4">
        <v>1774.8072</v>
      </c>
      <c r="D345" s="4">
        <f t="shared" si="22"/>
        <v>1551152.7018699991</v>
      </c>
      <c r="E345" s="4">
        <f t="shared" si="25"/>
        <v>1545560.0533599993</v>
      </c>
      <c r="F345">
        <f t="shared" si="23"/>
        <v>0.99639452098864445</v>
      </c>
      <c r="G345" t="str">
        <f t="shared" si="24"/>
        <v>C</v>
      </c>
    </row>
    <row r="346" spans="1:7" x14ac:dyDescent="0.3">
      <c r="A346" t="s">
        <v>732</v>
      </c>
      <c r="B346" t="s">
        <v>1039</v>
      </c>
      <c r="C346" s="4">
        <v>1641.7107199999998</v>
      </c>
      <c r="D346" s="4">
        <f t="shared" si="22"/>
        <v>1551152.7018699991</v>
      </c>
      <c r="E346" s="4">
        <f t="shared" si="25"/>
        <v>1547201.7640799994</v>
      </c>
      <c r="F346">
        <f t="shared" si="23"/>
        <v>0.99745290209968585</v>
      </c>
      <c r="G346" t="str">
        <f t="shared" si="24"/>
        <v>C</v>
      </c>
    </row>
    <row r="347" spans="1:7" x14ac:dyDescent="0.3">
      <c r="A347" t="s">
        <v>732</v>
      </c>
      <c r="B347" t="s">
        <v>1349</v>
      </c>
      <c r="C347" s="4">
        <v>846.34703999999988</v>
      </c>
      <c r="D347" s="4">
        <f t="shared" si="22"/>
        <v>1551152.7018699991</v>
      </c>
      <c r="E347" s="4">
        <f t="shared" si="25"/>
        <v>1548048.1111199993</v>
      </c>
      <c r="F347">
        <f t="shared" si="23"/>
        <v>0.99799852667873579</v>
      </c>
      <c r="G347" t="str">
        <f t="shared" si="24"/>
        <v>C</v>
      </c>
    </row>
    <row r="348" spans="1:7" x14ac:dyDescent="0.3">
      <c r="A348" t="s">
        <v>732</v>
      </c>
      <c r="B348" t="s">
        <v>823</v>
      </c>
      <c r="C348" s="4">
        <v>624.43503999999996</v>
      </c>
      <c r="D348" s="4">
        <f t="shared" si="22"/>
        <v>1551152.7018699991</v>
      </c>
      <c r="E348" s="4">
        <f t="shared" si="25"/>
        <v>1548672.5461599992</v>
      </c>
      <c r="F348">
        <f t="shared" si="23"/>
        <v>0.9984010886181548</v>
      </c>
      <c r="G348" t="str">
        <f t="shared" si="24"/>
        <v>C</v>
      </c>
    </row>
    <row r="349" spans="1:7" x14ac:dyDescent="0.3">
      <c r="A349" t="s">
        <v>732</v>
      </c>
      <c r="B349" t="s">
        <v>981</v>
      </c>
      <c r="C349" s="4">
        <v>607.30668000000003</v>
      </c>
      <c r="D349" s="4">
        <f t="shared" si="22"/>
        <v>1551152.7018699991</v>
      </c>
      <c r="E349" s="4">
        <f t="shared" si="25"/>
        <v>1549279.8528399991</v>
      </c>
      <c r="F349">
        <f t="shared" si="23"/>
        <v>0.99879260821468951</v>
      </c>
      <c r="G349" t="str">
        <f t="shared" si="24"/>
        <v>C</v>
      </c>
    </row>
    <row r="350" spans="1:7" x14ac:dyDescent="0.3">
      <c r="A350" t="s">
        <v>732</v>
      </c>
      <c r="B350" t="s">
        <v>785</v>
      </c>
      <c r="C350" s="4">
        <v>599.53200000000004</v>
      </c>
      <c r="D350" s="4">
        <f t="shared" si="22"/>
        <v>1551152.7018699991</v>
      </c>
      <c r="E350" s="4">
        <f t="shared" si="25"/>
        <v>1549879.384839999</v>
      </c>
      <c r="F350">
        <f t="shared" si="23"/>
        <v>0.99917911561610606</v>
      </c>
      <c r="G350" t="str">
        <f t="shared" si="24"/>
        <v>C</v>
      </c>
    </row>
    <row r="351" spans="1:7" x14ac:dyDescent="0.3">
      <c r="A351" t="s">
        <v>732</v>
      </c>
      <c r="B351" t="s">
        <v>1265</v>
      </c>
      <c r="C351" s="4">
        <v>534.57695999999999</v>
      </c>
      <c r="D351" s="4">
        <f t="shared" si="22"/>
        <v>1551152.7018699991</v>
      </c>
      <c r="E351" s="4">
        <f t="shared" si="25"/>
        <v>1550413.961799999</v>
      </c>
      <c r="F351">
        <f t="shared" si="23"/>
        <v>0.99952374768189522</v>
      </c>
      <c r="G351" t="str">
        <f t="shared" si="24"/>
        <v>C</v>
      </c>
    </row>
    <row r="352" spans="1:7" x14ac:dyDescent="0.3">
      <c r="A352" t="s">
        <v>732</v>
      </c>
      <c r="B352" t="s">
        <v>817</v>
      </c>
      <c r="C352" s="4">
        <v>524.81174999999996</v>
      </c>
      <c r="D352" s="4">
        <f t="shared" si="22"/>
        <v>1551152.7018699991</v>
      </c>
      <c r="E352" s="4">
        <f t="shared" si="25"/>
        <v>1550938.7735499991</v>
      </c>
      <c r="F352">
        <f t="shared" si="23"/>
        <v>0.99986208429399503</v>
      </c>
      <c r="G352" t="str">
        <f t="shared" si="24"/>
        <v>C</v>
      </c>
    </row>
    <row r="353" spans="1:7" x14ac:dyDescent="0.3">
      <c r="A353" t="s">
        <v>732</v>
      </c>
      <c r="B353" t="s">
        <v>830</v>
      </c>
      <c r="C353" s="4">
        <v>147.00756000000001</v>
      </c>
      <c r="D353" s="4">
        <f t="shared" si="22"/>
        <v>1551152.7018699991</v>
      </c>
      <c r="E353" s="4">
        <f t="shared" si="25"/>
        <v>1551085.7811099992</v>
      </c>
      <c r="F353">
        <f t="shared" si="23"/>
        <v>0.99995685740035833</v>
      </c>
      <c r="G353" t="str">
        <f t="shared" si="24"/>
        <v>C</v>
      </c>
    </row>
    <row r="354" spans="1:7" x14ac:dyDescent="0.3">
      <c r="A354" t="s">
        <v>732</v>
      </c>
      <c r="B354" t="s">
        <v>1032</v>
      </c>
      <c r="C354" s="4">
        <v>66.920760000000001</v>
      </c>
      <c r="D354" s="4">
        <f t="shared" si="22"/>
        <v>1551152.7018699991</v>
      </c>
      <c r="E354" s="4">
        <f t="shared" si="25"/>
        <v>1551152.7018699991</v>
      </c>
      <c r="F354">
        <f t="shared" si="23"/>
        <v>1</v>
      </c>
      <c r="G354" t="str">
        <f t="shared" si="24"/>
        <v>C</v>
      </c>
    </row>
    <row r="355" spans="1:7" x14ac:dyDescent="0.3">
      <c r="A355" t="s">
        <v>729</v>
      </c>
      <c r="B355" t="s">
        <v>781</v>
      </c>
      <c r="C355" s="4">
        <v>109244</v>
      </c>
      <c r="D355" s="4">
        <f t="shared" si="22"/>
        <v>1774358.6154199997</v>
      </c>
      <c r="E355" s="4">
        <f t="shared" si="25"/>
        <v>109244</v>
      </c>
      <c r="F355">
        <f t="shared" si="23"/>
        <v>6.1568162743776231E-2</v>
      </c>
      <c r="G355" t="str">
        <f t="shared" si="24"/>
        <v>A</v>
      </c>
    </row>
    <row r="356" spans="1:7" x14ac:dyDescent="0.3">
      <c r="A356" t="s">
        <v>729</v>
      </c>
      <c r="B356" t="s">
        <v>1345</v>
      </c>
      <c r="C356" s="4">
        <v>82141.339799999987</v>
      </c>
      <c r="D356" s="4">
        <f t="shared" si="22"/>
        <v>1774358.6154199997</v>
      </c>
      <c r="E356" s="4">
        <f t="shared" si="25"/>
        <v>191385.33979999999</v>
      </c>
      <c r="F356">
        <f t="shared" si="23"/>
        <v>0.10786170176466729</v>
      </c>
      <c r="G356" t="str">
        <f t="shared" si="24"/>
        <v>A</v>
      </c>
    </row>
    <row r="357" spans="1:7" x14ac:dyDescent="0.3">
      <c r="A357" t="s">
        <v>729</v>
      </c>
      <c r="B357" t="s">
        <v>1010</v>
      </c>
      <c r="C357" s="4">
        <v>79548.755999999994</v>
      </c>
      <c r="D357" s="4">
        <f t="shared" si="22"/>
        <v>1774358.6154199997</v>
      </c>
      <c r="E357" s="4">
        <f t="shared" si="25"/>
        <v>270934.09580000001</v>
      </c>
      <c r="F357">
        <f t="shared" si="23"/>
        <v>0.15269410222119531</v>
      </c>
      <c r="G357" t="str">
        <f t="shared" si="24"/>
        <v>A</v>
      </c>
    </row>
    <row r="358" spans="1:7" x14ac:dyDescent="0.3">
      <c r="A358" t="s">
        <v>729</v>
      </c>
      <c r="B358" t="s">
        <v>957</v>
      </c>
      <c r="C358" s="4">
        <v>66988.771199999988</v>
      </c>
      <c r="D358" s="4">
        <f t="shared" si="22"/>
        <v>1774358.6154199997</v>
      </c>
      <c r="E358" s="4">
        <f t="shared" si="25"/>
        <v>337922.86699999997</v>
      </c>
      <c r="F358">
        <f t="shared" si="23"/>
        <v>0.19044789709548759</v>
      </c>
      <c r="G358" t="str">
        <f t="shared" si="24"/>
        <v>A</v>
      </c>
    </row>
    <row r="359" spans="1:7" x14ac:dyDescent="0.3">
      <c r="A359" t="s">
        <v>729</v>
      </c>
      <c r="B359" t="s">
        <v>814</v>
      </c>
      <c r="C359" s="4">
        <v>60292.805299999993</v>
      </c>
      <c r="D359" s="4">
        <f t="shared" si="22"/>
        <v>1774358.6154199997</v>
      </c>
      <c r="E359" s="4">
        <f t="shared" si="25"/>
        <v>398215.67229999998</v>
      </c>
      <c r="F359">
        <f t="shared" si="23"/>
        <v>0.22442795319915659</v>
      </c>
      <c r="G359" t="str">
        <f t="shared" si="24"/>
        <v>A</v>
      </c>
    </row>
    <row r="360" spans="1:7" x14ac:dyDescent="0.3">
      <c r="A360" t="s">
        <v>729</v>
      </c>
      <c r="B360" t="s">
        <v>1324</v>
      </c>
      <c r="C360" s="4">
        <v>51768.181920000003</v>
      </c>
      <c r="D360" s="4">
        <f t="shared" si="22"/>
        <v>1774358.6154199997</v>
      </c>
      <c r="E360" s="4">
        <f t="shared" si="25"/>
        <v>449983.85421999998</v>
      </c>
      <c r="F360">
        <f t="shared" si="23"/>
        <v>0.25360366856475997</v>
      </c>
      <c r="G360" t="str">
        <f t="shared" si="24"/>
        <v>A</v>
      </c>
    </row>
    <row r="361" spans="1:7" x14ac:dyDescent="0.3">
      <c r="A361" t="s">
        <v>729</v>
      </c>
      <c r="B361" t="s">
        <v>1356</v>
      </c>
      <c r="C361" s="4">
        <v>50090.397499999999</v>
      </c>
      <c r="D361" s="4">
        <f t="shared" si="22"/>
        <v>1774358.6154199997</v>
      </c>
      <c r="E361" s="4">
        <f t="shared" si="25"/>
        <v>500074.25172</v>
      </c>
      <c r="F361">
        <f t="shared" si="23"/>
        <v>0.28183381159486176</v>
      </c>
      <c r="G361" t="str">
        <f t="shared" si="24"/>
        <v>A</v>
      </c>
    </row>
    <row r="362" spans="1:7" x14ac:dyDescent="0.3">
      <c r="A362" t="s">
        <v>729</v>
      </c>
      <c r="B362" t="s">
        <v>1091</v>
      </c>
      <c r="C362" s="4">
        <v>49336.511399999996</v>
      </c>
      <c r="D362" s="4">
        <f t="shared" si="22"/>
        <v>1774358.6154199997</v>
      </c>
      <c r="E362" s="4">
        <f t="shared" si="25"/>
        <v>549410.76312000002</v>
      </c>
      <c r="F362">
        <f t="shared" si="23"/>
        <v>0.30963907653467881</v>
      </c>
      <c r="G362" t="str">
        <f t="shared" si="24"/>
        <v>A</v>
      </c>
    </row>
    <row r="363" spans="1:7" x14ac:dyDescent="0.3">
      <c r="A363" t="s">
        <v>729</v>
      </c>
      <c r="B363" t="s">
        <v>937</v>
      </c>
      <c r="C363" s="4">
        <v>47962.717579999997</v>
      </c>
      <c r="D363" s="4">
        <f t="shared" si="22"/>
        <v>1774358.6154199997</v>
      </c>
      <c r="E363" s="4">
        <f t="shared" si="25"/>
        <v>597373.48069999996</v>
      </c>
      <c r="F363">
        <f t="shared" si="23"/>
        <v>0.33667009335573272</v>
      </c>
      <c r="G363" t="str">
        <f t="shared" si="24"/>
        <v>A</v>
      </c>
    </row>
    <row r="364" spans="1:7" x14ac:dyDescent="0.3">
      <c r="A364" t="s">
        <v>729</v>
      </c>
      <c r="B364" t="s">
        <v>1116</v>
      </c>
      <c r="C364" s="4">
        <v>47693.373</v>
      </c>
      <c r="D364" s="4">
        <f t="shared" si="22"/>
        <v>1774358.6154199997</v>
      </c>
      <c r="E364" s="4">
        <f t="shared" si="25"/>
        <v>645066.85369999998</v>
      </c>
      <c r="F364">
        <f t="shared" si="23"/>
        <v>0.36354931190012529</v>
      </c>
      <c r="G364" t="str">
        <f t="shared" si="24"/>
        <v>A</v>
      </c>
    </row>
    <row r="365" spans="1:7" x14ac:dyDescent="0.3">
      <c r="A365" t="s">
        <v>729</v>
      </c>
      <c r="B365" t="s">
        <v>1110</v>
      </c>
      <c r="C365" s="4">
        <v>43553.493060000001</v>
      </c>
      <c r="D365" s="4">
        <f t="shared" si="22"/>
        <v>1774358.6154199997</v>
      </c>
      <c r="E365" s="4">
        <f t="shared" si="25"/>
        <v>688620.34675999999</v>
      </c>
      <c r="F365">
        <f t="shared" si="23"/>
        <v>0.38809536064218902</v>
      </c>
      <c r="G365" t="str">
        <f t="shared" si="24"/>
        <v>A</v>
      </c>
    </row>
    <row r="366" spans="1:7" x14ac:dyDescent="0.3">
      <c r="A366" t="s">
        <v>729</v>
      </c>
      <c r="B366" t="s">
        <v>1213</v>
      </c>
      <c r="C366" s="4">
        <v>40488.792960000006</v>
      </c>
      <c r="D366" s="4">
        <f t="shared" si="22"/>
        <v>1774358.6154199997</v>
      </c>
      <c r="E366" s="4">
        <f t="shared" si="25"/>
        <v>729109.13971999998</v>
      </c>
      <c r="F366">
        <f t="shared" si="23"/>
        <v>0.41091419366057302</v>
      </c>
      <c r="G366" t="str">
        <f t="shared" si="24"/>
        <v>A</v>
      </c>
    </row>
    <row r="367" spans="1:7" x14ac:dyDescent="0.3">
      <c r="A367" t="s">
        <v>729</v>
      </c>
      <c r="B367" t="s">
        <v>1036</v>
      </c>
      <c r="C367" s="4">
        <v>39686.4182</v>
      </c>
      <c r="D367" s="4">
        <f t="shared" si="22"/>
        <v>1774358.6154199997</v>
      </c>
      <c r="E367" s="4">
        <f t="shared" si="25"/>
        <v>768795.55791999993</v>
      </c>
      <c r="F367">
        <f t="shared" si="23"/>
        <v>0.43328082115915567</v>
      </c>
      <c r="G367" t="str">
        <f t="shared" si="24"/>
        <v>A</v>
      </c>
    </row>
    <row r="368" spans="1:7" x14ac:dyDescent="0.3">
      <c r="A368" t="s">
        <v>729</v>
      </c>
      <c r="B368" t="s">
        <v>1056</v>
      </c>
      <c r="C368" s="4">
        <v>39546.774539999999</v>
      </c>
      <c r="D368" s="4">
        <f t="shared" si="22"/>
        <v>1774358.6154199997</v>
      </c>
      <c r="E368" s="4">
        <f t="shared" si="25"/>
        <v>808342.33245999995</v>
      </c>
      <c r="F368">
        <f t="shared" si="23"/>
        <v>0.45556874773517031</v>
      </c>
      <c r="G368" t="str">
        <f t="shared" si="24"/>
        <v>A</v>
      </c>
    </row>
    <row r="369" spans="1:7" x14ac:dyDescent="0.3">
      <c r="A369" t="s">
        <v>729</v>
      </c>
      <c r="B369" t="s">
        <v>854</v>
      </c>
      <c r="C369" s="4">
        <v>39516.804389999998</v>
      </c>
      <c r="D369" s="4">
        <f t="shared" si="22"/>
        <v>1774358.6154199997</v>
      </c>
      <c r="E369" s="4">
        <f t="shared" si="25"/>
        <v>847859.13684999989</v>
      </c>
      <c r="F369">
        <f t="shared" si="23"/>
        <v>0.47783978361629414</v>
      </c>
      <c r="G369" t="str">
        <f t="shared" si="24"/>
        <v>A</v>
      </c>
    </row>
    <row r="370" spans="1:7" x14ac:dyDescent="0.3">
      <c r="A370" t="s">
        <v>729</v>
      </c>
      <c r="B370" t="s">
        <v>782</v>
      </c>
      <c r="C370" s="4">
        <v>35621.302319999995</v>
      </c>
      <c r="D370" s="4">
        <f t="shared" si="22"/>
        <v>1774358.6154199997</v>
      </c>
      <c r="E370" s="4">
        <f t="shared" si="25"/>
        <v>883480.43916999991</v>
      </c>
      <c r="F370">
        <f t="shared" si="23"/>
        <v>0.49791537713523354</v>
      </c>
      <c r="G370" t="str">
        <f t="shared" si="24"/>
        <v>A</v>
      </c>
    </row>
    <row r="371" spans="1:7" x14ac:dyDescent="0.3">
      <c r="A371" t="s">
        <v>729</v>
      </c>
      <c r="B371" t="s">
        <v>1087</v>
      </c>
      <c r="C371" s="4">
        <v>34816.968000000001</v>
      </c>
      <c r="D371" s="4">
        <f t="shared" si="22"/>
        <v>1774358.6154199997</v>
      </c>
      <c r="E371" s="4">
        <f t="shared" si="25"/>
        <v>918297.4071699999</v>
      </c>
      <c r="F371">
        <f t="shared" si="23"/>
        <v>0.51753766075784757</v>
      </c>
      <c r="G371" t="str">
        <f t="shared" si="24"/>
        <v>A</v>
      </c>
    </row>
    <row r="372" spans="1:7" x14ac:dyDescent="0.3">
      <c r="A372" t="s">
        <v>729</v>
      </c>
      <c r="B372" t="s">
        <v>1301</v>
      </c>
      <c r="C372" s="4">
        <v>34307.159999999996</v>
      </c>
      <c r="D372" s="4">
        <f t="shared" si="22"/>
        <v>1774358.6154199997</v>
      </c>
      <c r="E372" s="4">
        <f t="shared" si="25"/>
        <v>952604.56716999994</v>
      </c>
      <c r="F372">
        <f t="shared" si="23"/>
        <v>0.53687262478476683</v>
      </c>
      <c r="G372" t="str">
        <f t="shared" si="24"/>
        <v>A</v>
      </c>
    </row>
    <row r="373" spans="1:7" x14ac:dyDescent="0.3">
      <c r="A373" t="s">
        <v>729</v>
      </c>
      <c r="B373" t="s">
        <v>1113</v>
      </c>
      <c r="C373" s="4">
        <v>33200.038079999998</v>
      </c>
      <c r="D373" s="4">
        <f t="shared" si="22"/>
        <v>1774358.6154199997</v>
      </c>
      <c r="E373" s="4">
        <f t="shared" si="25"/>
        <v>985804.60524999991</v>
      </c>
      <c r="F373">
        <f t="shared" si="23"/>
        <v>0.55558363269008892</v>
      </c>
      <c r="G373" t="str">
        <f t="shared" si="24"/>
        <v>A</v>
      </c>
    </row>
    <row r="374" spans="1:7" x14ac:dyDescent="0.3">
      <c r="A374" t="s">
        <v>729</v>
      </c>
      <c r="B374" t="s">
        <v>1357</v>
      </c>
      <c r="C374" s="4">
        <v>32704.386400000003</v>
      </c>
      <c r="D374" s="4">
        <f t="shared" si="22"/>
        <v>1774358.6154199997</v>
      </c>
      <c r="E374" s="4">
        <f t="shared" si="25"/>
        <v>1018508.9916499999</v>
      </c>
      <c r="F374">
        <f t="shared" si="23"/>
        <v>0.57401529927416262</v>
      </c>
      <c r="G374" t="str">
        <f t="shared" si="24"/>
        <v>A</v>
      </c>
    </row>
    <row r="375" spans="1:7" x14ac:dyDescent="0.3">
      <c r="A375" t="s">
        <v>729</v>
      </c>
      <c r="B375" t="s">
        <v>779</v>
      </c>
      <c r="C375" s="4">
        <v>32506.559399999998</v>
      </c>
      <c r="D375" s="4">
        <f t="shared" si="22"/>
        <v>1774358.6154199997</v>
      </c>
      <c r="E375" s="4">
        <f t="shared" si="25"/>
        <v>1051015.5510499999</v>
      </c>
      <c r="F375">
        <f t="shared" si="23"/>
        <v>0.59233547374030648</v>
      </c>
      <c r="G375" t="str">
        <f t="shared" si="24"/>
        <v>A</v>
      </c>
    </row>
    <row r="376" spans="1:7" x14ac:dyDescent="0.3">
      <c r="A376" t="s">
        <v>729</v>
      </c>
      <c r="B376" t="s">
        <v>1147</v>
      </c>
      <c r="C376" s="4">
        <v>31513.423040000001</v>
      </c>
      <c r="D376" s="4">
        <f t="shared" si="22"/>
        <v>1774358.6154199997</v>
      </c>
      <c r="E376" s="4">
        <f t="shared" si="25"/>
        <v>1082528.9740899999</v>
      </c>
      <c r="F376">
        <f t="shared" si="23"/>
        <v>0.61009593251461169</v>
      </c>
      <c r="G376" t="str">
        <f t="shared" si="24"/>
        <v>A</v>
      </c>
    </row>
    <row r="377" spans="1:7" x14ac:dyDescent="0.3">
      <c r="A377" t="s">
        <v>729</v>
      </c>
      <c r="B377" t="s">
        <v>1229</v>
      </c>
      <c r="C377" s="4">
        <v>30692.47896</v>
      </c>
      <c r="D377" s="4">
        <f t="shared" si="22"/>
        <v>1774358.6154199997</v>
      </c>
      <c r="E377" s="4">
        <f t="shared" si="25"/>
        <v>1113221.4530499999</v>
      </c>
      <c r="F377">
        <f t="shared" si="23"/>
        <v>0.62739372039879027</v>
      </c>
      <c r="G377" t="str">
        <f t="shared" si="24"/>
        <v>A</v>
      </c>
    </row>
    <row r="378" spans="1:7" x14ac:dyDescent="0.3">
      <c r="A378" t="s">
        <v>729</v>
      </c>
      <c r="B378" t="s">
        <v>960</v>
      </c>
      <c r="C378" s="4">
        <v>30479.418970000002</v>
      </c>
      <c r="D378" s="4">
        <f t="shared" si="22"/>
        <v>1774358.6154199997</v>
      </c>
      <c r="E378" s="4">
        <f t="shared" si="25"/>
        <v>1143700.8720199999</v>
      </c>
      <c r="F378">
        <f t="shared" si="23"/>
        <v>0.64457143109668391</v>
      </c>
      <c r="G378" t="str">
        <f t="shared" si="24"/>
        <v>A</v>
      </c>
    </row>
    <row r="379" spans="1:7" x14ac:dyDescent="0.3">
      <c r="A379" t="s">
        <v>729</v>
      </c>
      <c r="B379" t="s">
        <v>1354</v>
      </c>
      <c r="C379" s="4">
        <v>30229.994880000002</v>
      </c>
      <c r="D379" s="4">
        <f t="shared" si="22"/>
        <v>1774358.6154199997</v>
      </c>
      <c r="E379" s="4">
        <f t="shared" si="25"/>
        <v>1173930.8668999998</v>
      </c>
      <c r="F379">
        <f t="shared" si="23"/>
        <v>0.66160857038593879</v>
      </c>
      <c r="G379" t="str">
        <f t="shared" si="24"/>
        <v>A</v>
      </c>
    </row>
    <row r="380" spans="1:7" x14ac:dyDescent="0.3">
      <c r="A380" t="s">
        <v>729</v>
      </c>
      <c r="B380" t="s">
        <v>1282</v>
      </c>
      <c r="C380" s="4">
        <v>29673.454499999993</v>
      </c>
      <c r="D380" s="4">
        <f t="shared" si="22"/>
        <v>1774358.6154199997</v>
      </c>
      <c r="E380" s="4">
        <f t="shared" si="25"/>
        <v>1203604.3213999998</v>
      </c>
      <c r="F380">
        <f t="shared" si="23"/>
        <v>0.67833205246116524</v>
      </c>
      <c r="G380" t="str">
        <f t="shared" si="24"/>
        <v>A</v>
      </c>
    </row>
    <row r="381" spans="1:7" x14ac:dyDescent="0.3">
      <c r="A381" t="s">
        <v>729</v>
      </c>
      <c r="B381" t="s">
        <v>878</v>
      </c>
      <c r="C381" s="4">
        <v>25672.127039999999</v>
      </c>
      <c r="D381" s="4">
        <f t="shared" si="22"/>
        <v>1774358.6154199997</v>
      </c>
      <c r="E381" s="4">
        <f t="shared" si="25"/>
        <v>1229276.4484399997</v>
      </c>
      <c r="F381">
        <f t="shared" si="23"/>
        <v>0.69280045068511908</v>
      </c>
      <c r="G381" t="str">
        <f t="shared" si="24"/>
        <v>A</v>
      </c>
    </row>
    <row r="382" spans="1:7" x14ac:dyDescent="0.3">
      <c r="A382" t="s">
        <v>729</v>
      </c>
      <c r="B382" t="s">
        <v>1230</v>
      </c>
      <c r="C382" s="4">
        <v>25249.613219999999</v>
      </c>
      <c r="D382" s="4">
        <f t="shared" si="22"/>
        <v>1774358.6154199997</v>
      </c>
      <c r="E382" s="4">
        <f t="shared" si="25"/>
        <v>1254526.0616599997</v>
      </c>
      <c r="F382">
        <f t="shared" si="23"/>
        <v>0.70703072691032465</v>
      </c>
      <c r="G382" t="str">
        <f t="shared" si="24"/>
        <v>A</v>
      </c>
    </row>
    <row r="383" spans="1:7" x14ac:dyDescent="0.3">
      <c r="A383" t="s">
        <v>729</v>
      </c>
      <c r="B383" t="s">
        <v>1217</v>
      </c>
      <c r="C383" s="4">
        <v>21908.731650000002</v>
      </c>
      <c r="D383" s="4">
        <f t="shared" si="22"/>
        <v>1774358.6154199997</v>
      </c>
      <c r="E383" s="4">
        <f t="shared" si="25"/>
        <v>1276434.7933099996</v>
      </c>
      <c r="F383">
        <f t="shared" si="23"/>
        <v>0.71937813597386069</v>
      </c>
      <c r="G383" t="str">
        <f t="shared" si="24"/>
        <v>A</v>
      </c>
    </row>
    <row r="384" spans="1:7" x14ac:dyDescent="0.3">
      <c r="A384" t="s">
        <v>729</v>
      </c>
      <c r="B384" t="s">
        <v>818</v>
      </c>
      <c r="C384" s="4">
        <v>21062.61248</v>
      </c>
      <c r="D384" s="4">
        <f t="shared" si="22"/>
        <v>1774358.6154199997</v>
      </c>
      <c r="E384" s="4">
        <f t="shared" si="25"/>
        <v>1297497.4057899995</v>
      </c>
      <c r="F384">
        <f t="shared" si="23"/>
        <v>0.7312486858711339</v>
      </c>
      <c r="G384" t="str">
        <f t="shared" si="24"/>
        <v>A</v>
      </c>
    </row>
    <row r="385" spans="1:7" x14ac:dyDescent="0.3">
      <c r="A385" t="s">
        <v>729</v>
      </c>
      <c r="B385" t="s">
        <v>763</v>
      </c>
      <c r="C385" s="4">
        <v>20084.133720000002</v>
      </c>
      <c r="D385" s="4">
        <f t="shared" si="22"/>
        <v>1774358.6154199997</v>
      </c>
      <c r="E385" s="4">
        <f t="shared" si="25"/>
        <v>1317581.5395099996</v>
      </c>
      <c r="F385">
        <f t="shared" si="23"/>
        <v>0.74256778086436681</v>
      </c>
      <c r="G385" t="str">
        <f t="shared" si="24"/>
        <v>A</v>
      </c>
    </row>
    <row r="386" spans="1:7" x14ac:dyDescent="0.3">
      <c r="A386" t="s">
        <v>729</v>
      </c>
      <c r="B386" t="s">
        <v>1021</v>
      </c>
      <c r="C386" s="4">
        <v>20028.787380000002</v>
      </c>
      <c r="D386" s="4">
        <f t="shared" ref="D386:D449" si="26">SUMIF($A:$A,A386,$C:$C)</f>
        <v>1774358.6154199997</v>
      </c>
      <c r="E386" s="4">
        <f t="shared" si="25"/>
        <v>1337610.3268899997</v>
      </c>
      <c r="F386">
        <f t="shared" ref="F386:F449" si="27">E386/D386</f>
        <v>0.75385568354984456</v>
      </c>
      <c r="G386" t="str">
        <f t="shared" ref="G386:G449" si="28">IF(F386&lt;=0.8,"A",IF(F386&lt;=0.95,"B","C"))</f>
        <v>A</v>
      </c>
    </row>
    <row r="387" spans="1:7" x14ac:dyDescent="0.3">
      <c r="A387" t="s">
        <v>729</v>
      </c>
      <c r="B387" t="s">
        <v>755</v>
      </c>
      <c r="C387" s="4">
        <v>19903.585040000002</v>
      </c>
      <c r="D387" s="4">
        <f t="shared" si="26"/>
        <v>1774358.6154199997</v>
      </c>
      <c r="E387" s="4">
        <f t="shared" si="25"/>
        <v>1357513.9119299997</v>
      </c>
      <c r="F387">
        <f t="shared" si="27"/>
        <v>0.76507302420862044</v>
      </c>
      <c r="G387" t="str">
        <f t="shared" si="28"/>
        <v>A</v>
      </c>
    </row>
    <row r="388" spans="1:7" x14ac:dyDescent="0.3">
      <c r="A388" t="s">
        <v>729</v>
      </c>
      <c r="B388" t="s">
        <v>1284</v>
      </c>
      <c r="C388" s="4">
        <v>18830.12472</v>
      </c>
      <c r="D388" s="4">
        <f t="shared" si="26"/>
        <v>1774358.6154199997</v>
      </c>
      <c r="E388" s="4">
        <f t="shared" si="25"/>
        <v>1376344.0366499997</v>
      </c>
      <c r="F388">
        <f t="shared" si="27"/>
        <v>0.77568537988258479</v>
      </c>
      <c r="G388" t="str">
        <f t="shared" si="28"/>
        <v>A</v>
      </c>
    </row>
    <row r="389" spans="1:7" x14ac:dyDescent="0.3">
      <c r="A389" t="s">
        <v>729</v>
      </c>
      <c r="B389" t="s">
        <v>1346</v>
      </c>
      <c r="C389" s="4">
        <v>18500.693520000001</v>
      </c>
      <c r="D389" s="4">
        <f t="shared" si="26"/>
        <v>1774358.6154199997</v>
      </c>
      <c r="E389" s="4">
        <f t="shared" si="25"/>
        <v>1394844.7301699996</v>
      </c>
      <c r="F389">
        <f t="shared" si="27"/>
        <v>0.78611207342650558</v>
      </c>
      <c r="G389" t="str">
        <f t="shared" si="28"/>
        <v>A</v>
      </c>
    </row>
    <row r="390" spans="1:7" x14ac:dyDescent="0.3">
      <c r="A390" t="s">
        <v>729</v>
      </c>
      <c r="B390" t="s">
        <v>1133</v>
      </c>
      <c r="C390" s="4">
        <v>17731.623</v>
      </c>
      <c r="D390" s="4">
        <f t="shared" si="26"/>
        <v>1774358.6154199997</v>
      </c>
      <c r="E390" s="4">
        <f t="shared" si="25"/>
        <v>1412576.3531699996</v>
      </c>
      <c r="F390">
        <f t="shared" si="27"/>
        <v>0.79610533118505789</v>
      </c>
      <c r="G390" t="str">
        <f t="shared" si="28"/>
        <v>A</v>
      </c>
    </row>
    <row r="391" spans="1:7" x14ac:dyDescent="0.3">
      <c r="A391" t="s">
        <v>729</v>
      </c>
      <c r="B391" t="s">
        <v>1051</v>
      </c>
      <c r="C391" s="4">
        <v>16306.59375</v>
      </c>
      <c r="D391" s="4">
        <f t="shared" si="26"/>
        <v>1774358.6154199997</v>
      </c>
      <c r="E391" s="4">
        <f t="shared" si="25"/>
        <v>1428882.9469199996</v>
      </c>
      <c r="F391">
        <f t="shared" si="27"/>
        <v>0.80529546535990171</v>
      </c>
      <c r="G391" t="str">
        <f t="shared" si="28"/>
        <v>B</v>
      </c>
    </row>
    <row r="392" spans="1:7" x14ac:dyDescent="0.3">
      <c r="A392" t="s">
        <v>729</v>
      </c>
      <c r="B392" t="s">
        <v>863</v>
      </c>
      <c r="C392" s="4">
        <v>16071.44868</v>
      </c>
      <c r="D392" s="4">
        <f t="shared" si="26"/>
        <v>1774358.6154199997</v>
      </c>
      <c r="E392" s="4">
        <f t="shared" si="25"/>
        <v>1444954.3955999995</v>
      </c>
      <c r="F392">
        <f t="shared" si="27"/>
        <v>0.81435307555230119</v>
      </c>
      <c r="G392" t="str">
        <f t="shared" si="28"/>
        <v>B</v>
      </c>
    </row>
    <row r="393" spans="1:7" x14ac:dyDescent="0.3">
      <c r="A393" t="s">
        <v>729</v>
      </c>
      <c r="B393" t="s">
        <v>1240</v>
      </c>
      <c r="C393" s="4">
        <v>15323.926799999999</v>
      </c>
      <c r="D393" s="4">
        <f t="shared" si="26"/>
        <v>1774358.6154199997</v>
      </c>
      <c r="E393" s="4">
        <f t="shared" si="25"/>
        <v>1460278.3223999995</v>
      </c>
      <c r="F393">
        <f t="shared" si="27"/>
        <v>0.82298939442652874</v>
      </c>
      <c r="G393" t="str">
        <f t="shared" si="28"/>
        <v>B</v>
      </c>
    </row>
    <row r="394" spans="1:7" x14ac:dyDescent="0.3">
      <c r="A394" t="s">
        <v>729</v>
      </c>
      <c r="B394" t="s">
        <v>949</v>
      </c>
      <c r="C394" s="4">
        <v>15253.069799999999</v>
      </c>
      <c r="D394" s="4">
        <f t="shared" si="26"/>
        <v>1774358.6154199997</v>
      </c>
      <c r="E394" s="4">
        <f t="shared" si="25"/>
        <v>1475531.3921999994</v>
      </c>
      <c r="F394">
        <f t="shared" si="27"/>
        <v>0.83158577943429635</v>
      </c>
      <c r="G394" t="str">
        <f t="shared" si="28"/>
        <v>B</v>
      </c>
    </row>
    <row r="395" spans="1:7" x14ac:dyDescent="0.3">
      <c r="A395" t="s">
        <v>729</v>
      </c>
      <c r="B395" t="s">
        <v>1200</v>
      </c>
      <c r="C395" s="4">
        <v>14261.92439</v>
      </c>
      <c r="D395" s="4">
        <f t="shared" si="26"/>
        <v>1774358.6154199997</v>
      </c>
      <c r="E395" s="4">
        <f t="shared" si="25"/>
        <v>1489793.3165899995</v>
      </c>
      <c r="F395">
        <f t="shared" si="27"/>
        <v>0.83962357081764882</v>
      </c>
      <c r="G395" t="str">
        <f t="shared" si="28"/>
        <v>B</v>
      </c>
    </row>
    <row r="396" spans="1:7" x14ac:dyDescent="0.3">
      <c r="A396" t="s">
        <v>729</v>
      </c>
      <c r="B396" t="s">
        <v>1309</v>
      </c>
      <c r="C396" s="4">
        <v>13882.6016</v>
      </c>
      <c r="D396" s="4">
        <f t="shared" si="26"/>
        <v>1774358.6154199997</v>
      </c>
      <c r="E396" s="4">
        <f t="shared" si="25"/>
        <v>1503675.9181899994</v>
      </c>
      <c r="F396">
        <f t="shared" si="27"/>
        <v>0.84744758197263959</v>
      </c>
      <c r="G396" t="str">
        <f t="shared" si="28"/>
        <v>B</v>
      </c>
    </row>
    <row r="397" spans="1:7" x14ac:dyDescent="0.3">
      <c r="A397" t="s">
        <v>729</v>
      </c>
      <c r="B397" t="s">
        <v>1015</v>
      </c>
      <c r="C397" s="4">
        <v>13035.970220000001</v>
      </c>
      <c r="D397" s="4">
        <f t="shared" si="26"/>
        <v>1774358.6154199997</v>
      </c>
      <c r="E397" s="4">
        <f t="shared" si="25"/>
        <v>1516711.8884099994</v>
      </c>
      <c r="F397">
        <f t="shared" si="27"/>
        <v>0.85479444528804338</v>
      </c>
      <c r="G397" t="str">
        <f t="shared" si="28"/>
        <v>B</v>
      </c>
    </row>
    <row r="398" spans="1:7" x14ac:dyDescent="0.3">
      <c r="A398" t="s">
        <v>729</v>
      </c>
      <c r="B398" t="s">
        <v>1114</v>
      </c>
      <c r="C398" s="4">
        <v>12881.097599999999</v>
      </c>
      <c r="D398" s="4">
        <f t="shared" si="26"/>
        <v>1774358.6154199997</v>
      </c>
      <c r="E398" s="4">
        <f t="shared" si="25"/>
        <v>1529592.9860099994</v>
      </c>
      <c r="F398">
        <f t="shared" si="27"/>
        <v>0.86205402488376737</v>
      </c>
      <c r="G398" t="str">
        <f t="shared" si="28"/>
        <v>B</v>
      </c>
    </row>
    <row r="399" spans="1:7" x14ac:dyDescent="0.3">
      <c r="A399" t="s">
        <v>729</v>
      </c>
      <c r="B399" t="s">
        <v>1308</v>
      </c>
      <c r="C399" s="4">
        <v>12091.190399999999</v>
      </c>
      <c r="D399" s="4">
        <f t="shared" si="26"/>
        <v>1774358.6154199997</v>
      </c>
      <c r="E399" s="4">
        <f t="shared" si="25"/>
        <v>1541684.1764099994</v>
      </c>
      <c r="F399">
        <f t="shared" si="27"/>
        <v>0.86886842547614018</v>
      </c>
      <c r="G399" t="str">
        <f t="shared" si="28"/>
        <v>B</v>
      </c>
    </row>
    <row r="400" spans="1:7" x14ac:dyDescent="0.3">
      <c r="A400" t="s">
        <v>729</v>
      </c>
      <c r="B400" t="s">
        <v>857</v>
      </c>
      <c r="C400" s="4">
        <v>10817.3416</v>
      </c>
      <c r="D400" s="4">
        <f t="shared" si="26"/>
        <v>1774358.6154199997</v>
      </c>
      <c r="E400" s="4">
        <f t="shared" si="25"/>
        <v>1552501.5180099993</v>
      </c>
      <c r="F400">
        <f t="shared" si="27"/>
        <v>0.87496490535680937</v>
      </c>
      <c r="G400" t="str">
        <f t="shared" si="28"/>
        <v>B</v>
      </c>
    </row>
    <row r="401" spans="1:7" x14ac:dyDescent="0.3">
      <c r="A401" t="s">
        <v>729</v>
      </c>
      <c r="B401" t="s">
        <v>1277</v>
      </c>
      <c r="C401" s="4">
        <v>10792.637119999999</v>
      </c>
      <c r="D401" s="4">
        <f t="shared" si="26"/>
        <v>1774358.6154199997</v>
      </c>
      <c r="E401" s="4">
        <f t="shared" si="25"/>
        <v>1563294.1551299994</v>
      </c>
      <c r="F401">
        <f t="shared" si="27"/>
        <v>0.8810474621895753</v>
      </c>
      <c r="G401" t="str">
        <f t="shared" si="28"/>
        <v>B</v>
      </c>
    </row>
    <row r="402" spans="1:7" x14ac:dyDescent="0.3">
      <c r="A402" t="s">
        <v>729</v>
      </c>
      <c r="B402" t="s">
        <v>1348</v>
      </c>
      <c r="C402" s="4">
        <v>10786.32144</v>
      </c>
      <c r="D402" s="4">
        <f t="shared" si="26"/>
        <v>1774358.6154199997</v>
      </c>
      <c r="E402" s="4">
        <f t="shared" si="25"/>
        <v>1574080.4765699995</v>
      </c>
      <c r="F402">
        <f t="shared" si="27"/>
        <v>0.88712645960659231</v>
      </c>
      <c r="G402" t="str">
        <f t="shared" si="28"/>
        <v>B</v>
      </c>
    </row>
    <row r="403" spans="1:7" x14ac:dyDescent="0.3">
      <c r="A403" t="s">
        <v>729</v>
      </c>
      <c r="B403" t="s">
        <v>775</v>
      </c>
      <c r="C403" s="4">
        <v>10558.74</v>
      </c>
      <c r="D403" s="4">
        <f t="shared" si="26"/>
        <v>1774358.6154199997</v>
      </c>
      <c r="E403" s="4">
        <f t="shared" ref="E403:E466" si="29">IF(A403=A402,E402+C403,C403)</f>
        <v>1584639.2165699995</v>
      </c>
      <c r="F403">
        <f t="shared" si="27"/>
        <v>0.89307719578147804</v>
      </c>
      <c r="G403" t="str">
        <f t="shared" si="28"/>
        <v>B</v>
      </c>
    </row>
    <row r="404" spans="1:7" x14ac:dyDescent="0.3">
      <c r="A404" t="s">
        <v>729</v>
      </c>
      <c r="B404" t="s">
        <v>1237</v>
      </c>
      <c r="C404" s="4">
        <v>10189.8891</v>
      </c>
      <c r="D404" s="4">
        <f t="shared" si="26"/>
        <v>1774358.6154199997</v>
      </c>
      <c r="E404" s="4">
        <f t="shared" si="29"/>
        <v>1594829.1056699995</v>
      </c>
      <c r="F404">
        <f t="shared" si="27"/>
        <v>0.89882005351691285</v>
      </c>
      <c r="G404" t="str">
        <f t="shared" si="28"/>
        <v>B</v>
      </c>
    </row>
    <row r="405" spans="1:7" x14ac:dyDescent="0.3">
      <c r="A405" t="s">
        <v>729</v>
      </c>
      <c r="B405" t="s">
        <v>1296</v>
      </c>
      <c r="C405" s="4">
        <v>10166.535600000001</v>
      </c>
      <c r="D405" s="4">
        <f t="shared" si="26"/>
        <v>1774358.6154199997</v>
      </c>
      <c r="E405" s="4">
        <f t="shared" si="29"/>
        <v>1604995.6412699996</v>
      </c>
      <c r="F405">
        <f t="shared" si="27"/>
        <v>0.90454974959506085</v>
      </c>
      <c r="G405" t="str">
        <f t="shared" si="28"/>
        <v>B</v>
      </c>
    </row>
    <row r="406" spans="1:7" x14ac:dyDescent="0.3">
      <c r="A406" t="s">
        <v>729</v>
      </c>
      <c r="B406" t="s">
        <v>1251</v>
      </c>
      <c r="C406" s="4">
        <v>9807.7842799999999</v>
      </c>
      <c r="D406" s="4">
        <f t="shared" si="26"/>
        <v>1774358.6154199997</v>
      </c>
      <c r="E406" s="4">
        <f t="shared" si="29"/>
        <v>1614803.4255499996</v>
      </c>
      <c r="F406">
        <f t="shared" si="27"/>
        <v>0.91007725919473581</v>
      </c>
      <c r="G406" t="str">
        <f t="shared" si="28"/>
        <v>B</v>
      </c>
    </row>
    <row r="407" spans="1:7" x14ac:dyDescent="0.3">
      <c r="A407" t="s">
        <v>729</v>
      </c>
      <c r="B407" t="s">
        <v>766</v>
      </c>
      <c r="C407" s="4">
        <v>9647.3852800000004</v>
      </c>
      <c r="D407" s="4">
        <f t="shared" si="26"/>
        <v>1774358.6154199997</v>
      </c>
      <c r="E407" s="4">
        <f t="shared" si="29"/>
        <v>1624450.8108299996</v>
      </c>
      <c r="F407">
        <f t="shared" si="27"/>
        <v>0.91551437049577711</v>
      </c>
      <c r="G407" t="str">
        <f t="shared" si="28"/>
        <v>B</v>
      </c>
    </row>
    <row r="408" spans="1:7" x14ac:dyDescent="0.3">
      <c r="A408" t="s">
        <v>729</v>
      </c>
      <c r="B408" t="s">
        <v>807</v>
      </c>
      <c r="C408" s="4">
        <v>9373.460219999999</v>
      </c>
      <c r="D408" s="4">
        <f t="shared" si="26"/>
        <v>1774358.6154199997</v>
      </c>
      <c r="E408" s="4">
        <f t="shared" si="29"/>
        <v>1633824.2710499996</v>
      </c>
      <c r="F408">
        <f t="shared" si="27"/>
        <v>0.92079710203524168</v>
      </c>
      <c r="G408" t="str">
        <f t="shared" si="28"/>
        <v>B</v>
      </c>
    </row>
    <row r="409" spans="1:7" x14ac:dyDescent="0.3">
      <c r="A409" t="s">
        <v>729</v>
      </c>
      <c r="B409" t="s">
        <v>1263</v>
      </c>
      <c r="C409" s="4">
        <v>9262.0686600000008</v>
      </c>
      <c r="D409" s="4">
        <f t="shared" si="26"/>
        <v>1774358.6154199997</v>
      </c>
      <c r="E409" s="4">
        <f t="shared" si="29"/>
        <v>1643086.3397099997</v>
      </c>
      <c r="F409">
        <f t="shared" si="27"/>
        <v>0.92601705508165999</v>
      </c>
      <c r="G409" t="str">
        <f t="shared" si="28"/>
        <v>B</v>
      </c>
    </row>
    <row r="410" spans="1:7" x14ac:dyDescent="0.3">
      <c r="A410" t="s">
        <v>729</v>
      </c>
      <c r="B410" t="s">
        <v>889</v>
      </c>
      <c r="C410" s="4">
        <v>8909.6646800000017</v>
      </c>
      <c r="D410" s="4">
        <f t="shared" si="26"/>
        <v>1774358.6154199997</v>
      </c>
      <c r="E410" s="4">
        <f t="shared" si="29"/>
        <v>1651996.0043899997</v>
      </c>
      <c r="F410">
        <f t="shared" si="27"/>
        <v>0.93103839890842122</v>
      </c>
      <c r="G410" t="str">
        <f t="shared" si="28"/>
        <v>B</v>
      </c>
    </row>
    <row r="411" spans="1:7" x14ac:dyDescent="0.3">
      <c r="A411" t="s">
        <v>729</v>
      </c>
      <c r="B411" t="s">
        <v>1065</v>
      </c>
      <c r="C411" s="4">
        <v>8764.4065599999994</v>
      </c>
      <c r="D411" s="4">
        <f t="shared" si="26"/>
        <v>1774358.6154199997</v>
      </c>
      <c r="E411" s="4">
        <f t="shared" si="29"/>
        <v>1660760.4109499997</v>
      </c>
      <c r="F411">
        <f t="shared" si="27"/>
        <v>0.9359778775931884</v>
      </c>
      <c r="G411" t="str">
        <f t="shared" si="28"/>
        <v>B</v>
      </c>
    </row>
    <row r="412" spans="1:7" x14ac:dyDescent="0.3">
      <c r="A412" t="s">
        <v>729</v>
      </c>
      <c r="B412" t="s">
        <v>1236</v>
      </c>
      <c r="C412" s="4">
        <v>8637.1874499999994</v>
      </c>
      <c r="D412" s="4">
        <f t="shared" si="26"/>
        <v>1774358.6154199997</v>
      </c>
      <c r="E412" s="4">
        <f t="shared" si="29"/>
        <v>1669397.5983999998</v>
      </c>
      <c r="F412">
        <f t="shared" si="27"/>
        <v>0.94084565763209305</v>
      </c>
      <c r="G412" t="str">
        <f t="shared" si="28"/>
        <v>B</v>
      </c>
    </row>
    <row r="413" spans="1:7" x14ac:dyDescent="0.3">
      <c r="A413" t="s">
        <v>729</v>
      </c>
      <c r="B413" t="s">
        <v>932</v>
      </c>
      <c r="C413" s="4">
        <v>8349.2224200000001</v>
      </c>
      <c r="D413" s="4">
        <f t="shared" si="26"/>
        <v>1774358.6154199997</v>
      </c>
      <c r="E413" s="4">
        <f t="shared" si="29"/>
        <v>1677746.8208199998</v>
      </c>
      <c r="F413">
        <f t="shared" si="27"/>
        <v>0.94555114520796502</v>
      </c>
      <c r="G413" t="str">
        <f t="shared" si="28"/>
        <v>B</v>
      </c>
    </row>
    <row r="414" spans="1:7" x14ac:dyDescent="0.3">
      <c r="A414" t="s">
        <v>729</v>
      </c>
      <c r="B414" t="s">
        <v>824</v>
      </c>
      <c r="C414" s="4">
        <v>8324.8326000000015</v>
      </c>
      <c r="D414" s="4">
        <f t="shared" si="26"/>
        <v>1774358.6154199997</v>
      </c>
      <c r="E414" s="4">
        <f t="shared" si="29"/>
        <v>1686071.6534199999</v>
      </c>
      <c r="F414">
        <f t="shared" si="27"/>
        <v>0.95024288707325277</v>
      </c>
      <c r="G414" t="str">
        <f t="shared" si="28"/>
        <v>C</v>
      </c>
    </row>
    <row r="415" spans="1:7" x14ac:dyDescent="0.3">
      <c r="A415" t="s">
        <v>729</v>
      </c>
      <c r="B415" t="s">
        <v>996</v>
      </c>
      <c r="C415" s="4">
        <v>8186.057600000001</v>
      </c>
      <c r="D415" s="4">
        <f t="shared" si="26"/>
        <v>1774358.6154199997</v>
      </c>
      <c r="E415" s="4">
        <f t="shared" si="29"/>
        <v>1694257.7110199998</v>
      </c>
      <c r="F415">
        <f t="shared" si="27"/>
        <v>0.95485641757878825</v>
      </c>
      <c r="G415" t="str">
        <f t="shared" si="28"/>
        <v>C</v>
      </c>
    </row>
    <row r="416" spans="1:7" x14ac:dyDescent="0.3">
      <c r="A416" t="s">
        <v>729</v>
      </c>
      <c r="B416" t="s">
        <v>1269</v>
      </c>
      <c r="C416" s="4">
        <v>7823.4472399999995</v>
      </c>
      <c r="D416" s="4">
        <f t="shared" si="26"/>
        <v>1774358.6154199997</v>
      </c>
      <c r="E416" s="4">
        <f t="shared" si="29"/>
        <v>1702081.1582599997</v>
      </c>
      <c r="F416">
        <f t="shared" si="27"/>
        <v>0.95926558671292528</v>
      </c>
      <c r="G416" t="str">
        <f t="shared" si="28"/>
        <v>C</v>
      </c>
    </row>
    <row r="417" spans="1:7" x14ac:dyDescent="0.3">
      <c r="A417" t="s">
        <v>729</v>
      </c>
      <c r="B417" t="s">
        <v>1055</v>
      </c>
      <c r="C417" s="4">
        <v>7493.1076000000012</v>
      </c>
      <c r="D417" s="4">
        <f t="shared" si="26"/>
        <v>1774358.6154199997</v>
      </c>
      <c r="E417" s="4">
        <f t="shared" si="29"/>
        <v>1709574.2658599997</v>
      </c>
      <c r="F417">
        <f t="shared" si="27"/>
        <v>0.9634885817348342</v>
      </c>
      <c r="G417" t="str">
        <f t="shared" si="28"/>
        <v>C</v>
      </c>
    </row>
    <row r="418" spans="1:7" x14ac:dyDescent="0.3">
      <c r="A418" t="s">
        <v>729</v>
      </c>
      <c r="B418" t="s">
        <v>890</v>
      </c>
      <c r="C418" s="4">
        <v>7203.8047000000006</v>
      </c>
      <c r="D418" s="4">
        <f t="shared" si="26"/>
        <v>1774358.6154199997</v>
      </c>
      <c r="E418" s="4">
        <f t="shared" si="29"/>
        <v>1716778.0705599997</v>
      </c>
      <c r="F418">
        <f t="shared" si="27"/>
        <v>0.96754853029167931</v>
      </c>
      <c r="G418" t="str">
        <f t="shared" si="28"/>
        <v>C</v>
      </c>
    </row>
    <row r="419" spans="1:7" x14ac:dyDescent="0.3">
      <c r="A419" t="s">
        <v>729</v>
      </c>
      <c r="B419" t="s">
        <v>1112</v>
      </c>
      <c r="C419" s="4">
        <v>6576.298960000001</v>
      </c>
      <c r="D419" s="4">
        <f t="shared" si="26"/>
        <v>1774358.6154199997</v>
      </c>
      <c r="E419" s="4">
        <f t="shared" si="29"/>
        <v>1723354.3695199997</v>
      </c>
      <c r="F419">
        <f t="shared" si="27"/>
        <v>0.9712548266980815</v>
      </c>
      <c r="G419" t="str">
        <f t="shared" si="28"/>
        <v>C</v>
      </c>
    </row>
    <row r="420" spans="1:7" x14ac:dyDescent="0.3">
      <c r="A420" t="s">
        <v>729</v>
      </c>
      <c r="B420" t="s">
        <v>1169</v>
      </c>
      <c r="C420" s="4">
        <v>5546.4642200000008</v>
      </c>
      <c r="D420" s="4">
        <f t="shared" si="26"/>
        <v>1774358.6154199997</v>
      </c>
      <c r="E420" s="4">
        <f t="shared" si="29"/>
        <v>1728900.8337399997</v>
      </c>
      <c r="F420">
        <f t="shared" si="27"/>
        <v>0.97438072479545523</v>
      </c>
      <c r="G420" t="str">
        <f t="shared" si="28"/>
        <v>C</v>
      </c>
    </row>
    <row r="421" spans="1:7" x14ac:dyDescent="0.3">
      <c r="A421" t="s">
        <v>729</v>
      </c>
      <c r="B421" t="s">
        <v>832</v>
      </c>
      <c r="C421" s="4">
        <v>5328.4890400000004</v>
      </c>
      <c r="D421" s="4">
        <f t="shared" si="26"/>
        <v>1774358.6154199997</v>
      </c>
      <c r="E421" s="4">
        <f t="shared" si="29"/>
        <v>1734229.3227799996</v>
      </c>
      <c r="F421">
        <f t="shared" si="27"/>
        <v>0.97738377558445177</v>
      </c>
      <c r="G421" t="str">
        <f t="shared" si="28"/>
        <v>C</v>
      </c>
    </row>
    <row r="422" spans="1:7" x14ac:dyDescent="0.3">
      <c r="A422" t="s">
        <v>729</v>
      </c>
      <c r="B422" t="s">
        <v>1311</v>
      </c>
      <c r="C422" s="4">
        <v>4280.6786400000001</v>
      </c>
      <c r="D422" s="4">
        <f t="shared" si="26"/>
        <v>1774358.6154199997</v>
      </c>
      <c r="E422" s="4">
        <f t="shared" si="29"/>
        <v>1738510.0014199996</v>
      </c>
      <c r="F422">
        <f t="shared" si="27"/>
        <v>0.97979629727133011</v>
      </c>
      <c r="G422" t="str">
        <f t="shared" si="28"/>
        <v>C</v>
      </c>
    </row>
    <row r="423" spans="1:7" x14ac:dyDescent="0.3">
      <c r="A423" t="s">
        <v>729</v>
      </c>
      <c r="B423" t="s">
        <v>928</v>
      </c>
      <c r="C423" s="4">
        <v>3928.3797600000003</v>
      </c>
      <c r="D423" s="4">
        <f t="shared" si="26"/>
        <v>1774358.6154199997</v>
      </c>
      <c r="E423" s="4">
        <f t="shared" si="29"/>
        <v>1742438.3811799996</v>
      </c>
      <c r="F423">
        <f t="shared" si="27"/>
        <v>0.98201026897122234</v>
      </c>
      <c r="G423" t="str">
        <f t="shared" si="28"/>
        <v>C</v>
      </c>
    </row>
    <row r="424" spans="1:7" x14ac:dyDescent="0.3">
      <c r="A424" t="s">
        <v>729</v>
      </c>
      <c r="B424" t="s">
        <v>1041</v>
      </c>
      <c r="C424" s="4">
        <v>3644.3212800000006</v>
      </c>
      <c r="D424" s="4">
        <f t="shared" si="26"/>
        <v>1774358.6154199997</v>
      </c>
      <c r="E424" s="4">
        <f t="shared" si="29"/>
        <v>1746082.7024599996</v>
      </c>
      <c r="F424">
        <f t="shared" si="27"/>
        <v>0.98406414987687985</v>
      </c>
      <c r="G424" t="str">
        <f t="shared" si="28"/>
        <v>C</v>
      </c>
    </row>
    <row r="425" spans="1:7" x14ac:dyDescent="0.3">
      <c r="A425" t="s">
        <v>729</v>
      </c>
      <c r="B425" t="s">
        <v>982</v>
      </c>
      <c r="C425" s="4">
        <v>3592.04</v>
      </c>
      <c r="D425" s="4">
        <f t="shared" si="26"/>
        <v>1774358.6154199997</v>
      </c>
      <c r="E425" s="4">
        <f t="shared" si="29"/>
        <v>1749674.7424599996</v>
      </c>
      <c r="F425">
        <f t="shared" si="27"/>
        <v>0.98608856589333982</v>
      </c>
      <c r="G425" t="str">
        <f t="shared" si="28"/>
        <v>C</v>
      </c>
    </row>
    <row r="426" spans="1:7" x14ac:dyDescent="0.3">
      <c r="A426" t="s">
        <v>729</v>
      </c>
      <c r="B426" t="s">
        <v>1272</v>
      </c>
      <c r="C426" s="4">
        <v>3340.6370000000002</v>
      </c>
      <c r="D426" s="4">
        <f t="shared" si="26"/>
        <v>1774358.6154199997</v>
      </c>
      <c r="E426" s="4">
        <f t="shared" si="29"/>
        <v>1753015.3794599997</v>
      </c>
      <c r="F426">
        <f t="shared" si="27"/>
        <v>0.98797129521928806</v>
      </c>
      <c r="G426" t="str">
        <f t="shared" si="28"/>
        <v>C</v>
      </c>
    </row>
    <row r="427" spans="1:7" x14ac:dyDescent="0.3">
      <c r="A427" t="s">
        <v>729</v>
      </c>
      <c r="B427" t="s">
        <v>1078</v>
      </c>
      <c r="C427" s="4">
        <v>3175.1547799999998</v>
      </c>
      <c r="D427" s="4">
        <f t="shared" si="26"/>
        <v>1774358.6154199997</v>
      </c>
      <c r="E427" s="4">
        <f t="shared" si="29"/>
        <v>1756190.5342399997</v>
      </c>
      <c r="F427">
        <f t="shared" si="27"/>
        <v>0.98976076142550273</v>
      </c>
      <c r="G427" t="str">
        <f t="shared" si="28"/>
        <v>C</v>
      </c>
    </row>
    <row r="428" spans="1:7" x14ac:dyDescent="0.3">
      <c r="A428" t="s">
        <v>729</v>
      </c>
      <c r="B428" t="s">
        <v>1172</v>
      </c>
      <c r="C428" s="4">
        <v>2795.6384399999997</v>
      </c>
      <c r="D428" s="4">
        <f t="shared" si="26"/>
        <v>1774358.6154199997</v>
      </c>
      <c r="E428" s="4">
        <f t="shared" si="29"/>
        <v>1758986.1726799996</v>
      </c>
      <c r="F428">
        <f t="shared" si="27"/>
        <v>0.99133633832168622</v>
      </c>
      <c r="G428" t="str">
        <f t="shared" si="28"/>
        <v>C</v>
      </c>
    </row>
    <row r="429" spans="1:7" x14ac:dyDescent="0.3">
      <c r="A429" t="s">
        <v>729</v>
      </c>
      <c r="B429" t="s">
        <v>991</v>
      </c>
      <c r="C429" s="4">
        <v>2394.1605599999998</v>
      </c>
      <c r="D429" s="4">
        <f t="shared" si="26"/>
        <v>1774358.6154199997</v>
      </c>
      <c r="E429" s="4">
        <f t="shared" si="29"/>
        <v>1761380.3332399996</v>
      </c>
      <c r="F429">
        <f t="shared" si="27"/>
        <v>0.99268564873683773</v>
      </c>
      <c r="G429" t="str">
        <f t="shared" si="28"/>
        <v>C</v>
      </c>
    </row>
    <row r="430" spans="1:7" x14ac:dyDescent="0.3">
      <c r="A430" t="s">
        <v>729</v>
      </c>
      <c r="B430" t="s">
        <v>1353</v>
      </c>
      <c r="C430" s="4">
        <v>2355.2113199999999</v>
      </c>
      <c r="D430" s="4">
        <f t="shared" si="26"/>
        <v>1774358.6154199997</v>
      </c>
      <c r="E430" s="4">
        <f t="shared" si="29"/>
        <v>1763735.5445599996</v>
      </c>
      <c r="F430">
        <f t="shared" si="27"/>
        <v>0.99401300798627701</v>
      </c>
      <c r="G430" t="str">
        <f t="shared" si="28"/>
        <v>C</v>
      </c>
    </row>
    <row r="431" spans="1:7" x14ac:dyDescent="0.3">
      <c r="A431" t="s">
        <v>729</v>
      </c>
      <c r="B431" t="s">
        <v>1167</v>
      </c>
      <c r="C431" s="4">
        <v>1950.0031200000001</v>
      </c>
      <c r="D431" s="4">
        <f t="shared" si="26"/>
        <v>1774358.6154199997</v>
      </c>
      <c r="E431" s="4">
        <f t="shared" si="29"/>
        <v>1765685.5476799996</v>
      </c>
      <c r="F431">
        <f t="shared" si="27"/>
        <v>0.99511199840628206</v>
      </c>
      <c r="G431" t="str">
        <f t="shared" si="28"/>
        <v>C</v>
      </c>
    </row>
    <row r="432" spans="1:7" x14ac:dyDescent="0.3">
      <c r="A432" t="s">
        <v>729</v>
      </c>
      <c r="B432" t="s">
        <v>1196</v>
      </c>
      <c r="C432" s="4">
        <v>1886.9915999999998</v>
      </c>
      <c r="D432" s="4">
        <f t="shared" si="26"/>
        <v>1774358.6154199997</v>
      </c>
      <c r="E432" s="4">
        <f t="shared" si="29"/>
        <v>1767572.5392799997</v>
      </c>
      <c r="F432">
        <f t="shared" si="27"/>
        <v>0.99617547654627092</v>
      </c>
      <c r="G432" t="str">
        <f t="shared" si="28"/>
        <v>C</v>
      </c>
    </row>
    <row r="433" spans="1:7" x14ac:dyDescent="0.3">
      <c r="A433" t="s">
        <v>729</v>
      </c>
      <c r="B433" t="s">
        <v>842</v>
      </c>
      <c r="C433" s="4">
        <v>1660.3999999999999</v>
      </c>
      <c r="D433" s="4">
        <f t="shared" si="26"/>
        <v>1774358.6154199997</v>
      </c>
      <c r="E433" s="4">
        <f t="shared" si="29"/>
        <v>1769232.9392799996</v>
      </c>
      <c r="F433">
        <f t="shared" si="27"/>
        <v>0.99711125130204481</v>
      </c>
      <c r="G433" t="str">
        <f t="shared" si="28"/>
        <v>C</v>
      </c>
    </row>
    <row r="434" spans="1:7" x14ac:dyDescent="0.3">
      <c r="A434" t="s">
        <v>729</v>
      </c>
      <c r="B434" t="s">
        <v>848</v>
      </c>
      <c r="C434" s="4">
        <v>1499.22</v>
      </c>
      <c r="D434" s="4">
        <f t="shared" si="26"/>
        <v>1774358.6154199997</v>
      </c>
      <c r="E434" s="4">
        <f t="shared" si="29"/>
        <v>1770732.1592799996</v>
      </c>
      <c r="F434">
        <f t="shared" si="27"/>
        <v>0.99795618760013649</v>
      </c>
      <c r="G434" t="str">
        <f t="shared" si="28"/>
        <v>C</v>
      </c>
    </row>
    <row r="435" spans="1:7" x14ac:dyDescent="0.3">
      <c r="A435" t="s">
        <v>729</v>
      </c>
      <c r="B435" t="s">
        <v>1075</v>
      </c>
      <c r="C435" s="4">
        <v>1115.1975999999997</v>
      </c>
      <c r="D435" s="4">
        <f t="shared" si="26"/>
        <v>1774358.6154199997</v>
      </c>
      <c r="E435" s="4">
        <f t="shared" si="29"/>
        <v>1771847.3568799996</v>
      </c>
      <c r="F435">
        <f t="shared" si="27"/>
        <v>0.99858469504519776</v>
      </c>
      <c r="G435" t="str">
        <f t="shared" si="28"/>
        <v>C</v>
      </c>
    </row>
    <row r="436" spans="1:7" x14ac:dyDescent="0.3">
      <c r="A436" t="s">
        <v>729</v>
      </c>
      <c r="B436" t="s">
        <v>1334</v>
      </c>
      <c r="C436" s="4">
        <v>1062.5902000000001</v>
      </c>
      <c r="D436" s="4">
        <f t="shared" si="26"/>
        <v>1774358.6154199997</v>
      </c>
      <c r="E436" s="4">
        <f t="shared" si="29"/>
        <v>1772909.9470799996</v>
      </c>
      <c r="F436">
        <f t="shared" si="27"/>
        <v>0.99918355380507051</v>
      </c>
      <c r="G436" t="str">
        <f t="shared" si="28"/>
        <v>C</v>
      </c>
    </row>
    <row r="437" spans="1:7" x14ac:dyDescent="0.3">
      <c r="A437" t="s">
        <v>729</v>
      </c>
      <c r="B437" t="s">
        <v>1045</v>
      </c>
      <c r="C437" s="4">
        <v>879.05840000000001</v>
      </c>
      <c r="D437" s="4">
        <f t="shared" si="26"/>
        <v>1774358.6154199997</v>
      </c>
      <c r="E437" s="4">
        <f t="shared" si="29"/>
        <v>1773789.0054799996</v>
      </c>
      <c r="F437">
        <f t="shared" si="27"/>
        <v>0.99967897699199593</v>
      </c>
      <c r="G437" t="str">
        <f t="shared" si="28"/>
        <v>C</v>
      </c>
    </row>
    <row r="438" spans="1:7" x14ac:dyDescent="0.3">
      <c r="A438" t="s">
        <v>729</v>
      </c>
      <c r="B438" t="s">
        <v>736</v>
      </c>
      <c r="C438" s="4">
        <v>319.72248000000002</v>
      </c>
      <c r="D438" s="4">
        <f t="shared" si="26"/>
        <v>1774358.6154199997</v>
      </c>
      <c r="E438" s="4">
        <f t="shared" si="29"/>
        <v>1774108.7279599996</v>
      </c>
      <c r="F438">
        <f t="shared" si="27"/>
        <v>0.99985916744347592</v>
      </c>
      <c r="G438" t="str">
        <f t="shared" si="28"/>
        <v>C</v>
      </c>
    </row>
    <row r="439" spans="1:7" x14ac:dyDescent="0.3">
      <c r="A439" t="s">
        <v>729</v>
      </c>
      <c r="B439" t="s">
        <v>788</v>
      </c>
      <c r="C439" s="4">
        <v>215.19839999999996</v>
      </c>
      <c r="D439" s="4">
        <f t="shared" si="26"/>
        <v>1774358.6154199997</v>
      </c>
      <c r="E439" s="4">
        <f t="shared" si="29"/>
        <v>1774323.9263599997</v>
      </c>
      <c r="F439">
        <f t="shared" si="27"/>
        <v>0.99998044980327061</v>
      </c>
      <c r="G439" t="str">
        <f t="shared" si="28"/>
        <v>C</v>
      </c>
    </row>
    <row r="440" spans="1:7" x14ac:dyDescent="0.3">
      <c r="A440" t="s">
        <v>729</v>
      </c>
      <c r="B440" t="s">
        <v>846</v>
      </c>
      <c r="C440" s="4">
        <v>34.689059999999998</v>
      </c>
      <c r="D440" s="4">
        <f t="shared" si="26"/>
        <v>1774358.6154199997</v>
      </c>
      <c r="E440" s="4">
        <f t="shared" si="29"/>
        <v>1774358.6154199997</v>
      </c>
      <c r="F440">
        <f t="shared" si="27"/>
        <v>1</v>
      </c>
      <c r="G440" t="str">
        <f t="shared" si="28"/>
        <v>C</v>
      </c>
    </row>
    <row r="441" spans="1:7" x14ac:dyDescent="0.3">
      <c r="A441" t="s">
        <v>730</v>
      </c>
      <c r="B441" t="s">
        <v>1320</v>
      </c>
      <c r="C441" s="4">
        <v>68665.574250000005</v>
      </c>
      <c r="D441" s="4">
        <f t="shared" si="26"/>
        <v>1398841.4533000002</v>
      </c>
      <c r="E441" s="4">
        <f t="shared" si="29"/>
        <v>68665.574250000005</v>
      </c>
      <c r="F441">
        <f t="shared" si="27"/>
        <v>4.9087460260783221E-2</v>
      </c>
      <c r="G441" t="str">
        <f t="shared" si="28"/>
        <v>A</v>
      </c>
    </row>
    <row r="442" spans="1:7" x14ac:dyDescent="0.3">
      <c r="A442" t="s">
        <v>730</v>
      </c>
      <c r="B442" t="s">
        <v>834</v>
      </c>
      <c r="C442" s="4">
        <v>52780.07</v>
      </c>
      <c r="D442" s="4">
        <f t="shared" si="26"/>
        <v>1398841.4533000002</v>
      </c>
      <c r="E442" s="4">
        <f t="shared" si="29"/>
        <v>121445.64425000001</v>
      </c>
      <c r="F442">
        <f t="shared" si="27"/>
        <v>8.6818734148532833E-2</v>
      </c>
      <c r="G442" t="str">
        <f t="shared" si="28"/>
        <v>A</v>
      </c>
    </row>
    <row r="443" spans="1:7" x14ac:dyDescent="0.3">
      <c r="A443" t="s">
        <v>730</v>
      </c>
      <c r="B443" t="s">
        <v>883</v>
      </c>
      <c r="C443" s="4">
        <v>42495.805439999996</v>
      </c>
      <c r="D443" s="4">
        <f t="shared" si="26"/>
        <v>1398841.4533000002</v>
      </c>
      <c r="E443" s="4">
        <f t="shared" si="29"/>
        <v>163941.44969000001</v>
      </c>
      <c r="F443">
        <f t="shared" si="27"/>
        <v>0.11719802076443082</v>
      </c>
      <c r="G443" t="str">
        <f t="shared" si="28"/>
        <v>A</v>
      </c>
    </row>
    <row r="444" spans="1:7" x14ac:dyDescent="0.3">
      <c r="A444" t="s">
        <v>730</v>
      </c>
      <c r="B444" t="s">
        <v>915</v>
      </c>
      <c r="C444" s="4">
        <v>41352.246200000009</v>
      </c>
      <c r="D444" s="4">
        <f t="shared" si="26"/>
        <v>1398841.4533000002</v>
      </c>
      <c r="E444" s="4">
        <f t="shared" si="29"/>
        <v>205293.69589000003</v>
      </c>
      <c r="F444">
        <f t="shared" si="27"/>
        <v>0.14675980283948023</v>
      </c>
      <c r="G444" t="str">
        <f t="shared" si="28"/>
        <v>A</v>
      </c>
    </row>
    <row r="445" spans="1:7" x14ac:dyDescent="0.3">
      <c r="A445" t="s">
        <v>730</v>
      </c>
      <c r="B445" t="s">
        <v>1162</v>
      </c>
      <c r="C445" s="4">
        <v>41138.261999999995</v>
      </c>
      <c r="D445" s="4">
        <f t="shared" si="26"/>
        <v>1398841.4533000002</v>
      </c>
      <c r="E445" s="4">
        <f t="shared" si="29"/>
        <v>246431.95789000002</v>
      </c>
      <c r="F445">
        <f t="shared" si="27"/>
        <v>0.1761686124675842</v>
      </c>
      <c r="G445" t="str">
        <f t="shared" si="28"/>
        <v>A</v>
      </c>
    </row>
    <row r="446" spans="1:7" x14ac:dyDescent="0.3">
      <c r="A446" t="s">
        <v>730</v>
      </c>
      <c r="B446" t="s">
        <v>1109</v>
      </c>
      <c r="C446" s="4">
        <v>38422.022320000004</v>
      </c>
      <c r="D446" s="4">
        <f t="shared" si="26"/>
        <v>1398841.4533000002</v>
      </c>
      <c r="E446" s="4">
        <f t="shared" si="29"/>
        <v>284853.98021000001</v>
      </c>
      <c r="F446">
        <f t="shared" si="27"/>
        <v>0.20363564400954973</v>
      </c>
      <c r="G446" t="str">
        <f t="shared" si="28"/>
        <v>A</v>
      </c>
    </row>
    <row r="447" spans="1:7" x14ac:dyDescent="0.3">
      <c r="A447" t="s">
        <v>730</v>
      </c>
      <c r="B447" t="s">
        <v>970</v>
      </c>
      <c r="C447" s="4">
        <v>37038.581760000001</v>
      </c>
      <c r="D447" s="4">
        <f t="shared" si="26"/>
        <v>1398841.4533000002</v>
      </c>
      <c r="E447" s="4">
        <f t="shared" si="29"/>
        <v>321892.56197000004</v>
      </c>
      <c r="F447">
        <f t="shared" si="27"/>
        <v>0.23011368530052126</v>
      </c>
      <c r="G447" t="str">
        <f t="shared" si="28"/>
        <v>A</v>
      </c>
    </row>
    <row r="448" spans="1:7" x14ac:dyDescent="0.3">
      <c r="A448" t="s">
        <v>730</v>
      </c>
      <c r="B448" t="s">
        <v>751</v>
      </c>
      <c r="C448" s="4">
        <v>35367.211040000002</v>
      </c>
      <c r="D448" s="4">
        <f t="shared" si="26"/>
        <v>1398841.4533000002</v>
      </c>
      <c r="E448" s="4">
        <f t="shared" si="29"/>
        <v>357259.77301000006</v>
      </c>
      <c r="F448">
        <f t="shared" si="27"/>
        <v>0.25539690160538941</v>
      </c>
      <c r="G448" t="str">
        <f t="shared" si="28"/>
        <v>A</v>
      </c>
    </row>
    <row r="449" spans="1:7" x14ac:dyDescent="0.3">
      <c r="A449" t="s">
        <v>730</v>
      </c>
      <c r="B449" t="s">
        <v>1012</v>
      </c>
      <c r="C449" s="4">
        <v>34840.344000000005</v>
      </c>
      <c r="D449" s="4">
        <f t="shared" si="26"/>
        <v>1398841.4533000002</v>
      </c>
      <c r="E449" s="4">
        <f t="shared" si="29"/>
        <v>392100.11701000005</v>
      </c>
      <c r="F449">
        <f t="shared" si="27"/>
        <v>0.28030347262371913</v>
      </c>
      <c r="G449" t="str">
        <f t="shared" si="28"/>
        <v>A</v>
      </c>
    </row>
    <row r="450" spans="1:7" x14ac:dyDescent="0.3">
      <c r="A450" t="s">
        <v>730</v>
      </c>
      <c r="B450" t="s">
        <v>1239</v>
      </c>
      <c r="C450" s="4">
        <v>34800.431400000001</v>
      </c>
      <c r="D450" s="4">
        <f t="shared" ref="D450:D513" si="30">SUMIF($A:$A,A450,$C:$C)</f>
        <v>1398841.4533000002</v>
      </c>
      <c r="E450" s="4">
        <f t="shared" si="29"/>
        <v>426900.54841000005</v>
      </c>
      <c r="F450">
        <f t="shared" ref="F450:F513" si="31">E450/D450</f>
        <v>0.3051815110303609</v>
      </c>
      <c r="G450" t="str">
        <f t="shared" ref="G450:G513" si="32">IF(F450&lt;=0.8,"A",IF(F450&lt;=0.95,"B","C"))</f>
        <v>A</v>
      </c>
    </row>
    <row r="451" spans="1:7" x14ac:dyDescent="0.3">
      <c r="A451" t="s">
        <v>730</v>
      </c>
      <c r="B451" t="s">
        <v>1287</v>
      </c>
      <c r="C451" s="4">
        <v>33551.927499999998</v>
      </c>
      <c r="D451" s="4">
        <f t="shared" si="30"/>
        <v>1398841.4533000002</v>
      </c>
      <c r="E451" s="4">
        <f t="shared" si="29"/>
        <v>460452.47591000004</v>
      </c>
      <c r="F451">
        <f t="shared" si="31"/>
        <v>0.3291670223410586</v>
      </c>
      <c r="G451" t="str">
        <f t="shared" si="32"/>
        <v>A</v>
      </c>
    </row>
    <row r="452" spans="1:7" x14ac:dyDescent="0.3">
      <c r="A452" t="s">
        <v>730</v>
      </c>
      <c r="B452" t="s">
        <v>1294</v>
      </c>
      <c r="C452" s="4">
        <v>33071.3145</v>
      </c>
      <c r="D452" s="4">
        <f t="shared" si="30"/>
        <v>1398841.4533000002</v>
      </c>
      <c r="E452" s="4">
        <f t="shared" si="29"/>
        <v>493523.79041000002</v>
      </c>
      <c r="F452">
        <f t="shared" si="31"/>
        <v>0.35280895432840542</v>
      </c>
      <c r="G452" t="str">
        <f t="shared" si="32"/>
        <v>A</v>
      </c>
    </row>
    <row r="453" spans="1:7" x14ac:dyDescent="0.3">
      <c r="A453" t="s">
        <v>730</v>
      </c>
      <c r="B453" t="s">
        <v>1360</v>
      </c>
      <c r="C453" s="4">
        <v>33017.42</v>
      </c>
      <c r="D453" s="4">
        <f t="shared" si="30"/>
        <v>1398841.4533000002</v>
      </c>
      <c r="E453" s="4">
        <f t="shared" si="29"/>
        <v>526541.21041000006</v>
      </c>
      <c r="F453">
        <f t="shared" si="31"/>
        <v>0.37641235836115611</v>
      </c>
      <c r="G453" t="str">
        <f t="shared" si="32"/>
        <v>A</v>
      </c>
    </row>
    <row r="454" spans="1:7" x14ac:dyDescent="0.3">
      <c r="A454" t="s">
        <v>730</v>
      </c>
      <c r="B454" t="s">
        <v>1108</v>
      </c>
      <c r="C454" s="4">
        <v>31005.24768</v>
      </c>
      <c r="D454" s="4">
        <f t="shared" si="30"/>
        <v>1398841.4533000002</v>
      </c>
      <c r="E454" s="4">
        <f t="shared" si="29"/>
        <v>557546.45809000009</v>
      </c>
      <c r="F454">
        <f t="shared" si="31"/>
        <v>0.39857730608046743</v>
      </c>
      <c r="G454" t="str">
        <f t="shared" si="32"/>
        <v>A</v>
      </c>
    </row>
    <row r="455" spans="1:7" x14ac:dyDescent="0.3">
      <c r="A455" t="s">
        <v>730</v>
      </c>
      <c r="B455" t="s">
        <v>1156</v>
      </c>
      <c r="C455" s="4">
        <v>29627.320319999999</v>
      </c>
      <c r="D455" s="4">
        <f t="shared" si="30"/>
        <v>1398841.4533000002</v>
      </c>
      <c r="E455" s="4">
        <f t="shared" si="29"/>
        <v>587173.77841000003</v>
      </c>
      <c r="F455">
        <f t="shared" si="31"/>
        <v>0.41975720481031009</v>
      </c>
      <c r="G455" t="str">
        <f t="shared" si="32"/>
        <v>A</v>
      </c>
    </row>
    <row r="456" spans="1:7" x14ac:dyDescent="0.3">
      <c r="A456" t="s">
        <v>730</v>
      </c>
      <c r="B456" t="s">
        <v>893</v>
      </c>
      <c r="C456" s="4">
        <v>29263.754519999995</v>
      </c>
      <c r="D456" s="4">
        <f t="shared" si="30"/>
        <v>1398841.4533000002</v>
      </c>
      <c r="E456" s="4">
        <f t="shared" si="29"/>
        <v>616437.53292999999</v>
      </c>
      <c r="F456">
        <f t="shared" si="31"/>
        <v>0.44067719860300475</v>
      </c>
      <c r="G456" t="str">
        <f t="shared" si="32"/>
        <v>A</v>
      </c>
    </row>
    <row r="457" spans="1:7" x14ac:dyDescent="0.3">
      <c r="A457" t="s">
        <v>730</v>
      </c>
      <c r="B457" t="s">
        <v>1339</v>
      </c>
      <c r="C457" s="4">
        <v>29175.036029999999</v>
      </c>
      <c r="D457" s="4">
        <f t="shared" si="30"/>
        <v>1398841.4533000002</v>
      </c>
      <c r="E457" s="4">
        <f t="shared" si="29"/>
        <v>645612.56895999995</v>
      </c>
      <c r="F457">
        <f t="shared" si="31"/>
        <v>0.46153376956118825</v>
      </c>
      <c r="G457" t="str">
        <f t="shared" si="32"/>
        <v>A</v>
      </c>
    </row>
    <row r="458" spans="1:7" x14ac:dyDescent="0.3">
      <c r="A458" t="s">
        <v>730</v>
      </c>
      <c r="B458" t="s">
        <v>1070</v>
      </c>
      <c r="C458" s="4">
        <v>28247.74656</v>
      </c>
      <c r="D458" s="4">
        <f t="shared" si="30"/>
        <v>1398841.4533000002</v>
      </c>
      <c r="E458" s="4">
        <f t="shared" si="29"/>
        <v>673860.31551999995</v>
      </c>
      <c r="F458">
        <f t="shared" si="31"/>
        <v>0.48172744232757708</v>
      </c>
      <c r="G458" t="str">
        <f t="shared" si="32"/>
        <v>A</v>
      </c>
    </row>
    <row r="459" spans="1:7" x14ac:dyDescent="0.3">
      <c r="A459" t="s">
        <v>730</v>
      </c>
      <c r="B459" t="s">
        <v>1168</v>
      </c>
      <c r="C459" s="4">
        <v>27249</v>
      </c>
      <c r="D459" s="4">
        <f t="shared" si="30"/>
        <v>1398841.4533000002</v>
      </c>
      <c r="E459" s="4">
        <f t="shared" si="29"/>
        <v>701109.31551999995</v>
      </c>
      <c r="F459">
        <f t="shared" si="31"/>
        <v>0.50120713385067073</v>
      </c>
      <c r="G459" t="str">
        <f t="shared" si="32"/>
        <v>A</v>
      </c>
    </row>
    <row r="460" spans="1:7" x14ac:dyDescent="0.3">
      <c r="A460" t="s">
        <v>730</v>
      </c>
      <c r="B460" t="s">
        <v>765</v>
      </c>
      <c r="C460" s="4">
        <v>26150.364320000001</v>
      </c>
      <c r="D460" s="4">
        <f t="shared" si="30"/>
        <v>1398841.4533000002</v>
      </c>
      <c r="E460" s="4">
        <f t="shared" si="29"/>
        <v>727259.67984</v>
      </c>
      <c r="F460">
        <f t="shared" si="31"/>
        <v>0.51990143566615443</v>
      </c>
      <c r="G460" t="str">
        <f t="shared" si="32"/>
        <v>A</v>
      </c>
    </row>
    <row r="461" spans="1:7" x14ac:dyDescent="0.3">
      <c r="A461" t="s">
        <v>730</v>
      </c>
      <c r="B461" t="s">
        <v>936</v>
      </c>
      <c r="C461" s="4">
        <v>25299.040000000001</v>
      </c>
      <c r="D461" s="4">
        <f t="shared" si="30"/>
        <v>1398841.4533000002</v>
      </c>
      <c r="E461" s="4">
        <f t="shared" si="29"/>
        <v>752558.71984000003</v>
      </c>
      <c r="F461">
        <f t="shared" si="31"/>
        <v>0.5379871450511009</v>
      </c>
      <c r="G461" t="str">
        <f t="shared" si="32"/>
        <v>A</v>
      </c>
    </row>
    <row r="462" spans="1:7" x14ac:dyDescent="0.3">
      <c r="A462" t="s">
        <v>730</v>
      </c>
      <c r="B462" t="s">
        <v>947</v>
      </c>
      <c r="C462" s="4">
        <v>24223.05</v>
      </c>
      <c r="D462" s="4">
        <f t="shared" si="30"/>
        <v>1398841.4533000002</v>
      </c>
      <c r="E462" s="4">
        <f t="shared" si="29"/>
        <v>776781.76984000008</v>
      </c>
      <c r="F462">
        <f t="shared" si="31"/>
        <v>0.5553036536109921</v>
      </c>
      <c r="G462" t="str">
        <f t="shared" si="32"/>
        <v>A</v>
      </c>
    </row>
    <row r="463" spans="1:7" x14ac:dyDescent="0.3">
      <c r="A463" t="s">
        <v>730</v>
      </c>
      <c r="B463" t="s">
        <v>841</v>
      </c>
      <c r="C463" s="4">
        <v>23687.524440000001</v>
      </c>
      <c r="D463" s="4">
        <f t="shared" si="30"/>
        <v>1398841.4533000002</v>
      </c>
      <c r="E463" s="4">
        <f t="shared" si="29"/>
        <v>800469.29428000003</v>
      </c>
      <c r="F463">
        <f t="shared" si="31"/>
        <v>0.57223732710495301</v>
      </c>
      <c r="G463" t="str">
        <f t="shared" si="32"/>
        <v>A</v>
      </c>
    </row>
    <row r="464" spans="1:7" x14ac:dyDescent="0.3">
      <c r="A464" t="s">
        <v>730</v>
      </c>
      <c r="B464" t="s">
        <v>1317</v>
      </c>
      <c r="C464" s="4">
        <v>22676.312610000001</v>
      </c>
      <c r="D464" s="4">
        <f t="shared" si="30"/>
        <v>1398841.4533000002</v>
      </c>
      <c r="E464" s="4">
        <f t="shared" si="29"/>
        <v>823145.60689000005</v>
      </c>
      <c r="F464">
        <f t="shared" si="31"/>
        <v>0.58844810821706861</v>
      </c>
      <c r="G464" t="str">
        <f t="shared" si="32"/>
        <v>A</v>
      </c>
    </row>
    <row r="465" spans="1:7" x14ac:dyDescent="0.3">
      <c r="A465" t="s">
        <v>730</v>
      </c>
      <c r="B465" t="s">
        <v>1054</v>
      </c>
      <c r="C465" s="4">
        <v>22380.204000000002</v>
      </c>
      <c r="D465" s="4">
        <f t="shared" si="30"/>
        <v>1398841.4533000002</v>
      </c>
      <c r="E465" s="4">
        <f t="shared" si="29"/>
        <v>845525.81089000008</v>
      </c>
      <c r="F465">
        <f t="shared" si="31"/>
        <v>0.60444720800582807</v>
      </c>
      <c r="G465" t="str">
        <f t="shared" si="32"/>
        <v>A</v>
      </c>
    </row>
    <row r="466" spans="1:7" x14ac:dyDescent="0.3">
      <c r="A466" t="s">
        <v>730</v>
      </c>
      <c r="B466" t="s">
        <v>930</v>
      </c>
      <c r="C466" s="4">
        <v>21679.749799999998</v>
      </c>
      <c r="D466" s="4">
        <f t="shared" si="30"/>
        <v>1398841.4533000002</v>
      </c>
      <c r="E466" s="4">
        <f t="shared" si="29"/>
        <v>867205.56069000007</v>
      </c>
      <c r="F466">
        <f t="shared" si="31"/>
        <v>0.61994556898795039</v>
      </c>
      <c r="G466" t="str">
        <f t="shared" si="32"/>
        <v>A</v>
      </c>
    </row>
    <row r="467" spans="1:7" x14ac:dyDescent="0.3">
      <c r="A467" t="s">
        <v>730</v>
      </c>
      <c r="B467" t="s">
        <v>959</v>
      </c>
      <c r="C467" s="4">
        <v>21573.6495</v>
      </c>
      <c r="D467" s="4">
        <f t="shared" si="30"/>
        <v>1398841.4533000002</v>
      </c>
      <c r="E467" s="4">
        <f t="shared" ref="E467:E530" si="33">IF(A467=A466,E466+C467,C467)</f>
        <v>888779.21019000001</v>
      </c>
      <c r="F467">
        <f t="shared" si="31"/>
        <v>0.63536808127417532</v>
      </c>
      <c r="G467" t="str">
        <f t="shared" si="32"/>
        <v>A</v>
      </c>
    </row>
    <row r="468" spans="1:7" x14ac:dyDescent="0.3">
      <c r="A468" t="s">
        <v>730</v>
      </c>
      <c r="B468" t="s">
        <v>1140</v>
      </c>
      <c r="C468" s="4">
        <v>21541.017959999997</v>
      </c>
      <c r="D468" s="4">
        <f t="shared" si="30"/>
        <v>1398841.4533000002</v>
      </c>
      <c r="E468" s="4">
        <f t="shared" si="33"/>
        <v>910320.22814999998</v>
      </c>
      <c r="F468">
        <f t="shared" si="31"/>
        <v>0.65076726601321966</v>
      </c>
      <c r="G468" t="str">
        <f t="shared" si="32"/>
        <v>A</v>
      </c>
    </row>
    <row r="469" spans="1:7" x14ac:dyDescent="0.3">
      <c r="A469" t="s">
        <v>730</v>
      </c>
      <c r="B469" t="s">
        <v>1189</v>
      </c>
      <c r="C469" s="4">
        <v>20797.98</v>
      </c>
      <c r="D469" s="4">
        <f t="shared" si="30"/>
        <v>1398841.4533000002</v>
      </c>
      <c r="E469" s="4">
        <f t="shared" si="33"/>
        <v>931118.20814999996</v>
      </c>
      <c r="F469">
        <f t="shared" si="31"/>
        <v>0.6656352697822927</v>
      </c>
      <c r="G469" t="str">
        <f t="shared" si="32"/>
        <v>A</v>
      </c>
    </row>
    <row r="470" spans="1:7" x14ac:dyDescent="0.3">
      <c r="A470" t="s">
        <v>730</v>
      </c>
      <c r="B470" t="s">
        <v>1160</v>
      </c>
      <c r="C470" s="4">
        <v>19637.76528</v>
      </c>
      <c r="D470" s="4">
        <f t="shared" si="30"/>
        <v>1398841.4533000002</v>
      </c>
      <c r="E470" s="4">
        <f t="shared" si="33"/>
        <v>950755.97343000001</v>
      </c>
      <c r="F470">
        <f t="shared" si="31"/>
        <v>0.67967386238595962</v>
      </c>
      <c r="G470" t="str">
        <f t="shared" si="32"/>
        <v>A</v>
      </c>
    </row>
    <row r="471" spans="1:7" x14ac:dyDescent="0.3">
      <c r="A471" t="s">
        <v>730</v>
      </c>
      <c r="B471" t="s">
        <v>1100</v>
      </c>
      <c r="C471" s="4">
        <v>19547.329920000004</v>
      </c>
      <c r="D471" s="4">
        <f t="shared" si="30"/>
        <v>1398841.4533000002</v>
      </c>
      <c r="E471" s="4">
        <f t="shared" si="33"/>
        <v>970303.30335000006</v>
      </c>
      <c r="F471">
        <f t="shared" si="31"/>
        <v>0.69364780480372679</v>
      </c>
      <c r="G471" t="str">
        <f t="shared" si="32"/>
        <v>A</v>
      </c>
    </row>
    <row r="472" spans="1:7" x14ac:dyDescent="0.3">
      <c r="A472" t="s">
        <v>730</v>
      </c>
      <c r="B472" t="s">
        <v>825</v>
      </c>
      <c r="C472" s="4">
        <v>19510.808000000001</v>
      </c>
      <c r="D472" s="4">
        <f t="shared" si="30"/>
        <v>1398841.4533000002</v>
      </c>
      <c r="E472" s="4">
        <f t="shared" si="33"/>
        <v>989814.11135000002</v>
      </c>
      <c r="F472">
        <f t="shared" si="31"/>
        <v>0.70759563852996654</v>
      </c>
      <c r="G472" t="str">
        <f t="shared" si="32"/>
        <v>A</v>
      </c>
    </row>
    <row r="473" spans="1:7" x14ac:dyDescent="0.3">
      <c r="A473" t="s">
        <v>730</v>
      </c>
      <c r="B473" t="s">
        <v>1207</v>
      </c>
      <c r="C473" s="4">
        <v>19233.355499999998</v>
      </c>
      <c r="D473" s="4">
        <f t="shared" si="30"/>
        <v>1398841.4533000002</v>
      </c>
      <c r="E473" s="4">
        <f t="shared" si="33"/>
        <v>1009047.46685</v>
      </c>
      <c r="F473">
        <f t="shared" si="31"/>
        <v>0.72134512776237858</v>
      </c>
      <c r="G473" t="str">
        <f t="shared" si="32"/>
        <v>A</v>
      </c>
    </row>
    <row r="474" spans="1:7" x14ac:dyDescent="0.3">
      <c r="A474" t="s">
        <v>730</v>
      </c>
      <c r="B474" t="s">
        <v>1105</v>
      </c>
      <c r="C474" s="4">
        <v>16873.45</v>
      </c>
      <c r="D474" s="4">
        <f t="shared" si="30"/>
        <v>1398841.4533000002</v>
      </c>
      <c r="E474" s="4">
        <f t="shared" si="33"/>
        <v>1025920.9168499999</v>
      </c>
      <c r="F474">
        <f t="shared" si="31"/>
        <v>0.73340757412482649</v>
      </c>
      <c r="G474" t="str">
        <f t="shared" si="32"/>
        <v>A</v>
      </c>
    </row>
    <row r="475" spans="1:7" x14ac:dyDescent="0.3">
      <c r="A475" t="s">
        <v>730</v>
      </c>
      <c r="B475" t="s">
        <v>1146</v>
      </c>
      <c r="C475" s="4">
        <v>16134.22069</v>
      </c>
      <c r="D475" s="4">
        <f t="shared" si="30"/>
        <v>1398841.4533000002</v>
      </c>
      <c r="E475" s="4">
        <f t="shared" si="33"/>
        <v>1042055.1375399999</v>
      </c>
      <c r="F475">
        <f t="shared" si="31"/>
        <v>0.74494156223472829</v>
      </c>
      <c r="G475" t="str">
        <f t="shared" si="32"/>
        <v>A</v>
      </c>
    </row>
    <row r="476" spans="1:7" x14ac:dyDescent="0.3">
      <c r="A476" t="s">
        <v>730</v>
      </c>
      <c r="B476" t="s">
        <v>856</v>
      </c>
      <c r="C476" s="4">
        <v>16061.972879999999</v>
      </c>
      <c r="D476" s="4">
        <f t="shared" si="30"/>
        <v>1398841.4533000002</v>
      </c>
      <c r="E476" s="4">
        <f t="shared" si="33"/>
        <v>1058117.1104199998</v>
      </c>
      <c r="F476">
        <f t="shared" si="31"/>
        <v>0.75642390202535159</v>
      </c>
      <c r="G476" t="str">
        <f t="shared" si="32"/>
        <v>A</v>
      </c>
    </row>
    <row r="477" spans="1:7" x14ac:dyDescent="0.3">
      <c r="A477" t="s">
        <v>730</v>
      </c>
      <c r="B477" t="s">
        <v>934</v>
      </c>
      <c r="C477" s="4">
        <v>14963.769179999999</v>
      </c>
      <c r="D477" s="4">
        <f t="shared" si="30"/>
        <v>1398841.4533000002</v>
      </c>
      <c r="E477" s="4">
        <f t="shared" si="33"/>
        <v>1073080.8795999999</v>
      </c>
      <c r="F477">
        <f t="shared" si="31"/>
        <v>0.76712116092106075</v>
      </c>
      <c r="G477" t="str">
        <f t="shared" si="32"/>
        <v>A</v>
      </c>
    </row>
    <row r="478" spans="1:7" x14ac:dyDescent="0.3">
      <c r="A478" t="s">
        <v>730</v>
      </c>
      <c r="B478" t="s">
        <v>1153</v>
      </c>
      <c r="C478" s="4">
        <v>14527.748400000002</v>
      </c>
      <c r="D478" s="4">
        <f t="shared" si="30"/>
        <v>1398841.4533000002</v>
      </c>
      <c r="E478" s="4">
        <f t="shared" si="33"/>
        <v>1087608.6279999998</v>
      </c>
      <c r="F478">
        <f t="shared" si="31"/>
        <v>0.77750671845921315</v>
      </c>
      <c r="G478" t="str">
        <f t="shared" si="32"/>
        <v>A</v>
      </c>
    </row>
    <row r="479" spans="1:7" x14ac:dyDescent="0.3">
      <c r="A479" t="s">
        <v>730</v>
      </c>
      <c r="B479" t="s">
        <v>1362</v>
      </c>
      <c r="C479" s="4">
        <v>12769.38768</v>
      </c>
      <c r="D479" s="4">
        <f t="shared" si="30"/>
        <v>1398841.4533000002</v>
      </c>
      <c r="E479" s="4">
        <f t="shared" si="33"/>
        <v>1100378.0156799997</v>
      </c>
      <c r="F479">
        <f t="shared" si="31"/>
        <v>0.78663526383501381</v>
      </c>
      <c r="G479" t="str">
        <f t="shared" si="32"/>
        <v>A</v>
      </c>
    </row>
    <row r="480" spans="1:7" x14ac:dyDescent="0.3">
      <c r="A480" t="s">
        <v>730</v>
      </c>
      <c r="B480" t="s">
        <v>1174</v>
      </c>
      <c r="C480" s="4">
        <v>12668.50728</v>
      </c>
      <c r="D480" s="4">
        <f t="shared" si="30"/>
        <v>1398841.4533000002</v>
      </c>
      <c r="E480" s="4">
        <f t="shared" si="33"/>
        <v>1113046.5229599997</v>
      </c>
      <c r="F480">
        <f t="shared" si="31"/>
        <v>0.79569169210293067</v>
      </c>
      <c r="G480" t="str">
        <f t="shared" si="32"/>
        <v>A</v>
      </c>
    </row>
    <row r="481" spans="1:7" x14ac:dyDescent="0.3">
      <c r="A481" t="s">
        <v>730</v>
      </c>
      <c r="B481" t="s">
        <v>1182</v>
      </c>
      <c r="C481" s="4">
        <v>12289.2</v>
      </c>
      <c r="D481" s="4">
        <f t="shared" si="30"/>
        <v>1398841.4533000002</v>
      </c>
      <c r="E481" s="4">
        <f t="shared" si="33"/>
        <v>1125335.7229599997</v>
      </c>
      <c r="F481">
        <f t="shared" si="31"/>
        <v>0.80447696220699316</v>
      </c>
      <c r="G481" t="str">
        <f t="shared" si="32"/>
        <v>B</v>
      </c>
    </row>
    <row r="482" spans="1:7" x14ac:dyDescent="0.3">
      <c r="A482" t="s">
        <v>730</v>
      </c>
      <c r="B482" t="s">
        <v>978</v>
      </c>
      <c r="C482" s="4">
        <v>12248.675999999999</v>
      </c>
      <c r="D482" s="4">
        <f t="shared" si="30"/>
        <v>1398841.4533000002</v>
      </c>
      <c r="E482" s="4">
        <f t="shared" si="33"/>
        <v>1137584.3989599997</v>
      </c>
      <c r="F482">
        <f t="shared" si="31"/>
        <v>0.81323326262338724</v>
      </c>
      <c r="G482" t="str">
        <f t="shared" si="32"/>
        <v>B</v>
      </c>
    </row>
    <row r="483" spans="1:7" x14ac:dyDescent="0.3">
      <c r="A483" t="s">
        <v>730</v>
      </c>
      <c r="B483" t="s">
        <v>799</v>
      </c>
      <c r="C483" s="4">
        <v>12153.267360000002</v>
      </c>
      <c r="D483" s="4">
        <f t="shared" si="30"/>
        <v>1398841.4533000002</v>
      </c>
      <c r="E483" s="4">
        <f t="shared" si="33"/>
        <v>1149737.6663199996</v>
      </c>
      <c r="F483">
        <f t="shared" si="31"/>
        <v>0.8219213575689075</v>
      </c>
      <c r="G483" t="str">
        <f t="shared" si="32"/>
        <v>B</v>
      </c>
    </row>
    <row r="484" spans="1:7" x14ac:dyDescent="0.3">
      <c r="A484" t="s">
        <v>730</v>
      </c>
      <c r="B484" t="s">
        <v>1186</v>
      </c>
      <c r="C484" s="4">
        <v>11984.891250000001</v>
      </c>
      <c r="D484" s="4">
        <f t="shared" si="30"/>
        <v>1398841.4533000002</v>
      </c>
      <c r="E484" s="4">
        <f t="shared" si="33"/>
        <v>1161722.5575699997</v>
      </c>
      <c r="F484">
        <f t="shared" si="31"/>
        <v>0.83048908425567858</v>
      </c>
      <c r="G484" t="str">
        <f t="shared" si="32"/>
        <v>B</v>
      </c>
    </row>
    <row r="485" spans="1:7" x14ac:dyDescent="0.3">
      <c r="A485" t="s">
        <v>730</v>
      </c>
      <c r="B485" t="s">
        <v>1266</v>
      </c>
      <c r="C485" s="4">
        <v>11924.0978</v>
      </c>
      <c r="D485" s="4">
        <f t="shared" si="30"/>
        <v>1398841.4533000002</v>
      </c>
      <c r="E485" s="4">
        <f t="shared" si="33"/>
        <v>1173646.6553699998</v>
      </c>
      <c r="F485">
        <f t="shared" si="31"/>
        <v>0.83901335108511088</v>
      </c>
      <c r="G485" t="str">
        <f t="shared" si="32"/>
        <v>B</v>
      </c>
    </row>
    <row r="486" spans="1:7" x14ac:dyDescent="0.3">
      <c r="A486" t="s">
        <v>730</v>
      </c>
      <c r="B486" t="s">
        <v>931</v>
      </c>
      <c r="C486" s="4">
        <v>11326.846439999999</v>
      </c>
      <c r="D486" s="4">
        <f t="shared" si="30"/>
        <v>1398841.4533000002</v>
      </c>
      <c r="E486" s="4">
        <f t="shared" si="33"/>
        <v>1184973.5018099998</v>
      </c>
      <c r="F486">
        <f t="shared" si="31"/>
        <v>0.84711065647542438</v>
      </c>
      <c r="G486" t="str">
        <f t="shared" si="32"/>
        <v>B</v>
      </c>
    </row>
    <row r="487" spans="1:7" x14ac:dyDescent="0.3">
      <c r="A487" t="s">
        <v>730</v>
      </c>
      <c r="B487" t="s">
        <v>1126</v>
      </c>
      <c r="C487" s="4">
        <v>11285.764020000001</v>
      </c>
      <c r="D487" s="4">
        <f t="shared" si="30"/>
        <v>1398841.4533000002</v>
      </c>
      <c r="E487" s="4">
        <f t="shared" si="33"/>
        <v>1196259.2658299997</v>
      </c>
      <c r="F487">
        <f t="shared" si="31"/>
        <v>0.85517859297628773</v>
      </c>
      <c r="G487" t="str">
        <f t="shared" si="32"/>
        <v>B</v>
      </c>
    </row>
    <row r="488" spans="1:7" x14ac:dyDescent="0.3">
      <c r="A488" t="s">
        <v>730</v>
      </c>
      <c r="B488" t="s">
        <v>796</v>
      </c>
      <c r="C488" s="4">
        <v>10947.904</v>
      </c>
      <c r="D488" s="4">
        <f t="shared" si="30"/>
        <v>1398841.4533000002</v>
      </c>
      <c r="E488" s="4">
        <f t="shared" si="33"/>
        <v>1207207.1698299998</v>
      </c>
      <c r="F488">
        <f t="shared" si="31"/>
        <v>0.86300500101858091</v>
      </c>
      <c r="G488" t="str">
        <f t="shared" si="32"/>
        <v>B</v>
      </c>
    </row>
    <row r="489" spans="1:7" x14ac:dyDescent="0.3">
      <c r="A489" t="s">
        <v>730</v>
      </c>
      <c r="B489" t="s">
        <v>745</v>
      </c>
      <c r="C489" s="4">
        <v>10370.549999999999</v>
      </c>
      <c r="D489" s="4">
        <f t="shared" si="30"/>
        <v>1398841.4533000002</v>
      </c>
      <c r="E489" s="4">
        <f t="shared" si="33"/>
        <v>1217577.7198299998</v>
      </c>
      <c r="F489">
        <f t="shared" si="31"/>
        <v>0.87041867179273114</v>
      </c>
      <c r="G489" t="str">
        <f t="shared" si="32"/>
        <v>B</v>
      </c>
    </row>
    <row r="490" spans="1:7" x14ac:dyDescent="0.3">
      <c r="A490" t="s">
        <v>730</v>
      </c>
      <c r="B490" t="s">
        <v>1154</v>
      </c>
      <c r="C490" s="4">
        <v>9984.7160999999978</v>
      </c>
      <c r="D490" s="4">
        <f t="shared" si="30"/>
        <v>1398841.4533000002</v>
      </c>
      <c r="E490" s="4">
        <f t="shared" si="33"/>
        <v>1227562.4359299999</v>
      </c>
      <c r="F490">
        <f t="shared" si="31"/>
        <v>0.87755651867054929</v>
      </c>
      <c r="G490" t="str">
        <f t="shared" si="32"/>
        <v>B</v>
      </c>
    </row>
    <row r="491" spans="1:7" x14ac:dyDescent="0.3">
      <c r="A491" t="s">
        <v>730</v>
      </c>
      <c r="B491" t="s">
        <v>975</v>
      </c>
      <c r="C491" s="4">
        <v>9684.8756000000012</v>
      </c>
      <c r="D491" s="4">
        <f t="shared" si="30"/>
        <v>1398841.4533000002</v>
      </c>
      <c r="E491" s="4">
        <f t="shared" si="33"/>
        <v>1237247.3115299998</v>
      </c>
      <c r="F491">
        <f t="shared" si="31"/>
        <v>0.88448001638156748</v>
      </c>
      <c r="G491" t="str">
        <f t="shared" si="32"/>
        <v>B</v>
      </c>
    </row>
    <row r="492" spans="1:7" x14ac:dyDescent="0.3">
      <c r="A492" t="s">
        <v>730</v>
      </c>
      <c r="B492" t="s">
        <v>1222</v>
      </c>
      <c r="C492" s="4">
        <v>9614.4403999999995</v>
      </c>
      <c r="D492" s="4">
        <f t="shared" si="30"/>
        <v>1398841.4533000002</v>
      </c>
      <c r="E492" s="4">
        <f t="shared" si="33"/>
        <v>1246861.7519299998</v>
      </c>
      <c r="F492">
        <f t="shared" si="31"/>
        <v>0.89135316156704836</v>
      </c>
      <c r="G492" t="str">
        <f t="shared" si="32"/>
        <v>B</v>
      </c>
    </row>
    <row r="493" spans="1:7" x14ac:dyDescent="0.3">
      <c r="A493" t="s">
        <v>730</v>
      </c>
      <c r="B493" t="s">
        <v>1050</v>
      </c>
      <c r="C493" s="4">
        <v>9062.34692</v>
      </c>
      <c r="D493" s="4">
        <f t="shared" si="30"/>
        <v>1398841.4533000002</v>
      </c>
      <c r="E493" s="4">
        <f t="shared" si="33"/>
        <v>1255924.0988499997</v>
      </c>
      <c r="F493">
        <f t="shared" si="31"/>
        <v>0.89783162765669777</v>
      </c>
      <c r="G493" t="str">
        <f t="shared" si="32"/>
        <v>B</v>
      </c>
    </row>
    <row r="494" spans="1:7" x14ac:dyDescent="0.3">
      <c r="A494" t="s">
        <v>730</v>
      </c>
      <c r="B494" t="s">
        <v>1077</v>
      </c>
      <c r="C494" s="4">
        <v>8938.8996600000009</v>
      </c>
      <c r="D494" s="4">
        <f t="shared" si="30"/>
        <v>1398841.4533000002</v>
      </c>
      <c r="E494" s="4">
        <f t="shared" si="33"/>
        <v>1264862.9985099998</v>
      </c>
      <c r="F494">
        <f t="shared" si="31"/>
        <v>0.90422184410253759</v>
      </c>
      <c r="G494" t="str">
        <f t="shared" si="32"/>
        <v>B</v>
      </c>
    </row>
    <row r="495" spans="1:7" x14ac:dyDescent="0.3">
      <c r="A495" t="s">
        <v>730</v>
      </c>
      <c r="B495" t="s">
        <v>875</v>
      </c>
      <c r="C495" s="4">
        <v>8211.6342000000004</v>
      </c>
      <c r="D495" s="4">
        <f t="shared" si="30"/>
        <v>1398841.4533000002</v>
      </c>
      <c r="E495" s="4">
        <f t="shared" si="33"/>
        <v>1273074.6327099998</v>
      </c>
      <c r="F495">
        <f t="shared" si="31"/>
        <v>0.91009215498060592</v>
      </c>
      <c r="G495" t="str">
        <f t="shared" si="32"/>
        <v>B</v>
      </c>
    </row>
    <row r="496" spans="1:7" x14ac:dyDescent="0.3">
      <c r="A496" t="s">
        <v>730</v>
      </c>
      <c r="B496" t="s">
        <v>896</v>
      </c>
      <c r="C496" s="4">
        <v>8154.5511600000009</v>
      </c>
      <c r="D496" s="4">
        <f t="shared" si="30"/>
        <v>1398841.4533000002</v>
      </c>
      <c r="E496" s="4">
        <f t="shared" si="33"/>
        <v>1281229.1838699998</v>
      </c>
      <c r="F496">
        <f t="shared" si="31"/>
        <v>0.91592165848921492</v>
      </c>
      <c r="G496" t="str">
        <f t="shared" si="32"/>
        <v>B</v>
      </c>
    </row>
    <row r="497" spans="1:7" x14ac:dyDescent="0.3">
      <c r="A497" t="s">
        <v>730</v>
      </c>
      <c r="B497" t="s">
        <v>1037</v>
      </c>
      <c r="C497" s="4">
        <v>8093.4784</v>
      </c>
      <c r="D497" s="4">
        <f t="shared" si="30"/>
        <v>1398841.4533000002</v>
      </c>
      <c r="E497" s="4">
        <f t="shared" si="33"/>
        <v>1289322.6622699997</v>
      </c>
      <c r="F497">
        <f t="shared" si="31"/>
        <v>0.92170750246810662</v>
      </c>
      <c r="G497" t="str">
        <f t="shared" si="32"/>
        <v>B</v>
      </c>
    </row>
    <row r="498" spans="1:7" x14ac:dyDescent="0.3">
      <c r="A498" t="s">
        <v>730</v>
      </c>
      <c r="B498" t="s">
        <v>1234</v>
      </c>
      <c r="C498" s="4">
        <v>7428.1108999999988</v>
      </c>
      <c r="D498" s="4">
        <f t="shared" si="30"/>
        <v>1398841.4533000002</v>
      </c>
      <c r="E498" s="4">
        <f t="shared" si="33"/>
        <v>1296750.7731699997</v>
      </c>
      <c r="F498">
        <f t="shared" si="31"/>
        <v>0.92701769032569148</v>
      </c>
      <c r="G498" t="str">
        <f t="shared" si="32"/>
        <v>B</v>
      </c>
    </row>
    <row r="499" spans="1:7" x14ac:dyDescent="0.3">
      <c r="A499" t="s">
        <v>730</v>
      </c>
      <c r="B499" t="s">
        <v>1312</v>
      </c>
      <c r="C499" s="4">
        <v>7173.3342799999991</v>
      </c>
      <c r="D499" s="4">
        <f t="shared" si="30"/>
        <v>1398841.4533000002</v>
      </c>
      <c r="E499" s="4">
        <f t="shared" si="33"/>
        <v>1303924.1074499998</v>
      </c>
      <c r="F499">
        <f t="shared" si="31"/>
        <v>0.9321457441612977</v>
      </c>
      <c r="G499" t="str">
        <f t="shared" si="32"/>
        <v>B</v>
      </c>
    </row>
    <row r="500" spans="1:7" x14ac:dyDescent="0.3">
      <c r="A500" t="s">
        <v>730</v>
      </c>
      <c r="B500" t="s">
        <v>1002</v>
      </c>
      <c r="C500" s="4">
        <v>6946.8</v>
      </c>
      <c r="D500" s="4">
        <f t="shared" si="30"/>
        <v>1398841.4533000002</v>
      </c>
      <c r="E500" s="4">
        <f t="shared" si="33"/>
        <v>1310870.9074499998</v>
      </c>
      <c r="F500">
        <f t="shared" si="31"/>
        <v>0.93711185378266459</v>
      </c>
      <c r="G500" t="str">
        <f t="shared" si="32"/>
        <v>B</v>
      </c>
    </row>
    <row r="501" spans="1:7" x14ac:dyDescent="0.3">
      <c r="A501" t="s">
        <v>730</v>
      </c>
      <c r="B501" t="s">
        <v>972</v>
      </c>
      <c r="C501" s="4">
        <v>6684.1875</v>
      </c>
      <c r="D501" s="4">
        <f t="shared" si="30"/>
        <v>1398841.4533000002</v>
      </c>
      <c r="E501" s="4">
        <f t="shared" si="33"/>
        <v>1317555.0949499998</v>
      </c>
      <c r="F501">
        <f t="shared" si="31"/>
        <v>0.9418902276893224</v>
      </c>
      <c r="G501" t="str">
        <f t="shared" si="32"/>
        <v>B</v>
      </c>
    </row>
    <row r="502" spans="1:7" x14ac:dyDescent="0.3">
      <c r="A502" t="s">
        <v>730</v>
      </c>
      <c r="B502" t="s">
        <v>965</v>
      </c>
      <c r="C502" s="4">
        <v>5814.6927299999998</v>
      </c>
      <c r="D502" s="4">
        <f t="shared" si="30"/>
        <v>1398841.4533000002</v>
      </c>
      <c r="E502" s="4">
        <f t="shared" si="33"/>
        <v>1323369.7876799998</v>
      </c>
      <c r="F502">
        <f t="shared" si="31"/>
        <v>0.94604701952322368</v>
      </c>
      <c r="G502" t="str">
        <f t="shared" si="32"/>
        <v>B</v>
      </c>
    </row>
    <row r="503" spans="1:7" x14ac:dyDescent="0.3">
      <c r="A503" t="s">
        <v>730</v>
      </c>
      <c r="B503" t="s">
        <v>828</v>
      </c>
      <c r="C503" s="4">
        <v>5487.6023999999998</v>
      </c>
      <c r="D503" s="4">
        <f t="shared" si="30"/>
        <v>1398841.4533000002</v>
      </c>
      <c r="E503" s="4">
        <f t="shared" si="33"/>
        <v>1328857.3900799998</v>
      </c>
      <c r="F503">
        <f t="shared" si="31"/>
        <v>0.94996998190545379</v>
      </c>
      <c r="G503" t="str">
        <f t="shared" si="32"/>
        <v>B</v>
      </c>
    </row>
    <row r="504" spans="1:7" x14ac:dyDescent="0.3">
      <c r="A504" t="s">
        <v>730</v>
      </c>
      <c r="B504" t="s">
        <v>737</v>
      </c>
      <c r="C504" s="4">
        <v>5225.2710400000005</v>
      </c>
      <c r="D504" s="4">
        <f t="shared" si="30"/>
        <v>1398841.4533000002</v>
      </c>
      <c r="E504" s="4">
        <f t="shared" si="33"/>
        <v>1334082.6611199998</v>
      </c>
      <c r="F504">
        <f t="shared" si="31"/>
        <v>0.95370540955357863</v>
      </c>
      <c r="G504" t="str">
        <f t="shared" si="32"/>
        <v>C</v>
      </c>
    </row>
    <row r="505" spans="1:7" x14ac:dyDescent="0.3">
      <c r="A505" t="s">
        <v>730</v>
      </c>
      <c r="B505" t="s">
        <v>1246</v>
      </c>
      <c r="C505" s="4">
        <v>5189.8836000000001</v>
      </c>
      <c r="D505" s="4">
        <f t="shared" si="30"/>
        <v>1398841.4533000002</v>
      </c>
      <c r="E505" s="4">
        <f t="shared" si="33"/>
        <v>1339272.5447199999</v>
      </c>
      <c r="F505">
        <f t="shared" si="31"/>
        <v>0.95741553952417446</v>
      </c>
      <c r="G505" t="str">
        <f t="shared" si="32"/>
        <v>C</v>
      </c>
    </row>
    <row r="506" spans="1:7" x14ac:dyDescent="0.3">
      <c r="A506" t="s">
        <v>730</v>
      </c>
      <c r="B506" t="s">
        <v>1219</v>
      </c>
      <c r="C506" s="4">
        <v>5159.7893599999998</v>
      </c>
      <c r="D506" s="4">
        <f t="shared" si="30"/>
        <v>1398841.4533000002</v>
      </c>
      <c r="E506" s="4">
        <f t="shared" si="33"/>
        <v>1344432.3340799999</v>
      </c>
      <c r="F506">
        <f t="shared" si="31"/>
        <v>0.96110415580576058</v>
      </c>
      <c r="G506" t="str">
        <f t="shared" si="32"/>
        <v>C</v>
      </c>
    </row>
    <row r="507" spans="1:7" x14ac:dyDescent="0.3">
      <c r="A507" t="s">
        <v>730</v>
      </c>
      <c r="B507" t="s">
        <v>1216</v>
      </c>
      <c r="C507" s="4">
        <v>5127.0390600000001</v>
      </c>
      <c r="D507" s="4">
        <f t="shared" si="30"/>
        <v>1398841.4533000002</v>
      </c>
      <c r="E507" s="4">
        <f t="shared" si="33"/>
        <v>1349559.37314</v>
      </c>
      <c r="F507">
        <f t="shared" si="31"/>
        <v>0.96476935964133814</v>
      </c>
      <c r="G507" t="str">
        <f t="shared" si="32"/>
        <v>C</v>
      </c>
    </row>
    <row r="508" spans="1:7" x14ac:dyDescent="0.3">
      <c r="A508" t="s">
        <v>730</v>
      </c>
      <c r="B508" t="s">
        <v>1068</v>
      </c>
      <c r="C508" s="4">
        <v>4856.35725</v>
      </c>
      <c r="D508" s="4">
        <f t="shared" si="30"/>
        <v>1398841.4533000002</v>
      </c>
      <c r="E508" s="4">
        <f t="shared" si="33"/>
        <v>1354415.7303899999</v>
      </c>
      <c r="F508">
        <f t="shared" si="31"/>
        <v>0.96824105919566816</v>
      </c>
      <c r="G508" t="str">
        <f t="shared" si="32"/>
        <v>C</v>
      </c>
    </row>
    <row r="509" spans="1:7" x14ac:dyDescent="0.3">
      <c r="A509" t="s">
        <v>730</v>
      </c>
      <c r="B509" t="s">
        <v>1095</v>
      </c>
      <c r="C509" s="4">
        <v>4804.4682400000002</v>
      </c>
      <c r="D509" s="4">
        <f t="shared" si="30"/>
        <v>1398841.4533000002</v>
      </c>
      <c r="E509" s="4">
        <f t="shared" si="33"/>
        <v>1359220.19863</v>
      </c>
      <c r="F509">
        <f t="shared" si="31"/>
        <v>0.97167566447467668</v>
      </c>
      <c r="G509" t="str">
        <f t="shared" si="32"/>
        <v>C</v>
      </c>
    </row>
    <row r="510" spans="1:7" x14ac:dyDescent="0.3">
      <c r="A510" t="s">
        <v>730</v>
      </c>
      <c r="B510" t="s">
        <v>871</v>
      </c>
      <c r="C510" s="4">
        <v>4336.2427499999994</v>
      </c>
      <c r="D510" s="4">
        <f t="shared" si="30"/>
        <v>1398841.4533000002</v>
      </c>
      <c r="E510" s="4">
        <f t="shared" si="33"/>
        <v>1363556.44138</v>
      </c>
      <c r="F510">
        <f t="shared" si="31"/>
        <v>0.97477554598002547</v>
      </c>
      <c r="G510" t="str">
        <f t="shared" si="32"/>
        <v>C</v>
      </c>
    </row>
    <row r="511" spans="1:7" x14ac:dyDescent="0.3">
      <c r="A511" t="s">
        <v>730</v>
      </c>
      <c r="B511" t="s">
        <v>761</v>
      </c>
      <c r="C511" s="4">
        <v>3980.7075</v>
      </c>
      <c r="D511" s="4">
        <f t="shared" si="30"/>
        <v>1398841.4533000002</v>
      </c>
      <c r="E511" s="4">
        <f t="shared" si="33"/>
        <v>1367537.14888</v>
      </c>
      <c r="F511">
        <f t="shared" si="31"/>
        <v>0.97762126340612054</v>
      </c>
      <c r="G511" t="str">
        <f t="shared" si="32"/>
        <v>C</v>
      </c>
    </row>
    <row r="512" spans="1:7" x14ac:dyDescent="0.3">
      <c r="A512" t="s">
        <v>730</v>
      </c>
      <c r="B512" t="s">
        <v>1019</v>
      </c>
      <c r="C512" s="4">
        <v>3978.6474000000003</v>
      </c>
      <c r="D512" s="4">
        <f t="shared" si="30"/>
        <v>1398841.4533000002</v>
      </c>
      <c r="E512" s="4">
        <f t="shared" si="33"/>
        <v>1371515.7962799999</v>
      </c>
      <c r="F512">
        <f t="shared" si="31"/>
        <v>0.98046550811349176</v>
      </c>
      <c r="G512" t="str">
        <f t="shared" si="32"/>
        <v>C</v>
      </c>
    </row>
    <row r="513" spans="1:7" x14ac:dyDescent="0.3">
      <c r="A513" t="s">
        <v>730</v>
      </c>
      <c r="B513" t="s">
        <v>762</v>
      </c>
      <c r="C513" s="4">
        <v>3913.2000000000003</v>
      </c>
      <c r="D513" s="4">
        <f t="shared" si="30"/>
        <v>1398841.4533000002</v>
      </c>
      <c r="E513" s="4">
        <f t="shared" si="33"/>
        <v>1375428.9962799998</v>
      </c>
      <c r="F513">
        <f t="shared" si="31"/>
        <v>0.98326296596031804</v>
      </c>
      <c r="G513" t="str">
        <f t="shared" si="32"/>
        <v>C</v>
      </c>
    </row>
    <row r="514" spans="1:7" x14ac:dyDescent="0.3">
      <c r="A514" t="s">
        <v>730</v>
      </c>
      <c r="B514" t="s">
        <v>1061</v>
      </c>
      <c r="C514" s="4">
        <v>3799.8031499999997</v>
      </c>
      <c r="D514" s="4">
        <f t="shared" ref="D514:D577" si="34">SUMIF($A:$A,A514,$C:$C)</f>
        <v>1398841.4533000002</v>
      </c>
      <c r="E514" s="4">
        <f t="shared" si="33"/>
        <v>1379228.7994299999</v>
      </c>
      <c r="F514">
        <f t="shared" ref="F514:F577" si="35">E514/D514</f>
        <v>0.98597935897329025</v>
      </c>
      <c r="G514" t="str">
        <f t="shared" ref="G514:G577" si="36">IF(F514&lt;=0.8,"A",IF(F514&lt;=0.95,"B","C"))</f>
        <v>C</v>
      </c>
    </row>
    <row r="515" spans="1:7" x14ac:dyDescent="0.3">
      <c r="A515" t="s">
        <v>730</v>
      </c>
      <c r="B515" t="s">
        <v>867</v>
      </c>
      <c r="C515" s="4">
        <v>3494.4040799999998</v>
      </c>
      <c r="D515" s="4">
        <f t="shared" si="34"/>
        <v>1398841.4533000002</v>
      </c>
      <c r="E515" s="4">
        <f t="shared" si="33"/>
        <v>1382723.2035099999</v>
      </c>
      <c r="F515">
        <f t="shared" si="35"/>
        <v>0.98847742912395409</v>
      </c>
      <c r="G515" t="str">
        <f t="shared" si="36"/>
        <v>C</v>
      </c>
    </row>
    <row r="516" spans="1:7" x14ac:dyDescent="0.3">
      <c r="A516" t="s">
        <v>730</v>
      </c>
      <c r="B516" t="s">
        <v>979</v>
      </c>
      <c r="C516" s="4">
        <v>2909.8689199999999</v>
      </c>
      <c r="D516" s="4">
        <f t="shared" si="34"/>
        <v>1398841.4533000002</v>
      </c>
      <c r="E516" s="4">
        <f t="shared" si="33"/>
        <v>1385633.0724299999</v>
      </c>
      <c r="F516">
        <f t="shared" si="35"/>
        <v>0.99055762835821004</v>
      </c>
      <c r="G516" t="str">
        <f t="shared" si="36"/>
        <v>C</v>
      </c>
    </row>
    <row r="517" spans="1:7" x14ac:dyDescent="0.3">
      <c r="A517" t="s">
        <v>730</v>
      </c>
      <c r="B517" t="s">
        <v>862</v>
      </c>
      <c r="C517" s="4">
        <v>2642.1686999999997</v>
      </c>
      <c r="D517" s="4">
        <f t="shared" si="34"/>
        <v>1398841.4533000002</v>
      </c>
      <c r="E517" s="4">
        <f t="shared" si="33"/>
        <v>1388275.24113</v>
      </c>
      <c r="F517">
        <f t="shared" si="35"/>
        <v>0.9924464547822246</v>
      </c>
      <c r="G517" t="str">
        <f t="shared" si="36"/>
        <v>C</v>
      </c>
    </row>
    <row r="518" spans="1:7" x14ac:dyDescent="0.3">
      <c r="A518" t="s">
        <v>730</v>
      </c>
      <c r="B518" t="s">
        <v>1064</v>
      </c>
      <c r="C518" s="4">
        <v>2537.2908000000002</v>
      </c>
      <c r="D518" s="4">
        <f t="shared" si="34"/>
        <v>1398841.4533000002</v>
      </c>
      <c r="E518" s="4">
        <f t="shared" si="33"/>
        <v>1390812.5319300001</v>
      </c>
      <c r="F518">
        <f t="shared" si="35"/>
        <v>0.99426030637635232</v>
      </c>
      <c r="G518" t="str">
        <f t="shared" si="36"/>
        <v>C</v>
      </c>
    </row>
    <row r="519" spans="1:7" x14ac:dyDescent="0.3">
      <c r="A519" t="s">
        <v>730</v>
      </c>
      <c r="B519" t="s">
        <v>1081</v>
      </c>
      <c r="C519" s="4">
        <v>2206.8000000000002</v>
      </c>
      <c r="D519" s="4">
        <f t="shared" si="34"/>
        <v>1398841.4533000002</v>
      </c>
      <c r="E519" s="4">
        <f t="shared" si="33"/>
        <v>1393019.3319300001</v>
      </c>
      <c r="F519">
        <f t="shared" si="35"/>
        <v>0.99583789759999952</v>
      </c>
      <c r="G519" t="str">
        <f t="shared" si="36"/>
        <v>C</v>
      </c>
    </row>
    <row r="520" spans="1:7" x14ac:dyDescent="0.3">
      <c r="A520" t="s">
        <v>730</v>
      </c>
      <c r="B520" t="s">
        <v>1145</v>
      </c>
      <c r="C520" s="4">
        <v>2059.0056</v>
      </c>
      <c r="D520" s="4">
        <f t="shared" si="34"/>
        <v>1398841.4533000002</v>
      </c>
      <c r="E520" s="4">
        <f t="shared" si="33"/>
        <v>1395078.3375300001</v>
      </c>
      <c r="F520">
        <f t="shared" si="35"/>
        <v>0.99730983396215311</v>
      </c>
      <c r="G520" t="str">
        <f t="shared" si="36"/>
        <v>C</v>
      </c>
    </row>
    <row r="521" spans="1:7" x14ac:dyDescent="0.3">
      <c r="A521" t="s">
        <v>730</v>
      </c>
      <c r="B521" t="s">
        <v>1304</v>
      </c>
      <c r="C521" s="4">
        <v>841.00536</v>
      </c>
      <c r="D521" s="4">
        <f t="shared" si="34"/>
        <v>1398841.4533000002</v>
      </c>
      <c r="E521" s="4">
        <f t="shared" si="33"/>
        <v>1395919.3428900002</v>
      </c>
      <c r="F521">
        <f t="shared" si="35"/>
        <v>0.99791104960243604</v>
      </c>
      <c r="G521" t="str">
        <f t="shared" si="36"/>
        <v>C</v>
      </c>
    </row>
    <row r="522" spans="1:7" x14ac:dyDescent="0.3">
      <c r="A522" t="s">
        <v>730</v>
      </c>
      <c r="B522" t="s">
        <v>1016</v>
      </c>
      <c r="C522" s="4">
        <v>667.74</v>
      </c>
      <c r="D522" s="4">
        <f t="shared" si="34"/>
        <v>1398841.4533000002</v>
      </c>
      <c r="E522" s="4">
        <f t="shared" si="33"/>
        <v>1396587.0828900002</v>
      </c>
      <c r="F522">
        <f t="shared" si="35"/>
        <v>0.9983884017701351</v>
      </c>
      <c r="G522" t="str">
        <f t="shared" si="36"/>
        <v>C</v>
      </c>
    </row>
    <row r="523" spans="1:7" x14ac:dyDescent="0.3">
      <c r="A523" t="s">
        <v>730</v>
      </c>
      <c r="B523" t="s">
        <v>1264</v>
      </c>
      <c r="C523" s="4">
        <v>618.19979999999987</v>
      </c>
      <c r="D523" s="4">
        <f t="shared" si="34"/>
        <v>1398841.4533000002</v>
      </c>
      <c r="E523" s="4">
        <f t="shared" si="33"/>
        <v>1397205.2826900003</v>
      </c>
      <c r="F523">
        <f t="shared" si="35"/>
        <v>0.99883033877346139</v>
      </c>
      <c r="G523" t="str">
        <f t="shared" si="36"/>
        <v>C</v>
      </c>
    </row>
    <row r="524" spans="1:7" x14ac:dyDescent="0.3">
      <c r="A524" t="s">
        <v>730</v>
      </c>
      <c r="B524" t="s">
        <v>997</v>
      </c>
      <c r="C524" s="4">
        <v>560.36831999999993</v>
      </c>
      <c r="D524" s="4">
        <f t="shared" si="34"/>
        <v>1398841.4533000002</v>
      </c>
      <c r="E524" s="4">
        <f t="shared" si="33"/>
        <v>1397765.6510100001</v>
      </c>
      <c r="F524">
        <f t="shared" si="35"/>
        <v>0.99923093336456248</v>
      </c>
      <c r="G524" t="str">
        <f t="shared" si="36"/>
        <v>C</v>
      </c>
    </row>
    <row r="525" spans="1:7" x14ac:dyDescent="0.3">
      <c r="A525" t="s">
        <v>730</v>
      </c>
      <c r="B525" t="s">
        <v>840</v>
      </c>
      <c r="C525" s="4">
        <v>518.65436999999997</v>
      </c>
      <c r="D525" s="4">
        <f t="shared" si="34"/>
        <v>1398841.4533000002</v>
      </c>
      <c r="E525" s="4">
        <f t="shared" si="33"/>
        <v>1398284.30538</v>
      </c>
      <c r="F525">
        <f t="shared" si="35"/>
        <v>0.99960170759975275</v>
      </c>
      <c r="G525" t="str">
        <f t="shared" si="36"/>
        <v>C</v>
      </c>
    </row>
    <row r="526" spans="1:7" x14ac:dyDescent="0.3">
      <c r="A526" t="s">
        <v>730</v>
      </c>
      <c r="B526" t="s">
        <v>1318</v>
      </c>
      <c r="C526" s="4">
        <v>370.86</v>
      </c>
      <c r="D526" s="4">
        <f t="shared" si="34"/>
        <v>1398841.4533000002</v>
      </c>
      <c r="E526" s="4">
        <f t="shared" si="33"/>
        <v>1398655.1653800001</v>
      </c>
      <c r="F526">
        <f t="shared" si="35"/>
        <v>0.99986682699489593</v>
      </c>
      <c r="G526" t="str">
        <f t="shared" si="36"/>
        <v>C</v>
      </c>
    </row>
    <row r="527" spans="1:7" x14ac:dyDescent="0.3">
      <c r="A527" t="s">
        <v>730</v>
      </c>
      <c r="B527" t="s">
        <v>1226</v>
      </c>
      <c r="C527" s="4">
        <v>110.14919999999999</v>
      </c>
      <c r="D527" s="4">
        <f t="shared" si="34"/>
        <v>1398841.4533000002</v>
      </c>
      <c r="E527" s="4">
        <f t="shared" si="33"/>
        <v>1398765.3145800002</v>
      </c>
      <c r="F527">
        <f t="shared" si="35"/>
        <v>0.99994557015748975</v>
      </c>
      <c r="G527" t="str">
        <f t="shared" si="36"/>
        <v>C</v>
      </c>
    </row>
    <row r="528" spans="1:7" x14ac:dyDescent="0.3">
      <c r="A528" t="s">
        <v>730</v>
      </c>
      <c r="B528" t="s">
        <v>1020</v>
      </c>
      <c r="C528" s="4">
        <v>76.138720000000006</v>
      </c>
      <c r="D528" s="4">
        <f t="shared" si="34"/>
        <v>1398841.4533000002</v>
      </c>
      <c r="E528" s="4">
        <f t="shared" si="33"/>
        <v>1398841.4533000002</v>
      </c>
      <c r="F528">
        <f t="shared" si="35"/>
        <v>1</v>
      </c>
      <c r="G528" t="str">
        <f t="shared" si="36"/>
        <v>C</v>
      </c>
    </row>
    <row r="529" spans="1:7" x14ac:dyDescent="0.3">
      <c r="A529" t="s">
        <v>728</v>
      </c>
      <c r="B529" t="s">
        <v>1271</v>
      </c>
      <c r="C529" s="4">
        <v>66260.314239999992</v>
      </c>
      <c r="D529" s="4">
        <f t="shared" si="34"/>
        <v>1616102.6546599986</v>
      </c>
      <c r="E529" s="4">
        <f t="shared" si="33"/>
        <v>66260.314239999992</v>
      </c>
      <c r="F529">
        <f t="shared" si="35"/>
        <v>4.1000065217973468E-2</v>
      </c>
      <c r="G529" t="str">
        <f t="shared" si="36"/>
        <v>A</v>
      </c>
    </row>
    <row r="530" spans="1:7" x14ac:dyDescent="0.3">
      <c r="A530" t="s">
        <v>728</v>
      </c>
      <c r="B530" t="s">
        <v>1157</v>
      </c>
      <c r="C530" s="4">
        <v>58091.634960000003</v>
      </c>
      <c r="D530" s="4">
        <f t="shared" si="34"/>
        <v>1616102.6546599986</v>
      </c>
      <c r="E530" s="4">
        <f t="shared" si="33"/>
        <v>124351.9492</v>
      </c>
      <c r="F530">
        <f t="shared" si="35"/>
        <v>7.6945575729013088E-2</v>
      </c>
      <c r="G530" t="str">
        <f t="shared" si="36"/>
        <v>A</v>
      </c>
    </row>
    <row r="531" spans="1:7" x14ac:dyDescent="0.3">
      <c r="A531" t="s">
        <v>728</v>
      </c>
      <c r="B531" t="s">
        <v>933</v>
      </c>
      <c r="C531" s="4">
        <v>55880.483749999999</v>
      </c>
      <c r="D531" s="4">
        <f t="shared" si="34"/>
        <v>1616102.6546599986</v>
      </c>
      <c r="E531" s="4">
        <f t="shared" ref="E531:E594" si="37">IF(A531=A530,E530+C531,C531)</f>
        <v>180232.43294999999</v>
      </c>
      <c r="F531">
        <f t="shared" si="35"/>
        <v>0.11152288651361564</v>
      </c>
      <c r="G531" t="str">
        <f t="shared" si="36"/>
        <v>A</v>
      </c>
    </row>
    <row r="532" spans="1:7" x14ac:dyDescent="0.3">
      <c r="A532" t="s">
        <v>728</v>
      </c>
      <c r="B532" t="s">
        <v>1289</v>
      </c>
      <c r="C532" s="4">
        <v>50545.319219999998</v>
      </c>
      <c r="D532" s="4">
        <f t="shared" si="34"/>
        <v>1616102.6546599986</v>
      </c>
      <c r="E532" s="4">
        <f t="shared" si="37"/>
        <v>230777.75216999999</v>
      </c>
      <c r="F532">
        <f t="shared" si="35"/>
        <v>0.14279894380753419</v>
      </c>
      <c r="G532" t="str">
        <f t="shared" si="36"/>
        <v>A</v>
      </c>
    </row>
    <row r="533" spans="1:7" x14ac:dyDescent="0.3">
      <c r="A533" t="s">
        <v>728</v>
      </c>
      <c r="B533" t="s">
        <v>1090</v>
      </c>
      <c r="C533" s="4">
        <v>43907.94</v>
      </c>
      <c r="D533" s="4">
        <f t="shared" si="34"/>
        <v>1616102.6546599986</v>
      </c>
      <c r="E533" s="4">
        <f t="shared" si="37"/>
        <v>274685.69216999999</v>
      </c>
      <c r="F533">
        <f t="shared" si="35"/>
        <v>0.16996797287471158</v>
      </c>
      <c r="G533" t="str">
        <f t="shared" si="36"/>
        <v>A</v>
      </c>
    </row>
    <row r="534" spans="1:7" x14ac:dyDescent="0.3">
      <c r="A534" t="s">
        <v>728</v>
      </c>
      <c r="B534" t="s">
        <v>829</v>
      </c>
      <c r="C534" s="4">
        <v>43209.006119999991</v>
      </c>
      <c r="D534" s="4">
        <f t="shared" si="34"/>
        <v>1616102.6546599986</v>
      </c>
      <c r="E534" s="4">
        <f t="shared" si="37"/>
        <v>317894.69828999997</v>
      </c>
      <c r="F534">
        <f t="shared" si="35"/>
        <v>0.19670452082567724</v>
      </c>
      <c r="G534" t="str">
        <f t="shared" si="36"/>
        <v>A</v>
      </c>
    </row>
    <row r="535" spans="1:7" x14ac:dyDescent="0.3">
      <c r="A535" t="s">
        <v>728</v>
      </c>
      <c r="B535" t="s">
        <v>1047</v>
      </c>
      <c r="C535" s="4">
        <v>40325.31</v>
      </c>
      <c r="D535" s="4">
        <f t="shared" si="34"/>
        <v>1616102.6546599986</v>
      </c>
      <c r="E535" s="4">
        <f t="shared" si="37"/>
        <v>358220.00828999997</v>
      </c>
      <c r="F535">
        <f t="shared" si="35"/>
        <v>0.22165671670489495</v>
      </c>
      <c r="G535" t="str">
        <f t="shared" si="36"/>
        <v>A</v>
      </c>
    </row>
    <row r="536" spans="1:7" x14ac:dyDescent="0.3">
      <c r="A536" t="s">
        <v>728</v>
      </c>
      <c r="B536" t="s">
        <v>1335</v>
      </c>
      <c r="C536" s="4">
        <v>39810.328000000001</v>
      </c>
      <c r="D536" s="4">
        <f t="shared" si="34"/>
        <v>1616102.6546599986</v>
      </c>
      <c r="E536" s="4">
        <f t="shared" si="37"/>
        <v>398030.33628999995</v>
      </c>
      <c r="F536">
        <f t="shared" si="35"/>
        <v>0.24629025584624076</v>
      </c>
      <c r="G536" t="str">
        <f t="shared" si="36"/>
        <v>A</v>
      </c>
    </row>
    <row r="537" spans="1:7" x14ac:dyDescent="0.3">
      <c r="A537" t="s">
        <v>728</v>
      </c>
      <c r="B537" t="s">
        <v>1071</v>
      </c>
      <c r="C537" s="4">
        <v>38535.955099999999</v>
      </c>
      <c r="D537" s="4">
        <f t="shared" si="34"/>
        <v>1616102.6546599986</v>
      </c>
      <c r="E537" s="4">
        <f t="shared" si="37"/>
        <v>436566.29138999997</v>
      </c>
      <c r="F537">
        <f t="shared" si="35"/>
        <v>0.27013524798760158</v>
      </c>
      <c r="G537" t="str">
        <f t="shared" si="36"/>
        <v>A</v>
      </c>
    </row>
    <row r="538" spans="1:7" x14ac:dyDescent="0.3">
      <c r="A538" t="s">
        <v>728</v>
      </c>
      <c r="B538" t="s">
        <v>1115</v>
      </c>
      <c r="C538" s="4">
        <v>37562.28</v>
      </c>
      <c r="D538" s="4">
        <f t="shared" si="34"/>
        <v>1616102.6546599986</v>
      </c>
      <c r="E538" s="4">
        <f t="shared" si="37"/>
        <v>474128.57138999994</v>
      </c>
      <c r="F538">
        <f t="shared" si="35"/>
        <v>0.2933777566807777</v>
      </c>
      <c r="G538" t="str">
        <f t="shared" si="36"/>
        <v>A</v>
      </c>
    </row>
    <row r="539" spans="1:7" x14ac:dyDescent="0.3">
      <c r="A539" t="s">
        <v>728</v>
      </c>
      <c r="B539" t="s">
        <v>1204</v>
      </c>
      <c r="C539" s="4">
        <v>36549.429260000004</v>
      </c>
      <c r="D539" s="4">
        <f t="shared" si="34"/>
        <v>1616102.6546599986</v>
      </c>
      <c r="E539" s="4">
        <f t="shared" si="37"/>
        <v>510678.00064999994</v>
      </c>
      <c r="F539">
        <f t="shared" si="35"/>
        <v>0.3159935411141554</v>
      </c>
      <c r="G539" t="str">
        <f t="shared" si="36"/>
        <v>A</v>
      </c>
    </row>
    <row r="540" spans="1:7" x14ac:dyDescent="0.3">
      <c r="A540" t="s">
        <v>728</v>
      </c>
      <c r="B540" t="s">
        <v>872</v>
      </c>
      <c r="C540" s="4">
        <v>35567.737920000007</v>
      </c>
      <c r="D540" s="4">
        <f t="shared" si="34"/>
        <v>1616102.6546599986</v>
      </c>
      <c r="E540" s="4">
        <f t="shared" si="37"/>
        <v>546245.73856999993</v>
      </c>
      <c r="F540">
        <f t="shared" si="35"/>
        <v>0.33800188186988717</v>
      </c>
      <c r="G540" t="str">
        <f t="shared" si="36"/>
        <v>A</v>
      </c>
    </row>
    <row r="541" spans="1:7" x14ac:dyDescent="0.3">
      <c r="A541" t="s">
        <v>728</v>
      </c>
      <c r="B541" t="s">
        <v>783</v>
      </c>
      <c r="C541" s="4">
        <v>34444.462359999998</v>
      </c>
      <c r="D541" s="4">
        <f t="shared" si="34"/>
        <v>1616102.6546599986</v>
      </c>
      <c r="E541" s="4">
        <f t="shared" si="37"/>
        <v>580690.20092999993</v>
      </c>
      <c r="F541">
        <f t="shared" si="35"/>
        <v>0.35931517051567963</v>
      </c>
      <c r="G541" t="str">
        <f t="shared" si="36"/>
        <v>A</v>
      </c>
    </row>
    <row r="542" spans="1:7" x14ac:dyDescent="0.3">
      <c r="A542" t="s">
        <v>728</v>
      </c>
      <c r="B542" t="s">
        <v>1262</v>
      </c>
      <c r="C542" s="4">
        <v>33421.1</v>
      </c>
      <c r="D542" s="4">
        <f t="shared" si="34"/>
        <v>1616102.6546599986</v>
      </c>
      <c r="E542" s="4">
        <f t="shared" si="37"/>
        <v>614111.30092999991</v>
      </c>
      <c r="F542">
        <f t="shared" si="35"/>
        <v>0.37999523059950596</v>
      </c>
      <c r="G542" t="str">
        <f t="shared" si="36"/>
        <v>A</v>
      </c>
    </row>
    <row r="543" spans="1:7" x14ac:dyDescent="0.3">
      <c r="A543" t="s">
        <v>728</v>
      </c>
      <c r="B543" t="s">
        <v>1280</v>
      </c>
      <c r="C543" s="4">
        <v>31822.023930000003</v>
      </c>
      <c r="D543" s="4">
        <f t="shared" si="34"/>
        <v>1616102.6546599986</v>
      </c>
      <c r="E543" s="4">
        <f t="shared" si="37"/>
        <v>645933.32485999994</v>
      </c>
      <c r="F543">
        <f t="shared" si="35"/>
        <v>0.39968582626695437</v>
      </c>
      <c r="G543" t="str">
        <f t="shared" si="36"/>
        <v>A</v>
      </c>
    </row>
    <row r="544" spans="1:7" x14ac:dyDescent="0.3">
      <c r="A544" t="s">
        <v>728</v>
      </c>
      <c r="B544" t="s">
        <v>776</v>
      </c>
      <c r="C544" s="4">
        <v>30596.565999999999</v>
      </c>
      <c r="D544" s="4">
        <f t="shared" si="34"/>
        <v>1616102.6546599986</v>
      </c>
      <c r="E544" s="4">
        <f t="shared" si="37"/>
        <v>676529.89085999993</v>
      </c>
      <c r="F544">
        <f t="shared" si="35"/>
        <v>0.4186181421763277</v>
      </c>
      <c r="G544" t="str">
        <f t="shared" si="36"/>
        <v>A</v>
      </c>
    </row>
    <row r="545" spans="1:7" x14ac:dyDescent="0.3">
      <c r="A545" t="s">
        <v>728</v>
      </c>
      <c r="B545" t="s">
        <v>887</v>
      </c>
      <c r="C545" s="4">
        <v>29654.83008</v>
      </c>
      <c r="D545" s="4">
        <f t="shared" si="34"/>
        <v>1616102.6546599986</v>
      </c>
      <c r="E545" s="4">
        <f t="shared" si="37"/>
        <v>706184.72093999991</v>
      </c>
      <c r="F545">
        <f t="shared" si="35"/>
        <v>0.43696773772614683</v>
      </c>
      <c r="G545" t="str">
        <f t="shared" si="36"/>
        <v>A</v>
      </c>
    </row>
    <row r="546" spans="1:7" x14ac:dyDescent="0.3">
      <c r="A546" t="s">
        <v>728</v>
      </c>
      <c r="B546" t="s">
        <v>1220</v>
      </c>
      <c r="C546" s="4">
        <v>28856.475000000002</v>
      </c>
      <c r="D546" s="4">
        <f t="shared" si="34"/>
        <v>1616102.6546599986</v>
      </c>
      <c r="E546" s="4">
        <f t="shared" si="37"/>
        <v>735041.19593999989</v>
      </c>
      <c r="F546">
        <f t="shared" si="35"/>
        <v>0.45482333304788763</v>
      </c>
      <c r="G546" t="str">
        <f t="shared" si="36"/>
        <v>A</v>
      </c>
    </row>
    <row r="547" spans="1:7" x14ac:dyDescent="0.3">
      <c r="A547" t="s">
        <v>728</v>
      </c>
      <c r="B547" t="s">
        <v>953</v>
      </c>
      <c r="C547" s="4">
        <v>28211.92124</v>
      </c>
      <c r="D547" s="4">
        <f t="shared" si="34"/>
        <v>1616102.6546599986</v>
      </c>
      <c r="E547" s="4">
        <f t="shared" si="37"/>
        <v>763253.11717999994</v>
      </c>
      <c r="F547">
        <f t="shared" si="35"/>
        <v>0.4722800961802614</v>
      </c>
      <c r="G547" t="str">
        <f t="shared" si="36"/>
        <v>A</v>
      </c>
    </row>
    <row r="548" spans="1:7" x14ac:dyDescent="0.3">
      <c r="A548" t="s">
        <v>728</v>
      </c>
      <c r="B548" t="s">
        <v>1208</v>
      </c>
      <c r="C548" s="4">
        <v>27194.152039999997</v>
      </c>
      <c r="D548" s="4">
        <f t="shared" si="34"/>
        <v>1616102.6546599986</v>
      </c>
      <c r="E548" s="4">
        <f t="shared" si="37"/>
        <v>790447.2692199999</v>
      </c>
      <c r="F548">
        <f t="shared" si="35"/>
        <v>0.4891070916446808</v>
      </c>
      <c r="G548" t="str">
        <f t="shared" si="36"/>
        <v>A</v>
      </c>
    </row>
    <row r="549" spans="1:7" x14ac:dyDescent="0.3">
      <c r="A549" t="s">
        <v>728</v>
      </c>
      <c r="B549" t="s">
        <v>750</v>
      </c>
      <c r="C549" s="4">
        <v>25948.414799999995</v>
      </c>
      <c r="D549" s="4">
        <f t="shared" si="34"/>
        <v>1616102.6546599986</v>
      </c>
      <c r="E549" s="4">
        <f t="shared" si="37"/>
        <v>816395.68401999993</v>
      </c>
      <c r="F549">
        <f t="shared" si="35"/>
        <v>0.50516325907017101</v>
      </c>
      <c r="G549" t="str">
        <f t="shared" si="36"/>
        <v>A</v>
      </c>
    </row>
    <row r="550" spans="1:7" x14ac:dyDescent="0.3">
      <c r="A550" t="s">
        <v>728</v>
      </c>
      <c r="B550" t="s">
        <v>987</v>
      </c>
      <c r="C550" s="4">
        <v>25483.91488</v>
      </c>
      <c r="D550" s="4">
        <f t="shared" si="34"/>
        <v>1616102.6546599986</v>
      </c>
      <c r="E550" s="4">
        <f t="shared" si="37"/>
        <v>841879.59889999998</v>
      </c>
      <c r="F550">
        <f t="shared" si="35"/>
        <v>0.52093200668438822</v>
      </c>
      <c r="G550" t="str">
        <f t="shared" si="36"/>
        <v>A</v>
      </c>
    </row>
    <row r="551" spans="1:7" x14ac:dyDescent="0.3">
      <c r="A551" t="s">
        <v>728</v>
      </c>
      <c r="B551" t="s">
        <v>1350</v>
      </c>
      <c r="C551" s="4">
        <v>25174.028880000002</v>
      </c>
      <c r="D551" s="4">
        <f t="shared" si="34"/>
        <v>1616102.6546599986</v>
      </c>
      <c r="E551" s="4">
        <f t="shared" si="37"/>
        <v>867053.62777999998</v>
      </c>
      <c r="F551">
        <f t="shared" si="35"/>
        <v>0.53650900534063772</v>
      </c>
      <c r="G551" t="str">
        <f t="shared" si="36"/>
        <v>A</v>
      </c>
    </row>
    <row r="552" spans="1:7" x14ac:dyDescent="0.3">
      <c r="A552" t="s">
        <v>728</v>
      </c>
      <c r="B552" t="s">
        <v>1139</v>
      </c>
      <c r="C552" s="4">
        <v>22457.143800000002</v>
      </c>
      <c r="D552" s="4">
        <f t="shared" si="34"/>
        <v>1616102.6546599986</v>
      </c>
      <c r="E552" s="4">
        <f t="shared" si="37"/>
        <v>889510.77157999994</v>
      </c>
      <c r="F552">
        <f t="shared" si="35"/>
        <v>0.55040487002178606</v>
      </c>
      <c r="G552" t="str">
        <f t="shared" si="36"/>
        <v>A</v>
      </c>
    </row>
    <row r="553" spans="1:7" x14ac:dyDescent="0.3">
      <c r="A553" t="s">
        <v>728</v>
      </c>
      <c r="B553" t="s">
        <v>1249</v>
      </c>
      <c r="C553" s="4">
        <v>22201.762229999997</v>
      </c>
      <c r="D553" s="4">
        <f t="shared" si="34"/>
        <v>1616102.6546599986</v>
      </c>
      <c r="E553" s="4">
        <f t="shared" si="37"/>
        <v>911712.53380999994</v>
      </c>
      <c r="F553">
        <f t="shared" si="35"/>
        <v>0.56414271159142992</v>
      </c>
      <c r="G553" t="str">
        <f t="shared" si="36"/>
        <v>A</v>
      </c>
    </row>
    <row r="554" spans="1:7" x14ac:dyDescent="0.3">
      <c r="A554" t="s">
        <v>728</v>
      </c>
      <c r="B554" t="s">
        <v>1177</v>
      </c>
      <c r="C554" s="4">
        <v>21664.440000000002</v>
      </c>
      <c r="D554" s="4">
        <f t="shared" si="34"/>
        <v>1616102.6546599986</v>
      </c>
      <c r="E554" s="4">
        <f t="shared" si="37"/>
        <v>933376.97380999988</v>
      </c>
      <c r="F554">
        <f t="shared" si="35"/>
        <v>0.57754807290157384</v>
      </c>
      <c r="G554" t="str">
        <f t="shared" si="36"/>
        <v>A</v>
      </c>
    </row>
    <row r="555" spans="1:7" x14ac:dyDescent="0.3">
      <c r="A555" t="s">
        <v>728</v>
      </c>
      <c r="B555" t="s">
        <v>747</v>
      </c>
      <c r="C555" s="4">
        <v>21585.15</v>
      </c>
      <c r="D555" s="4">
        <f t="shared" si="34"/>
        <v>1616102.6546599986</v>
      </c>
      <c r="E555" s="4">
        <f t="shared" si="37"/>
        <v>954962.1238099999</v>
      </c>
      <c r="F555">
        <f t="shared" si="35"/>
        <v>0.59090437173429944</v>
      </c>
      <c r="G555" t="str">
        <f t="shared" si="36"/>
        <v>A</v>
      </c>
    </row>
    <row r="556" spans="1:7" x14ac:dyDescent="0.3">
      <c r="A556" t="s">
        <v>728</v>
      </c>
      <c r="B556" t="s">
        <v>1173</v>
      </c>
      <c r="C556" s="4">
        <v>20672.289000000001</v>
      </c>
      <c r="D556" s="4">
        <f t="shared" si="34"/>
        <v>1616102.6546599986</v>
      </c>
      <c r="E556" s="4">
        <f t="shared" si="37"/>
        <v>975634.41280999989</v>
      </c>
      <c r="F556">
        <f t="shared" si="35"/>
        <v>0.60369581721605259</v>
      </c>
      <c r="G556" t="str">
        <f t="shared" si="36"/>
        <v>A</v>
      </c>
    </row>
    <row r="557" spans="1:7" x14ac:dyDescent="0.3">
      <c r="A557" t="s">
        <v>728</v>
      </c>
      <c r="B557" t="s">
        <v>1076</v>
      </c>
      <c r="C557" s="4">
        <v>20053.439999999999</v>
      </c>
      <c r="D557" s="4">
        <f t="shared" si="34"/>
        <v>1616102.6546599986</v>
      </c>
      <c r="E557" s="4">
        <f t="shared" si="37"/>
        <v>995687.85280999984</v>
      </c>
      <c r="F557">
        <f t="shared" si="35"/>
        <v>0.6161043359089563</v>
      </c>
      <c r="G557" t="str">
        <f t="shared" si="36"/>
        <v>A</v>
      </c>
    </row>
    <row r="558" spans="1:7" x14ac:dyDescent="0.3">
      <c r="A558" t="s">
        <v>728</v>
      </c>
      <c r="B558" t="s">
        <v>1148</v>
      </c>
      <c r="C558" s="4">
        <v>18411.4084</v>
      </c>
      <c r="D558" s="4">
        <f t="shared" si="34"/>
        <v>1616102.6546599986</v>
      </c>
      <c r="E558" s="4">
        <f t="shared" si="37"/>
        <v>1014099.2612099998</v>
      </c>
      <c r="F558">
        <f t="shared" si="35"/>
        <v>0.62749681048160244</v>
      </c>
      <c r="G558" t="str">
        <f t="shared" si="36"/>
        <v>A</v>
      </c>
    </row>
    <row r="559" spans="1:7" x14ac:dyDescent="0.3">
      <c r="A559" t="s">
        <v>728</v>
      </c>
      <c r="B559" t="s">
        <v>815</v>
      </c>
      <c r="C559" s="4">
        <v>18258.868320000001</v>
      </c>
      <c r="D559" s="4">
        <f t="shared" si="34"/>
        <v>1616102.6546599986</v>
      </c>
      <c r="E559" s="4">
        <f t="shared" si="37"/>
        <v>1032358.1295299998</v>
      </c>
      <c r="F559">
        <f t="shared" si="35"/>
        <v>0.63879489743625906</v>
      </c>
      <c r="G559" t="str">
        <f t="shared" si="36"/>
        <v>A</v>
      </c>
    </row>
    <row r="560" spans="1:7" x14ac:dyDescent="0.3">
      <c r="A560" t="s">
        <v>728</v>
      </c>
      <c r="B560" t="s">
        <v>1343</v>
      </c>
      <c r="C560" s="4">
        <v>18003.847679999999</v>
      </c>
      <c r="D560" s="4">
        <f t="shared" si="34"/>
        <v>1616102.6546599986</v>
      </c>
      <c r="E560" s="4">
        <f t="shared" si="37"/>
        <v>1050361.9772099997</v>
      </c>
      <c r="F560">
        <f t="shared" si="35"/>
        <v>0.64993518461299638</v>
      </c>
      <c r="G560" t="str">
        <f t="shared" si="36"/>
        <v>A</v>
      </c>
    </row>
    <row r="561" spans="1:7" x14ac:dyDescent="0.3">
      <c r="A561" t="s">
        <v>728</v>
      </c>
      <c r="B561" t="s">
        <v>735</v>
      </c>
      <c r="C561" s="4">
        <v>17960.432489999999</v>
      </c>
      <c r="D561" s="4">
        <f t="shared" si="34"/>
        <v>1616102.6546599986</v>
      </c>
      <c r="E561" s="4">
        <f t="shared" si="37"/>
        <v>1068322.4096999997</v>
      </c>
      <c r="F561">
        <f t="shared" si="35"/>
        <v>0.66104860766085261</v>
      </c>
      <c r="G561" t="str">
        <f t="shared" si="36"/>
        <v>A</v>
      </c>
    </row>
    <row r="562" spans="1:7" x14ac:dyDescent="0.3">
      <c r="A562" t="s">
        <v>728</v>
      </c>
      <c r="B562" t="s">
        <v>1134</v>
      </c>
      <c r="C562" s="4">
        <v>17427.164800000002</v>
      </c>
      <c r="D562" s="4">
        <f t="shared" si="34"/>
        <v>1616102.6546599986</v>
      </c>
      <c r="E562" s="4">
        <f t="shared" si="37"/>
        <v>1085749.5744999996</v>
      </c>
      <c r="F562">
        <f t="shared" si="35"/>
        <v>0.67183205928736223</v>
      </c>
      <c r="G562" t="str">
        <f t="shared" si="36"/>
        <v>A</v>
      </c>
    </row>
    <row r="563" spans="1:7" x14ac:dyDescent="0.3">
      <c r="A563" t="s">
        <v>728</v>
      </c>
      <c r="B563" t="s">
        <v>969</v>
      </c>
      <c r="C563" s="4">
        <v>17359.804799999998</v>
      </c>
      <c r="D563" s="4">
        <f t="shared" si="34"/>
        <v>1616102.6546599986</v>
      </c>
      <c r="E563" s="4">
        <f t="shared" si="37"/>
        <v>1103109.3792999997</v>
      </c>
      <c r="F563">
        <f t="shared" si="35"/>
        <v>0.68257383039326525</v>
      </c>
      <c r="G563" t="str">
        <f t="shared" si="36"/>
        <v>A</v>
      </c>
    </row>
    <row r="564" spans="1:7" x14ac:dyDescent="0.3">
      <c r="A564" t="s">
        <v>728</v>
      </c>
      <c r="B564" t="s">
        <v>962</v>
      </c>
      <c r="C564" s="4">
        <v>16609.090809999998</v>
      </c>
      <c r="D564" s="4">
        <f t="shared" si="34"/>
        <v>1616102.6546599986</v>
      </c>
      <c r="E564" s="4">
        <f t="shared" si="37"/>
        <v>1119718.4701099996</v>
      </c>
      <c r="F564">
        <f t="shared" si="35"/>
        <v>0.69285108027099307</v>
      </c>
      <c r="G564" t="str">
        <f t="shared" si="36"/>
        <v>A</v>
      </c>
    </row>
    <row r="565" spans="1:7" x14ac:dyDescent="0.3">
      <c r="A565" t="s">
        <v>728</v>
      </c>
      <c r="B565" t="s">
        <v>1202</v>
      </c>
      <c r="C565" s="4">
        <v>16252.219979999998</v>
      </c>
      <c r="D565" s="4">
        <f t="shared" si="34"/>
        <v>1616102.6546599986</v>
      </c>
      <c r="E565" s="4">
        <f t="shared" si="37"/>
        <v>1135970.6900899997</v>
      </c>
      <c r="F565">
        <f t="shared" si="35"/>
        <v>0.70290750826653969</v>
      </c>
      <c r="G565" t="str">
        <f t="shared" si="36"/>
        <v>A</v>
      </c>
    </row>
    <row r="566" spans="1:7" x14ac:dyDescent="0.3">
      <c r="A566" t="s">
        <v>728</v>
      </c>
      <c r="B566" t="s">
        <v>1069</v>
      </c>
      <c r="C566" s="4">
        <v>16219.34496</v>
      </c>
      <c r="D566" s="4">
        <f t="shared" si="34"/>
        <v>1616102.6546599986</v>
      </c>
      <c r="E566" s="4">
        <f t="shared" si="37"/>
        <v>1152190.0350499996</v>
      </c>
      <c r="F566">
        <f t="shared" si="35"/>
        <v>0.71294359410132979</v>
      </c>
      <c r="G566" t="str">
        <f t="shared" si="36"/>
        <v>A</v>
      </c>
    </row>
    <row r="567" spans="1:7" x14ac:dyDescent="0.3">
      <c r="A567" t="s">
        <v>728</v>
      </c>
      <c r="B567" t="s">
        <v>942</v>
      </c>
      <c r="C567" s="4">
        <v>15825.399369999997</v>
      </c>
      <c r="D567" s="4">
        <f t="shared" si="34"/>
        <v>1616102.6546599986</v>
      </c>
      <c r="E567" s="4">
        <f t="shared" si="37"/>
        <v>1168015.4344199996</v>
      </c>
      <c r="F567">
        <f t="shared" si="35"/>
        <v>0.72273591720925101</v>
      </c>
      <c r="G567" t="str">
        <f t="shared" si="36"/>
        <v>A</v>
      </c>
    </row>
    <row r="568" spans="1:7" x14ac:dyDescent="0.3">
      <c r="A568" t="s">
        <v>728</v>
      </c>
      <c r="B568" t="s">
        <v>910</v>
      </c>
      <c r="C568" s="4">
        <v>15656.47056</v>
      </c>
      <c r="D568" s="4">
        <f t="shared" si="34"/>
        <v>1616102.6546599986</v>
      </c>
      <c r="E568" s="4">
        <f t="shared" si="37"/>
        <v>1183671.9049799996</v>
      </c>
      <c r="F568">
        <f t="shared" si="35"/>
        <v>0.73242371180253074</v>
      </c>
      <c r="G568" t="str">
        <f t="shared" si="36"/>
        <v>A</v>
      </c>
    </row>
    <row r="569" spans="1:7" x14ac:dyDescent="0.3">
      <c r="A569" t="s">
        <v>728</v>
      </c>
      <c r="B569" t="s">
        <v>772</v>
      </c>
      <c r="C569" s="4">
        <v>14968.239</v>
      </c>
      <c r="D569" s="4">
        <f t="shared" si="34"/>
        <v>1616102.6546599986</v>
      </c>
      <c r="E569" s="4">
        <f t="shared" si="37"/>
        <v>1198640.1439799997</v>
      </c>
      <c r="F569">
        <f t="shared" si="35"/>
        <v>0.74168564758169642</v>
      </c>
      <c r="G569" t="str">
        <f t="shared" si="36"/>
        <v>A</v>
      </c>
    </row>
    <row r="570" spans="1:7" x14ac:dyDescent="0.3">
      <c r="A570" t="s">
        <v>728</v>
      </c>
      <c r="B570" t="s">
        <v>882</v>
      </c>
      <c r="C570" s="4">
        <v>14877.464000000002</v>
      </c>
      <c r="D570" s="4">
        <f t="shared" si="34"/>
        <v>1616102.6546599986</v>
      </c>
      <c r="E570" s="4">
        <f t="shared" si="37"/>
        <v>1213517.6079799996</v>
      </c>
      <c r="F570">
        <f t="shared" si="35"/>
        <v>0.75089141428042749</v>
      </c>
      <c r="G570" t="str">
        <f t="shared" si="36"/>
        <v>A</v>
      </c>
    </row>
    <row r="571" spans="1:7" x14ac:dyDescent="0.3">
      <c r="A571" t="s">
        <v>728</v>
      </c>
      <c r="B571" t="s">
        <v>1093</v>
      </c>
      <c r="C571" s="4">
        <v>14813.731920000002</v>
      </c>
      <c r="D571" s="4">
        <f t="shared" si="34"/>
        <v>1616102.6546599986</v>
      </c>
      <c r="E571" s="4">
        <f t="shared" si="37"/>
        <v>1228331.3398999996</v>
      </c>
      <c r="F571">
        <f t="shared" si="35"/>
        <v>0.76005774531594983</v>
      </c>
      <c r="G571" t="str">
        <f t="shared" si="36"/>
        <v>A</v>
      </c>
    </row>
    <row r="572" spans="1:7" x14ac:dyDescent="0.3">
      <c r="A572" t="s">
        <v>728</v>
      </c>
      <c r="B572" t="s">
        <v>1292</v>
      </c>
      <c r="C572" s="4">
        <v>13251.48</v>
      </c>
      <c r="D572" s="4">
        <f t="shared" si="34"/>
        <v>1616102.6546599986</v>
      </c>
      <c r="E572" s="4">
        <f t="shared" si="37"/>
        <v>1241582.8198999995</v>
      </c>
      <c r="F572">
        <f t="shared" si="35"/>
        <v>0.76825739770918711</v>
      </c>
      <c r="G572" t="str">
        <f t="shared" si="36"/>
        <v>A</v>
      </c>
    </row>
    <row r="573" spans="1:7" x14ac:dyDescent="0.3">
      <c r="A573" t="s">
        <v>728</v>
      </c>
      <c r="B573" t="s">
        <v>1163</v>
      </c>
      <c r="C573" s="4">
        <v>12955.824749999998</v>
      </c>
      <c r="D573" s="4">
        <f t="shared" si="34"/>
        <v>1616102.6546599986</v>
      </c>
      <c r="E573" s="4">
        <f t="shared" si="37"/>
        <v>1254538.6446499994</v>
      </c>
      <c r="F573">
        <f t="shared" si="35"/>
        <v>0.7762741067422686</v>
      </c>
      <c r="G573" t="str">
        <f t="shared" si="36"/>
        <v>A</v>
      </c>
    </row>
    <row r="574" spans="1:7" x14ac:dyDescent="0.3">
      <c r="A574" t="s">
        <v>728</v>
      </c>
      <c r="B574" t="s">
        <v>1098</v>
      </c>
      <c r="C574" s="4">
        <v>12717.311040000001</v>
      </c>
      <c r="D574" s="4">
        <f t="shared" si="34"/>
        <v>1616102.6546599986</v>
      </c>
      <c r="E574" s="4">
        <f t="shared" si="37"/>
        <v>1267255.9556899995</v>
      </c>
      <c r="F574">
        <f t="shared" si="35"/>
        <v>0.78414323003300135</v>
      </c>
      <c r="G574" t="str">
        <f t="shared" si="36"/>
        <v>A</v>
      </c>
    </row>
    <row r="575" spans="1:7" x14ac:dyDescent="0.3">
      <c r="A575" t="s">
        <v>728</v>
      </c>
      <c r="B575" t="s">
        <v>999</v>
      </c>
      <c r="C575" s="4">
        <v>12597.52224</v>
      </c>
      <c r="D575" s="4">
        <f t="shared" si="34"/>
        <v>1616102.6546599986</v>
      </c>
      <c r="E575" s="4">
        <f t="shared" si="37"/>
        <v>1279853.4779299996</v>
      </c>
      <c r="F575">
        <f t="shared" si="35"/>
        <v>0.79193823129958274</v>
      </c>
      <c r="G575" t="str">
        <f t="shared" si="36"/>
        <v>A</v>
      </c>
    </row>
    <row r="576" spans="1:7" x14ac:dyDescent="0.3">
      <c r="A576" t="s">
        <v>728</v>
      </c>
      <c r="B576" t="s">
        <v>1183</v>
      </c>
      <c r="C576" s="4">
        <v>12462.65055</v>
      </c>
      <c r="D576" s="4">
        <f t="shared" si="34"/>
        <v>1616102.6546599986</v>
      </c>
      <c r="E576" s="4">
        <f t="shared" si="37"/>
        <v>1292316.1284799995</v>
      </c>
      <c r="F576">
        <f t="shared" si="35"/>
        <v>0.79964977766333878</v>
      </c>
      <c r="G576" t="str">
        <f t="shared" si="36"/>
        <v>A</v>
      </c>
    </row>
    <row r="577" spans="1:7" x14ac:dyDescent="0.3">
      <c r="A577" t="s">
        <v>728</v>
      </c>
      <c r="B577" t="s">
        <v>868</v>
      </c>
      <c r="C577" s="4">
        <v>12031.491680000001</v>
      </c>
      <c r="D577" s="4">
        <f t="shared" si="34"/>
        <v>1616102.6546599986</v>
      </c>
      <c r="E577" s="4">
        <f t="shared" si="37"/>
        <v>1304347.6201599995</v>
      </c>
      <c r="F577">
        <f t="shared" si="35"/>
        <v>0.80709453474316128</v>
      </c>
      <c r="G577" t="str">
        <f t="shared" si="36"/>
        <v>B</v>
      </c>
    </row>
    <row r="578" spans="1:7" x14ac:dyDescent="0.3">
      <c r="A578" t="s">
        <v>728</v>
      </c>
      <c r="B578" t="s">
        <v>898</v>
      </c>
      <c r="C578" s="4">
        <v>11851.806399999999</v>
      </c>
      <c r="D578" s="4">
        <f t="shared" ref="D578:D631" si="38">SUMIF($A:$A,A578,$C:$C)</f>
        <v>1616102.6546599986</v>
      </c>
      <c r="E578" s="4">
        <f t="shared" si="37"/>
        <v>1316199.4265599994</v>
      </c>
      <c r="F578">
        <f t="shared" ref="F578:F631" si="39">E578/D578</f>
        <v>0.81442810749970962</v>
      </c>
      <c r="G578" t="str">
        <f t="shared" ref="G578:G631" si="40">IF(F578&lt;=0.8,"A",IF(F578&lt;=0.95,"B","C"))</f>
        <v>B</v>
      </c>
    </row>
    <row r="579" spans="1:7" x14ac:dyDescent="0.3">
      <c r="A579" t="s">
        <v>728</v>
      </c>
      <c r="B579" t="s">
        <v>1008</v>
      </c>
      <c r="C579" s="4">
        <v>11417.429099999999</v>
      </c>
      <c r="D579" s="4">
        <f t="shared" si="38"/>
        <v>1616102.6546599986</v>
      </c>
      <c r="E579" s="4">
        <f t="shared" si="37"/>
        <v>1327616.8556599994</v>
      </c>
      <c r="F579">
        <f t="shared" si="39"/>
        <v>0.82149289949610793</v>
      </c>
      <c r="G579" t="str">
        <f t="shared" si="40"/>
        <v>B</v>
      </c>
    </row>
    <row r="580" spans="1:7" x14ac:dyDescent="0.3">
      <c r="A580" t="s">
        <v>728</v>
      </c>
      <c r="B580" t="s">
        <v>1260</v>
      </c>
      <c r="C580" s="4">
        <v>11406.96</v>
      </c>
      <c r="D580" s="4">
        <f t="shared" si="38"/>
        <v>1616102.6546599986</v>
      </c>
      <c r="E580" s="4">
        <f t="shared" si="37"/>
        <v>1339023.8156599994</v>
      </c>
      <c r="F580">
        <f t="shared" si="39"/>
        <v>0.82855121350054828</v>
      </c>
      <c r="G580" t="str">
        <f t="shared" si="40"/>
        <v>B</v>
      </c>
    </row>
    <row r="581" spans="1:7" x14ac:dyDescent="0.3">
      <c r="A581" t="s">
        <v>728</v>
      </c>
      <c r="B581" t="s">
        <v>738</v>
      </c>
      <c r="C581" s="4">
        <v>10957.9797</v>
      </c>
      <c r="D581" s="4">
        <f t="shared" si="38"/>
        <v>1616102.6546599986</v>
      </c>
      <c r="E581" s="4">
        <f t="shared" si="37"/>
        <v>1349981.7953599994</v>
      </c>
      <c r="F581">
        <f t="shared" si="39"/>
        <v>0.83533171080893576</v>
      </c>
      <c r="G581" t="str">
        <f t="shared" si="40"/>
        <v>B</v>
      </c>
    </row>
    <row r="582" spans="1:7" x14ac:dyDescent="0.3">
      <c r="A582" t="s">
        <v>728</v>
      </c>
      <c r="B582" t="s">
        <v>1235</v>
      </c>
      <c r="C582" s="4">
        <v>10869.182940000001</v>
      </c>
      <c r="D582" s="4">
        <f t="shared" si="38"/>
        <v>1616102.6546599986</v>
      </c>
      <c r="E582" s="4">
        <f t="shared" si="37"/>
        <v>1360850.9782999994</v>
      </c>
      <c r="F582">
        <f t="shared" si="39"/>
        <v>0.84205726311754625</v>
      </c>
      <c r="G582" t="str">
        <f t="shared" si="40"/>
        <v>B</v>
      </c>
    </row>
    <row r="583" spans="1:7" x14ac:dyDescent="0.3">
      <c r="A583" t="s">
        <v>728</v>
      </c>
      <c r="B583" t="s">
        <v>777</v>
      </c>
      <c r="C583" s="4">
        <v>10666.229420000001</v>
      </c>
      <c r="D583" s="4">
        <f t="shared" si="38"/>
        <v>1616102.6546599986</v>
      </c>
      <c r="E583" s="4">
        <f t="shared" si="37"/>
        <v>1371517.2077199994</v>
      </c>
      <c r="F583">
        <f t="shared" si="39"/>
        <v>0.84865723335411758</v>
      </c>
      <c r="G583" t="str">
        <f t="shared" si="40"/>
        <v>B</v>
      </c>
    </row>
    <row r="584" spans="1:7" x14ac:dyDescent="0.3">
      <c r="A584" t="s">
        <v>728</v>
      </c>
      <c r="B584" t="s">
        <v>1347</v>
      </c>
      <c r="C584" s="4">
        <v>10464.138360000001</v>
      </c>
      <c r="D584" s="4">
        <f t="shared" si="38"/>
        <v>1616102.6546599986</v>
      </c>
      <c r="E584" s="4">
        <f t="shared" si="37"/>
        <v>1381981.3460799993</v>
      </c>
      <c r="F584">
        <f t="shared" si="39"/>
        <v>0.85513215518524444</v>
      </c>
      <c r="G584" t="str">
        <f t="shared" si="40"/>
        <v>B</v>
      </c>
    </row>
    <row r="585" spans="1:7" x14ac:dyDescent="0.3">
      <c r="A585" t="s">
        <v>728</v>
      </c>
      <c r="B585" t="s">
        <v>1203</v>
      </c>
      <c r="C585" s="4">
        <v>10428.057360000001</v>
      </c>
      <c r="D585" s="4">
        <f t="shared" si="38"/>
        <v>1616102.6546599986</v>
      </c>
      <c r="E585" s="4">
        <f t="shared" si="37"/>
        <v>1392409.4034399993</v>
      </c>
      <c r="F585">
        <f t="shared" si="39"/>
        <v>0.86158475108311694</v>
      </c>
      <c r="G585" t="str">
        <f t="shared" si="40"/>
        <v>B</v>
      </c>
    </row>
    <row r="586" spans="1:7" x14ac:dyDescent="0.3">
      <c r="A586" t="s">
        <v>728</v>
      </c>
      <c r="B586" t="s">
        <v>1342</v>
      </c>
      <c r="C586" s="4">
        <v>10260.060159999999</v>
      </c>
      <c r="D586" s="4">
        <f t="shared" si="38"/>
        <v>1616102.6546599986</v>
      </c>
      <c r="E586" s="4">
        <f t="shared" si="37"/>
        <v>1402669.4635999994</v>
      </c>
      <c r="F586">
        <f t="shared" si="39"/>
        <v>0.8679333949210658</v>
      </c>
      <c r="G586" t="str">
        <f t="shared" si="40"/>
        <v>B</v>
      </c>
    </row>
    <row r="587" spans="1:7" x14ac:dyDescent="0.3">
      <c r="A587" t="s">
        <v>728</v>
      </c>
      <c r="B587" t="s">
        <v>826</v>
      </c>
      <c r="C587" s="4">
        <v>10161.46624</v>
      </c>
      <c r="D587" s="4">
        <f t="shared" si="38"/>
        <v>1616102.6546599986</v>
      </c>
      <c r="E587" s="4">
        <f t="shared" si="37"/>
        <v>1412830.9298399994</v>
      </c>
      <c r="F587">
        <f t="shared" si="39"/>
        <v>0.87422103154532338</v>
      </c>
      <c r="G587" t="str">
        <f t="shared" si="40"/>
        <v>B</v>
      </c>
    </row>
    <row r="588" spans="1:7" x14ac:dyDescent="0.3">
      <c r="A588" t="s">
        <v>728</v>
      </c>
      <c r="B588" t="s">
        <v>877</v>
      </c>
      <c r="C588" s="4">
        <v>9969.4201499999999</v>
      </c>
      <c r="D588" s="4">
        <f t="shared" si="38"/>
        <v>1616102.6546599986</v>
      </c>
      <c r="E588" s="4">
        <f t="shared" si="37"/>
        <v>1422800.3499899993</v>
      </c>
      <c r="F588">
        <f t="shared" si="39"/>
        <v>0.88038983531608217</v>
      </c>
      <c r="G588" t="str">
        <f t="shared" si="40"/>
        <v>B</v>
      </c>
    </row>
    <row r="589" spans="1:7" x14ac:dyDescent="0.3">
      <c r="A589" t="s">
        <v>728</v>
      </c>
      <c r="B589" t="s">
        <v>1035</v>
      </c>
      <c r="C589" s="4">
        <v>9866.3104799999983</v>
      </c>
      <c r="D589" s="4">
        <f t="shared" si="38"/>
        <v>1616102.6546599986</v>
      </c>
      <c r="E589" s="4">
        <f t="shared" si="37"/>
        <v>1432666.6604699993</v>
      </c>
      <c r="F589">
        <f t="shared" si="39"/>
        <v>0.88649483765089709</v>
      </c>
      <c r="G589" t="str">
        <f t="shared" si="40"/>
        <v>B</v>
      </c>
    </row>
    <row r="590" spans="1:7" x14ac:dyDescent="0.3">
      <c r="A590" t="s">
        <v>728</v>
      </c>
      <c r="B590" t="s">
        <v>1119</v>
      </c>
      <c r="C590" s="4">
        <v>9586.8057599999993</v>
      </c>
      <c r="D590" s="4">
        <f t="shared" si="38"/>
        <v>1616102.6546599986</v>
      </c>
      <c r="E590" s="4">
        <f t="shared" si="37"/>
        <v>1442253.4662299992</v>
      </c>
      <c r="F590">
        <f t="shared" si="39"/>
        <v>0.89242689013058119</v>
      </c>
      <c r="G590" t="str">
        <f t="shared" si="40"/>
        <v>B</v>
      </c>
    </row>
    <row r="591" spans="1:7" x14ac:dyDescent="0.3">
      <c r="A591" t="s">
        <v>728</v>
      </c>
      <c r="B591" t="s">
        <v>1258</v>
      </c>
      <c r="C591" s="4">
        <v>8326.6852500000005</v>
      </c>
      <c r="D591" s="4">
        <f t="shared" si="38"/>
        <v>1616102.6546599986</v>
      </c>
      <c r="E591" s="4">
        <f t="shared" si="37"/>
        <v>1450580.1514799993</v>
      </c>
      <c r="F591">
        <f t="shared" si="39"/>
        <v>0.89757921459833101</v>
      </c>
      <c r="G591" t="str">
        <f t="shared" si="40"/>
        <v>B</v>
      </c>
    </row>
    <row r="592" spans="1:7" x14ac:dyDescent="0.3">
      <c r="A592" t="s">
        <v>728</v>
      </c>
      <c r="B592" t="s">
        <v>884</v>
      </c>
      <c r="C592" s="4">
        <v>7901.5041599999995</v>
      </c>
      <c r="D592" s="4">
        <f t="shared" si="38"/>
        <v>1616102.6546599986</v>
      </c>
      <c r="E592" s="4">
        <f t="shared" si="37"/>
        <v>1458481.6556399993</v>
      </c>
      <c r="F592">
        <f t="shared" si="39"/>
        <v>0.90246844866846643</v>
      </c>
      <c r="G592" t="str">
        <f t="shared" si="40"/>
        <v>B</v>
      </c>
    </row>
    <row r="593" spans="1:7" x14ac:dyDescent="0.3">
      <c r="A593" t="s">
        <v>728</v>
      </c>
      <c r="B593" t="s">
        <v>1003</v>
      </c>
      <c r="C593" s="4">
        <v>7678.2113999999992</v>
      </c>
      <c r="D593" s="4">
        <f t="shared" si="38"/>
        <v>1616102.6546599986</v>
      </c>
      <c r="E593" s="4">
        <f t="shared" si="37"/>
        <v>1466159.8670399992</v>
      </c>
      <c r="F593">
        <f t="shared" si="39"/>
        <v>0.9072195153026682</v>
      </c>
      <c r="G593" t="str">
        <f t="shared" si="40"/>
        <v>B</v>
      </c>
    </row>
    <row r="594" spans="1:7" x14ac:dyDescent="0.3">
      <c r="A594" t="s">
        <v>728</v>
      </c>
      <c r="B594" t="s">
        <v>1333</v>
      </c>
      <c r="C594" s="4">
        <v>7466.3063999999986</v>
      </c>
      <c r="D594" s="4">
        <f t="shared" si="38"/>
        <v>1616102.6546599986</v>
      </c>
      <c r="E594" s="4">
        <f t="shared" si="37"/>
        <v>1473626.1734399991</v>
      </c>
      <c r="F594">
        <f t="shared" si="39"/>
        <v>0.91183946093450718</v>
      </c>
      <c r="G594" t="str">
        <f t="shared" si="40"/>
        <v>B</v>
      </c>
    </row>
    <row r="595" spans="1:7" x14ac:dyDescent="0.3">
      <c r="A595" t="s">
        <v>728</v>
      </c>
      <c r="B595" t="s">
        <v>963</v>
      </c>
      <c r="C595" s="4">
        <v>7446.5209000000004</v>
      </c>
      <c r="D595" s="4">
        <f t="shared" si="38"/>
        <v>1616102.6546599986</v>
      </c>
      <c r="E595" s="4">
        <f t="shared" ref="E595:E631" si="41">IF(A595=A594,E594+C595,C595)</f>
        <v>1481072.694339999</v>
      </c>
      <c r="F595">
        <f t="shared" si="39"/>
        <v>0.91644716384157687</v>
      </c>
      <c r="G595" t="str">
        <f t="shared" si="40"/>
        <v>B</v>
      </c>
    </row>
    <row r="596" spans="1:7" x14ac:dyDescent="0.3">
      <c r="A596" t="s">
        <v>728</v>
      </c>
      <c r="B596" t="s">
        <v>780</v>
      </c>
      <c r="C596" s="4">
        <v>7135.57</v>
      </c>
      <c r="D596" s="4">
        <f t="shared" si="38"/>
        <v>1616102.6546599986</v>
      </c>
      <c r="E596" s="4">
        <f t="shared" si="41"/>
        <v>1488208.2643399991</v>
      </c>
      <c r="F596">
        <f t="shared" si="39"/>
        <v>0.92086245885976448</v>
      </c>
      <c r="G596" t="str">
        <f t="shared" si="40"/>
        <v>B</v>
      </c>
    </row>
    <row r="597" spans="1:7" x14ac:dyDescent="0.3">
      <c r="A597" t="s">
        <v>728</v>
      </c>
      <c r="B597" t="s">
        <v>946</v>
      </c>
      <c r="C597" s="4">
        <v>6984.8246399999998</v>
      </c>
      <c r="D597" s="4">
        <f t="shared" si="38"/>
        <v>1616102.6546599986</v>
      </c>
      <c r="E597" s="4">
        <f t="shared" si="41"/>
        <v>1495193.0889799991</v>
      </c>
      <c r="F597">
        <f t="shared" si="39"/>
        <v>0.92518447678347704</v>
      </c>
      <c r="G597" t="str">
        <f t="shared" si="40"/>
        <v>B</v>
      </c>
    </row>
    <row r="598" spans="1:7" x14ac:dyDescent="0.3">
      <c r="A598" t="s">
        <v>728</v>
      </c>
      <c r="B598" t="s">
        <v>1144</v>
      </c>
      <c r="C598" s="4">
        <v>6899.8804600000003</v>
      </c>
      <c r="D598" s="4">
        <f t="shared" si="38"/>
        <v>1616102.6546599986</v>
      </c>
      <c r="E598" s="4">
        <f t="shared" si="41"/>
        <v>1502092.969439999</v>
      </c>
      <c r="F598">
        <f t="shared" si="39"/>
        <v>0.9294539335782569</v>
      </c>
      <c r="G598" t="str">
        <f t="shared" si="40"/>
        <v>B</v>
      </c>
    </row>
    <row r="599" spans="1:7" x14ac:dyDescent="0.3">
      <c r="A599" t="s">
        <v>728</v>
      </c>
      <c r="B599" t="s">
        <v>769</v>
      </c>
      <c r="C599" s="4">
        <v>6631.6443100000006</v>
      </c>
      <c r="D599" s="4">
        <f t="shared" si="38"/>
        <v>1616102.6546599986</v>
      </c>
      <c r="E599" s="4">
        <f t="shared" si="41"/>
        <v>1508724.6137499989</v>
      </c>
      <c r="F599">
        <f t="shared" si="39"/>
        <v>0.93355741319997376</v>
      </c>
      <c r="G599" t="str">
        <f t="shared" si="40"/>
        <v>B</v>
      </c>
    </row>
    <row r="600" spans="1:7" x14ac:dyDescent="0.3">
      <c r="A600" t="s">
        <v>728</v>
      </c>
      <c r="B600" t="s">
        <v>952</v>
      </c>
      <c r="C600" s="4">
        <v>6535.6324800000002</v>
      </c>
      <c r="D600" s="4">
        <f t="shared" si="38"/>
        <v>1616102.6546599986</v>
      </c>
      <c r="E600" s="4">
        <f t="shared" si="41"/>
        <v>1515260.2462299988</v>
      </c>
      <c r="F600">
        <f t="shared" si="39"/>
        <v>0.93760148333447579</v>
      </c>
      <c r="G600" t="str">
        <f t="shared" si="40"/>
        <v>B</v>
      </c>
    </row>
    <row r="601" spans="1:7" x14ac:dyDescent="0.3">
      <c r="A601" t="s">
        <v>728</v>
      </c>
      <c r="B601" t="s">
        <v>1176</v>
      </c>
      <c r="C601" s="4">
        <v>5960.04288</v>
      </c>
      <c r="D601" s="4">
        <f t="shared" si="38"/>
        <v>1616102.6546599986</v>
      </c>
      <c r="E601" s="4">
        <f t="shared" si="41"/>
        <v>1521220.2891099988</v>
      </c>
      <c r="F601">
        <f t="shared" si="39"/>
        <v>0.94128939441043025</v>
      </c>
      <c r="G601" t="str">
        <f t="shared" si="40"/>
        <v>B</v>
      </c>
    </row>
    <row r="602" spans="1:7" x14ac:dyDescent="0.3">
      <c r="A602" t="s">
        <v>728</v>
      </c>
      <c r="B602" t="s">
        <v>1336</v>
      </c>
      <c r="C602" s="4">
        <v>5457.4317000000001</v>
      </c>
      <c r="D602" s="4">
        <f t="shared" si="38"/>
        <v>1616102.6546599986</v>
      </c>
      <c r="E602" s="4">
        <f t="shared" si="41"/>
        <v>1526677.7208099989</v>
      </c>
      <c r="F602">
        <f t="shared" si="39"/>
        <v>0.9446663034726509</v>
      </c>
      <c r="G602" t="str">
        <f t="shared" si="40"/>
        <v>B</v>
      </c>
    </row>
    <row r="603" spans="1:7" x14ac:dyDescent="0.3">
      <c r="A603" t="s">
        <v>728</v>
      </c>
      <c r="B603" t="s">
        <v>1042</v>
      </c>
      <c r="C603" s="4">
        <v>5334.9141999999993</v>
      </c>
      <c r="D603" s="4">
        <f t="shared" si="38"/>
        <v>1616102.6546599986</v>
      </c>
      <c r="E603" s="4">
        <f t="shared" si="41"/>
        <v>1532012.6350099989</v>
      </c>
      <c r="F603">
        <f t="shared" si="39"/>
        <v>0.94796740206599639</v>
      </c>
      <c r="G603" t="str">
        <f t="shared" si="40"/>
        <v>B</v>
      </c>
    </row>
    <row r="604" spans="1:7" x14ac:dyDescent="0.3">
      <c r="A604" t="s">
        <v>728</v>
      </c>
      <c r="B604" t="s">
        <v>1214</v>
      </c>
      <c r="C604" s="4">
        <v>4738.5261</v>
      </c>
      <c r="D604" s="4">
        <f t="shared" si="38"/>
        <v>1616102.6546599986</v>
      </c>
      <c r="E604" s="4">
        <f t="shared" si="41"/>
        <v>1536751.1611099988</v>
      </c>
      <c r="F604">
        <f t="shared" si="39"/>
        <v>0.95089947205940695</v>
      </c>
      <c r="G604" t="str">
        <f t="shared" si="40"/>
        <v>C</v>
      </c>
    </row>
    <row r="605" spans="1:7" x14ac:dyDescent="0.3">
      <c r="A605" t="s">
        <v>728</v>
      </c>
      <c r="B605" t="s">
        <v>935</v>
      </c>
      <c r="C605" s="4">
        <v>4637.7968000000001</v>
      </c>
      <c r="D605" s="4">
        <f t="shared" si="38"/>
        <v>1616102.6546599986</v>
      </c>
      <c r="E605" s="4">
        <f t="shared" si="41"/>
        <v>1541388.9579099987</v>
      </c>
      <c r="F605">
        <f t="shared" si="39"/>
        <v>0.95376921352454658</v>
      </c>
      <c r="G605" t="str">
        <f t="shared" si="40"/>
        <v>C</v>
      </c>
    </row>
    <row r="606" spans="1:7" x14ac:dyDescent="0.3">
      <c r="A606" t="s">
        <v>728</v>
      </c>
      <c r="B606" t="s">
        <v>1103</v>
      </c>
      <c r="C606" s="4">
        <v>4569.5735999999997</v>
      </c>
      <c r="D606" s="4">
        <f t="shared" si="38"/>
        <v>1616102.6546599986</v>
      </c>
      <c r="E606" s="4">
        <f t="shared" si="41"/>
        <v>1545958.5315099987</v>
      </c>
      <c r="F606">
        <f t="shared" si="39"/>
        <v>0.95659674034459341</v>
      </c>
      <c r="G606" t="str">
        <f t="shared" si="40"/>
        <v>C</v>
      </c>
    </row>
    <row r="607" spans="1:7" x14ac:dyDescent="0.3">
      <c r="A607" t="s">
        <v>728</v>
      </c>
      <c r="B607" t="s">
        <v>974</v>
      </c>
      <c r="C607" s="4">
        <v>4436.6291200000005</v>
      </c>
      <c r="D607" s="4">
        <f t="shared" si="38"/>
        <v>1616102.6546599986</v>
      </c>
      <c r="E607" s="4">
        <f t="shared" si="41"/>
        <v>1550395.1606299987</v>
      </c>
      <c r="F607">
        <f t="shared" si="39"/>
        <v>0.95934200476650799</v>
      </c>
      <c r="G607" t="str">
        <f t="shared" si="40"/>
        <v>C</v>
      </c>
    </row>
    <row r="608" spans="1:7" x14ac:dyDescent="0.3">
      <c r="A608" t="s">
        <v>728</v>
      </c>
      <c r="B608" t="s">
        <v>913</v>
      </c>
      <c r="C608" s="4">
        <v>4420.5961799999995</v>
      </c>
      <c r="D608" s="4">
        <f t="shared" si="38"/>
        <v>1616102.6546599986</v>
      </c>
      <c r="E608" s="4">
        <f t="shared" si="41"/>
        <v>1554815.7568099988</v>
      </c>
      <c r="F608">
        <f t="shared" si="39"/>
        <v>0.96207734844486503</v>
      </c>
      <c r="G608" t="str">
        <f t="shared" si="40"/>
        <v>C</v>
      </c>
    </row>
    <row r="609" spans="1:7" x14ac:dyDescent="0.3">
      <c r="A609" t="s">
        <v>728</v>
      </c>
      <c r="B609" t="s">
        <v>1330</v>
      </c>
      <c r="C609" s="4">
        <v>4409.5168800000001</v>
      </c>
      <c r="D609" s="4">
        <f t="shared" si="38"/>
        <v>1616102.6546599986</v>
      </c>
      <c r="E609" s="4">
        <f t="shared" si="41"/>
        <v>1559225.2736899988</v>
      </c>
      <c r="F609">
        <f t="shared" si="39"/>
        <v>0.96480583655623908</v>
      </c>
      <c r="G609" t="str">
        <f t="shared" si="40"/>
        <v>C</v>
      </c>
    </row>
    <row r="610" spans="1:7" x14ac:dyDescent="0.3">
      <c r="A610" t="s">
        <v>728</v>
      </c>
      <c r="B610" t="s">
        <v>927</v>
      </c>
      <c r="C610" s="4">
        <v>4402.1164799999997</v>
      </c>
      <c r="D610" s="4">
        <f t="shared" si="38"/>
        <v>1616102.6546599986</v>
      </c>
      <c r="E610" s="4">
        <f t="shared" si="41"/>
        <v>1563627.3901699989</v>
      </c>
      <c r="F610">
        <f t="shared" si="39"/>
        <v>0.96752974550305426</v>
      </c>
      <c r="G610" t="str">
        <f t="shared" si="40"/>
        <v>C</v>
      </c>
    </row>
    <row r="611" spans="1:7" x14ac:dyDescent="0.3">
      <c r="A611" t="s">
        <v>728</v>
      </c>
      <c r="B611" t="s">
        <v>1030</v>
      </c>
      <c r="C611" s="4">
        <v>4241.88105</v>
      </c>
      <c r="D611" s="4">
        <f t="shared" si="38"/>
        <v>1616102.6546599986</v>
      </c>
      <c r="E611" s="4">
        <f t="shared" si="41"/>
        <v>1567869.2712199988</v>
      </c>
      <c r="F611">
        <f t="shared" si="39"/>
        <v>0.97015450516034996</v>
      </c>
      <c r="G611" t="str">
        <f t="shared" si="40"/>
        <v>C</v>
      </c>
    </row>
    <row r="612" spans="1:7" x14ac:dyDescent="0.3">
      <c r="A612" t="s">
        <v>728</v>
      </c>
      <c r="B612" t="s">
        <v>886</v>
      </c>
      <c r="C612" s="4">
        <v>4139.8127999999997</v>
      </c>
      <c r="D612" s="4">
        <f t="shared" si="38"/>
        <v>1616102.6546599986</v>
      </c>
      <c r="E612" s="4">
        <f t="shared" si="41"/>
        <v>1572009.0840199988</v>
      </c>
      <c r="F612">
        <f t="shared" si="39"/>
        <v>0.9727161077838361</v>
      </c>
      <c r="G612" t="str">
        <f t="shared" si="40"/>
        <v>C</v>
      </c>
    </row>
    <row r="613" spans="1:7" x14ac:dyDescent="0.3">
      <c r="A613" t="s">
        <v>728</v>
      </c>
      <c r="B613" t="s">
        <v>1084</v>
      </c>
      <c r="C613" s="4">
        <v>4132.0325200000007</v>
      </c>
      <c r="D613" s="4">
        <f t="shared" si="38"/>
        <v>1616102.6546599986</v>
      </c>
      <c r="E613" s="4">
        <f t="shared" si="41"/>
        <v>1576141.1165399987</v>
      </c>
      <c r="F613">
        <f t="shared" si="39"/>
        <v>0.9752728961834376</v>
      </c>
      <c r="G613" t="str">
        <f t="shared" si="40"/>
        <v>C</v>
      </c>
    </row>
    <row r="614" spans="1:7" x14ac:dyDescent="0.3">
      <c r="A614" t="s">
        <v>728</v>
      </c>
      <c r="B614" t="s">
        <v>1107</v>
      </c>
      <c r="C614" s="4">
        <v>4117.4880599999997</v>
      </c>
      <c r="D614" s="4">
        <f t="shared" si="38"/>
        <v>1616102.6546599986</v>
      </c>
      <c r="E614" s="4">
        <f t="shared" si="41"/>
        <v>1580258.6045999986</v>
      </c>
      <c r="F614">
        <f t="shared" si="39"/>
        <v>0.97782068487008267</v>
      </c>
      <c r="G614" t="str">
        <f t="shared" si="40"/>
        <v>C</v>
      </c>
    </row>
    <row r="615" spans="1:7" x14ac:dyDescent="0.3">
      <c r="A615" t="s">
        <v>728</v>
      </c>
      <c r="B615" t="s">
        <v>1195</v>
      </c>
      <c r="C615" s="4">
        <v>4055.5175999999997</v>
      </c>
      <c r="D615" s="4">
        <f t="shared" si="38"/>
        <v>1616102.6546599986</v>
      </c>
      <c r="E615" s="4">
        <f t="shared" si="41"/>
        <v>1584314.1221999985</v>
      </c>
      <c r="F615">
        <f t="shared" si="39"/>
        <v>0.98033012793566143</v>
      </c>
      <c r="G615" t="str">
        <f t="shared" si="40"/>
        <v>C</v>
      </c>
    </row>
    <row r="616" spans="1:7" x14ac:dyDescent="0.3">
      <c r="A616" t="s">
        <v>728</v>
      </c>
      <c r="B616" t="s">
        <v>1221</v>
      </c>
      <c r="C616" s="4">
        <v>4025.8565599999993</v>
      </c>
      <c r="D616" s="4">
        <f t="shared" si="38"/>
        <v>1616102.6546599986</v>
      </c>
      <c r="E616" s="4">
        <f t="shared" si="41"/>
        <v>1588339.9787599985</v>
      </c>
      <c r="F616">
        <f t="shared" si="39"/>
        <v>0.98282121756316221</v>
      </c>
      <c r="G616" t="str">
        <f t="shared" si="40"/>
        <v>C</v>
      </c>
    </row>
    <row r="617" spans="1:7" x14ac:dyDescent="0.3">
      <c r="A617" t="s">
        <v>728</v>
      </c>
      <c r="B617" t="s">
        <v>773</v>
      </c>
      <c r="C617" s="4">
        <v>3562.1983800000003</v>
      </c>
      <c r="D617" s="4">
        <f t="shared" si="38"/>
        <v>1616102.6546599986</v>
      </c>
      <c r="E617" s="4">
        <f t="shared" si="41"/>
        <v>1591902.1771399984</v>
      </c>
      <c r="F617">
        <f t="shared" si="39"/>
        <v>0.98502540822501672</v>
      </c>
      <c r="G617" t="str">
        <f t="shared" si="40"/>
        <v>C</v>
      </c>
    </row>
    <row r="618" spans="1:7" x14ac:dyDescent="0.3">
      <c r="A618" t="s">
        <v>728</v>
      </c>
      <c r="B618" t="s">
        <v>1329</v>
      </c>
      <c r="C618" s="4">
        <v>3116.21</v>
      </c>
      <c r="D618" s="4">
        <f t="shared" si="38"/>
        <v>1616102.6546599986</v>
      </c>
      <c r="E618" s="4">
        <f t="shared" si="41"/>
        <v>1595018.3871399984</v>
      </c>
      <c r="F618">
        <f t="shared" si="39"/>
        <v>0.98695363350885901</v>
      </c>
      <c r="G618" t="str">
        <f t="shared" si="40"/>
        <v>C</v>
      </c>
    </row>
    <row r="619" spans="1:7" x14ac:dyDescent="0.3">
      <c r="A619" t="s">
        <v>728</v>
      </c>
      <c r="B619" t="s">
        <v>966</v>
      </c>
      <c r="C619" s="4">
        <v>2879.9836</v>
      </c>
      <c r="D619" s="4">
        <f t="shared" si="38"/>
        <v>1616102.6546599986</v>
      </c>
      <c r="E619" s="4">
        <f t="shared" si="41"/>
        <v>1597898.3707399983</v>
      </c>
      <c r="F619">
        <f t="shared" si="39"/>
        <v>0.98873568837504933</v>
      </c>
      <c r="G619" t="str">
        <f t="shared" si="40"/>
        <v>C</v>
      </c>
    </row>
    <row r="620" spans="1:7" x14ac:dyDescent="0.3">
      <c r="A620" t="s">
        <v>728</v>
      </c>
      <c r="B620" t="s">
        <v>1340</v>
      </c>
      <c r="C620" s="4">
        <v>2736.27018</v>
      </c>
      <c r="D620" s="4">
        <f t="shared" si="38"/>
        <v>1616102.6546599986</v>
      </c>
      <c r="E620" s="4">
        <f t="shared" si="41"/>
        <v>1600634.6409199983</v>
      </c>
      <c r="F620">
        <f t="shared" si="39"/>
        <v>0.99042881731838095</v>
      </c>
      <c r="G620" t="str">
        <f t="shared" si="40"/>
        <v>C</v>
      </c>
    </row>
    <row r="621" spans="1:7" x14ac:dyDescent="0.3">
      <c r="A621" t="s">
        <v>728</v>
      </c>
      <c r="B621" t="s">
        <v>1124</v>
      </c>
      <c r="C621" s="4">
        <v>2525.0635000000002</v>
      </c>
      <c r="D621" s="4">
        <f t="shared" si="38"/>
        <v>1616102.6546599986</v>
      </c>
      <c r="E621" s="4">
        <f t="shared" si="41"/>
        <v>1603159.7044199982</v>
      </c>
      <c r="F621">
        <f t="shared" si="39"/>
        <v>0.991991257360614</v>
      </c>
      <c r="G621" t="str">
        <f t="shared" si="40"/>
        <v>C</v>
      </c>
    </row>
    <row r="622" spans="1:7" x14ac:dyDescent="0.3">
      <c r="A622" t="s">
        <v>728</v>
      </c>
      <c r="B622" t="s">
        <v>1259</v>
      </c>
      <c r="C622" s="4">
        <v>2146.5580500000001</v>
      </c>
      <c r="D622" s="4">
        <f t="shared" si="38"/>
        <v>1616102.6546599986</v>
      </c>
      <c r="E622" s="4">
        <f t="shared" si="41"/>
        <v>1605306.2624699983</v>
      </c>
      <c r="F622">
        <f t="shared" si="39"/>
        <v>0.99331948861115404</v>
      </c>
      <c r="G622" t="str">
        <f t="shared" si="40"/>
        <v>C</v>
      </c>
    </row>
    <row r="623" spans="1:7" x14ac:dyDescent="0.3">
      <c r="A623" t="s">
        <v>728</v>
      </c>
      <c r="B623" t="s">
        <v>908</v>
      </c>
      <c r="C623" s="4">
        <v>1952.6356799999999</v>
      </c>
      <c r="D623" s="4">
        <f t="shared" si="38"/>
        <v>1616102.6546599986</v>
      </c>
      <c r="E623" s="4">
        <f t="shared" si="41"/>
        <v>1607258.8981499984</v>
      </c>
      <c r="F623">
        <f t="shared" si="39"/>
        <v>0.99452772601758965</v>
      </c>
      <c r="G623" t="str">
        <f t="shared" si="40"/>
        <v>C</v>
      </c>
    </row>
    <row r="624" spans="1:7" x14ac:dyDescent="0.3">
      <c r="A624" t="s">
        <v>728</v>
      </c>
      <c r="B624" t="s">
        <v>1178</v>
      </c>
      <c r="C624" s="4">
        <v>1925.29872</v>
      </c>
      <c r="D624" s="4">
        <f t="shared" si="38"/>
        <v>1616102.6546599986</v>
      </c>
      <c r="E624" s="4">
        <f t="shared" si="41"/>
        <v>1609184.1968699985</v>
      </c>
      <c r="F624">
        <f t="shared" si="39"/>
        <v>0.99571904806291178</v>
      </c>
      <c r="G624" t="str">
        <f t="shared" si="40"/>
        <v>C</v>
      </c>
    </row>
    <row r="625" spans="1:7" x14ac:dyDescent="0.3">
      <c r="A625" t="s">
        <v>728</v>
      </c>
      <c r="B625" t="s">
        <v>760</v>
      </c>
      <c r="C625" s="4">
        <v>1756.6999999999998</v>
      </c>
      <c r="D625" s="4">
        <f t="shared" si="38"/>
        <v>1616102.6546599986</v>
      </c>
      <c r="E625" s="4">
        <f t="shared" si="41"/>
        <v>1610940.8968699984</v>
      </c>
      <c r="F625">
        <f t="shared" si="39"/>
        <v>0.99680604584423127</v>
      </c>
      <c r="G625" t="str">
        <f t="shared" si="40"/>
        <v>C</v>
      </c>
    </row>
    <row r="626" spans="1:7" x14ac:dyDescent="0.3">
      <c r="A626" t="s">
        <v>728</v>
      </c>
      <c r="B626" t="s">
        <v>1088</v>
      </c>
      <c r="C626" s="4">
        <v>1122.0896000000002</v>
      </c>
      <c r="D626" s="4">
        <f t="shared" si="38"/>
        <v>1616102.6546599986</v>
      </c>
      <c r="E626" s="4">
        <f t="shared" si="41"/>
        <v>1612062.9864699985</v>
      </c>
      <c r="F626">
        <f t="shared" si="39"/>
        <v>0.99750036411464837</v>
      </c>
      <c r="G626" t="str">
        <f t="shared" si="40"/>
        <v>C</v>
      </c>
    </row>
    <row r="627" spans="1:7" x14ac:dyDescent="0.3">
      <c r="A627" t="s">
        <v>728</v>
      </c>
      <c r="B627" t="s">
        <v>1025</v>
      </c>
      <c r="C627" s="4">
        <v>1098.9470800000001</v>
      </c>
      <c r="D627" s="4">
        <f t="shared" si="38"/>
        <v>1616102.6546599986</v>
      </c>
      <c r="E627" s="4">
        <f t="shared" si="41"/>
        <v>1613161.9335499986</v>
      </c>
      <c r="F627">
        <f t="shared" si="39"/>
        <v>0.9981803624283887</v>
      </c>
      <c r="G627" t="str">
        <f t="shared" si="40"/>
        <v>C</v>
      </c>
    </row>
    <row r="628" spans="1:7" x14ac:dyDescent="0.3">
      <c r="A628" t="s">
        <v>728</v>
      </c>
      <c r="B628" t="s">
        <v>850</v>
      </c>
      <c r="C628" s="4">
        <v>765.99195000000009</v>
      </c>
      <c r="D628" s="4">
        <f t="shared" si="38"/>
        <v>1616102.6546599986</v>
      </c>
      <c r="E628" s="4">
        <f t="shared" si="41"/>
        <v>1613927.9254999985</v>
      </c>
      <c r="F628">
        <f t="shared" si="39"/>
        <v>0.9986543372392036</v>
      </c>
      <c r="G628" t="str">
        <f t="shared" si="40"/>
        <v>C</v>
      </c>
    </row>
    <row r="629" spans="1:7" x14ac:dyDescent="0.3">
      <c r="A629" t="s">
        <v>728</v>
      </c>
      <c r="B629" t="s">
        <v>977</v>
      </c>
      <c r="C629" s="4">
        <v>748.22303999999997</v>
      </c>
      <c r="D629" s="4">
        <f t="shared" si="38"/>
        <v>1616102.6546599986</v>
      </c>
      <c r="E629" s="4">
        <f t="shared" si="41"/>
        <v>1614676.1485399986</v>
      </c>
      <c r="F629">
        <f t="shared" si="39"/>
        <v>0.99911731713583496</v>
      </c>
      <c r="G629" t="str">
        <f t="shared" si="40"/>
        <v>C</v>
      </c>
    </row>
    <row r="630" spans="1:7" x14ac:dyDescent="0.3">
      <c r="A630" t="s">
        <v>728</v>
      </c>
      <c r="B630" t="s">
        <v>1151</v>
      </c>
      <c r="C630" s="4">
        <v>741.43835999999999</v>
      </c>
      <c r="D630" s="4">
        <f t="shared" si="38"/>
        <v>1616102.6546599986</v>
      </c>
      <c r="E630" s="4">
        <f t="shared" si="41"/>
        <v>1615417.5868999986</v>
      </c>
      <c r="F630">
        <f t="shared" si="39"/>
        <v>0.99957609885855669</v>
      </c>
      <c r="G630" t="str">
        <f t="shared" si="40"/>
        <v>C</v>
      </c>
    </row>
    <row r="631" spans="1:7" x14ac:dyDescent="0.3">
      <c r="A631" t="s">
        <v>728</v>
      </c>
      <c r="B631" t="s">
        <v>741</v>
      </c>
      <c r="C631" s="4">
        <v>685.06776000000002</v>
      </c>
      <c r="D631" s="4">
        <f t="shared" si="38"/>
        <v>1616102.6546599986</v>
      </c>
      <c r="E631" s="4">
        <f t="shared" si="41"/>
        <v>1616102.6546599986</v>
      </c>
      <c r="F631">
        <f t="shared" si="39"/>
        <v>1</v>
      </c>
      <c r="G631" t="str">
        <f t="shared" si="40"/>
        <v>C</v>
      </c>
    </row>
  </sheetData>
  <autoFilter ref="A1:G639" xr:uid="{D913B0DE-1722-42D6-A53C-D873DCF0461E}">
    <sortState xmlns:xlrd2="http://schemas.microsoft.com/office/spreadsheetml/2017/richdata2" ref="A2:G639">
      <sortCondition descending="1" ref="C1:C639"/>
    </sortState>
  </autoFilter>
  <sortState xmlns:xlrd2="http://schemas.microsoft.com/office/spreadsheetml/2017/richdata2" ref="A2:G631">
    <sortCondition ref="A2:A631"/>
    <sortCondition descending="1" ref="C2:C631"/>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10D0-0B2C-49A4-9528-DBEB2CF76E84}">
  <dimension ref="A3:E32"/>
  <sheetViews>
    <sheetView tabSelected="1" topLeftCell="A7" workbookViewId="0">
      <selection activeCell="A15" sqref="A15"/>
    </sheetView>
  </sheetViews>
  <sheetFormatPr defaultRowHeight="14.4" x14ac:dyDescent="0.3"/>
  <cols>
    <col min="1" max="1" width="12.5546875" bestFit="1" customWidth="1"/>
    <col min="2" max="2" width="15.44140625" bestFit="1" customWidth="1"/>
    <col min="3" max="3" width="17.44140625" bestFit="1" customWidth="1"/>
  </cols>
  <sheetData>
    <row r="3" spans="1:5" x14ac:dyDescent="0.3">
      <c r="A3" s="12" t="s">
        <v>1445</v>
      </c>
      <c r="B3" t="s">
        <v>1456</v>
      </c>
      <c r="C3" t="s">
        <v>1469</v>
      </c>
    </row>
    <row r="4" spans="1:5" x14ac:dyDescent="0.3">
      <c r="A4" s="13" t="s">
        <v>646</v>
      </c>
      <c r="B4">
        <v>145</v>
      </c>
      <c r="C4" s="19">
        <v>22</v>
      </c>
    </row>
    <row r="5" spans="1:5" x14ac:dyDescent="0.3">
      <c r="A5" s="13" t="s">
        <v>648</v>
      </c>
      <c r="B5">
        <v>157</v>
      </c>
      <c r="C5" s="19">
        <v>27</v>
      </c>
    </row>
    <row r="6" spans="1:5" x14ac:dyDescent="0.3">
      <c r="A6" s="13" t="s">
        <v>647</v>
      </c>
      <c r="B6">
        <v>171</v>
      </c>
      <c r="C6" s="19">
        <v>24</v>
      </c>
    </row>
    <row r="7" spans="1:5" x14ac:dyDescent="0.3">
      <c r="A7" s="13" t="s">
        <v>649</v>
      </c>
      <c r="B7">
        <v>159</v>
      </c>
      <c r="C7" s="19">
        <v>17</v>
      </c>
    </row>
    <row r="8" spans="1:5" x14ac:dyDescent="0.3">
      <c r="A8" s="13" t="s">
        <v>1446</v>
      </c>
      <c r="B8">
        <v>632</v>
      </c>
      <c r="C8" s="19">
        <v>90</v>
      </c>
      <c r="E8" s="18">
        <f>GETPIVOTDATA("Sum of HighDiscPct",$A$3)/GETPIVOTDATA("Count of OrderID",$A$3)</f>
        <v>0.14240506329113925</v>
      </c>
    </row>
    <row r="15" spans="1:5" x14ac:dyDescent="0.3">
      <c r="A15" s="12" t="s">
        <v>1445</v>
      </c>
      <c r="B15" t="s">
        <v>1456</v>
      </c>
      <c r="C15" t="s">
        <v>1469</v>
      </c>
    </row>
    <row r="16" spans="1:5" x14ac:dyDescent="0.3">
      <c r="A16" s="13" t="s">
        <v>720</v>
      </c>
      <c r="B16">
        <v>46</v>
      </c>
      <c r="C16" s="19">
        <v>9</v>
      </c>
    </row>
    <row r="17" spans="1:3" x14ac:dyDescent="0.3">
      <c r="A17" s="13" t="s">
        <v>717</v>
      </c>
      <c r="B17">
        <v>48</v>
      </c>
      <c r="C17" s="19">
        <v>5</v>
      </c>
    </row>
    <row r="18" spans="1:3" x14ac:dyDescent="0.3">
      <c r="A18" s="13" t="s">
        <v>712</v>
      </c>
      <c r="B18">
        <v>37</v>
      </c>
      <c r="C18" s="19">
        <v>8</v>
      </c>
    </row>
    <row r="19" spans="1:3" x14ac:dyDescent="0.3">
      <c r="A19" s="13" t="s">
        <v>726</v>
      </c>
      <c r="B19">
        <v>38</v>
      </c>
      <c r="C19" s="19">
        <v>8</v>
      </c>
    </row>
    <row r="20" spans="1:3" x14ac:dyDescent="0.3">
      <c r="A20" s="13" t="s">
        <v>718</v>
      </c>
      <c r="B20">
        <v>34</v>
      </c>
      <c r="C20" s="19">
        <v>3</v>
      </c>
    </row>
    <row r="21" spans="1:3" x14ac:dyDescent="0.3">
      <c r="A21" s="13" t="s">
        <v>721</v>
      </c>
      <c r="B21">
        <v>51</v>
      </c>
      <c r="C21" s="19">
        <v>4</v>
      </c>
    </row>
    <row r="22" spans="1:3" x14ac:dyDescent="0.3">
      <c r="A22" s="13" t="s">
        <v>715</v>
      </c>
      <c r="B22">
        <v>30</v>
      </c>
      <c r="C22" s="19">
        <v>3</v>
      </c>
    </row>
    <row r="23" spans="1:3" x14ac:dyDescent="0.3">
      <c r="A23" s="13" t="s">
        <v>722</v>
      </c>
      <c r="B23">
        <v>45</v>
      </c>
      <c r="C23" s="19">
        <v>4</v>
      </c>
    </row>
    <row r="24" spans="1:3" x14ac:dyDescent="0.3">
      <c r="A24" s="13" t="s">
        <v>714</v>
      </c>
      <c r="B24">
        <v>38</v>
      </c>
      <c r="C24" s="19">
        <v>9</v>
      </c>
    </row>
    <row r="25" spans="1:3" x14ac:dyDescent="0.3">
      <c r="A25" s="13" t="s">
        <v>713</v>
      </c>
      <c r="B25">
        <v>50</v>
      </c>
      <c r="C25" s="19">
        <v>6</v>
      </c>
    </row>
    <row r="26" spans="1:3" x14ac:dyDescent="0.3">
      <c r="A26" s="13" t="s">
        <v>723</v>
      </c>
      <c r="B26">
        <v>44</v>
      </c>
      <c r="C26" s="19">
        <v>4</v>
      </c>
    </row>
    <row r="27" spans="1:3" x14ac:dyDescent="0.3">
      <c r="A27" s="13" t="s">
        <v>716</v>
      </c>
      <c r="B27">
        <v>46</v>
      </c>
      <c r="C27" s="19">
        <v>8</v>
      </c>
    </row>
    <row r="28" spans="1:3" x14ac:dyDescent="0.3">
      <c r="A28" s="13" t="s">
        <v>724</v>
      </c>
      <c r="B28">
        <v>48</v>
      </c>
      <c r="C28" s="19">
        <v>8</v>
      </c>
    </row>
    <row r="29" spans="1:3" x14ac:dyDescent="0.3">
      <c r="A29" s="13" t="s">
        <v>725</v>
      </c>
      <c r="B29">
        <v>32</v>
      </c>
      <c r="C29" s="19">
        <v>5</v>
      </c>
    </row>
    <row r="30" spans="1:3" x14ac:dyDescent="0.3">
      <c r="A30" s="13" t="s">
        <v>719</v>
      </c>
      <c r="B30">
        <v>37</v>
      </c>
      <c r="C30" s="19">
        <v>4</v>
      </c>
    </row>
    <row r="31" spans="1:3" x14ac:dyDescent="0.3">
      <c r="A31" s="13" t="s">
        <v>1455</v>
      </c>
      <c r="B31">
        <v>8</v>
      </c>
      <c r="C31" s="19">
        <v>2</v>
      </c>
    </row>
    <row r="32" spans="1:3" x14ac:dyDescent="0.3">
      <c r="A32" s="13" t="s">
        <v>1446</v>
      </c>
      <c r="B32">
        <v>632</v>
      </c>
      <c r="C32" s="19">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A740-8F2C-48B3-903A-3A137A8793E5}">
  <dimension ref="A3:F45"/>
  <sheetViews>
    <sheetView topLeftCell="A25" workbookViewId="0">
      <selection activeCell="B6" sqref="B6"/>
    </sheetView>
  </sheetViews>
  <sheetFormatPr defaultRowHeight="14.4" x14ac:dyDescent="0.3"/>
  <cols>
    <col min="1" max="1" width="12.5546875" bestFit="1" customWidth="1"/>
    <col min="2" max="2" width="19.5546875" bestFit="1" customWidth="1"/>
    <col min="3" max="3" width="15.44140625" bestFit="1" customWidth="1"/>
    <col min="4" max="4" width="16.77734375" bestFit="1" customWidth="1"/>
    <col min="5" max="5" width="25.6640625" bestFit="1" customWidth="1"/>
  </cols>
  <sheetData>
    <row r="3" spans="1:4" x14ac:dyDescent="0.3">
      <c r="A3" s="12" t="s">
        <v>1445</v>
      </c>
      <c r="B3" t="s">
        <v>1450</v>
      </c>
      <c r="C3" t="s">
        <v>1456</v>
      </c>
      <c r="D3" t="s">
        <v>1457</v>
      </c>
    </row>
    <row r="4" spans="1:4" x14ac:dyDescent="0.3">
      <c r="A4" s="13" t="s">
        <v>721</v>
      </c>
      <c r="B4" s="4">
        <v>812637.17232000048</v>
      </c>
      <c r="C4">
        <v>51</v>
      </c>
      <c r="D4" s="4">
        <v>251733.01231999995</v>
      </c>
    </row>
    <row r="5" spans="1:4" x14ac:dyDescent="0.3">
      <c r="A5" s="13" t="s">
        <v>713</v>
      </c>
      <c r="B5" s="4">
        <v>802384.66228000016</v>
      </c>
      <c r="C5">
        <v>50</v>
      </c>
      <c r="D5" s="4">
        <v>273113.11228</v>
      </c>
    </row>
    <row r="6" spans="1:4" x14ac:dyDescent="0.3">
      <c r="A6" s="13" t="s">
        <v>717</v>
      </c>
      <c r="B6" s="4">
        <v>893735.6608500001</v>
      </c>
      <c r="C6">
        <v>48</v>
      </c>
      <c r="D6" s="4">
        <v>315969.97084999998</v>
      </c>
    </row>
    <row r="7" spans="1:4" x14ac:dyDescent="0.3">
      <c r="A7" s="13" t="s">
        <v>724</v>
      </c>
      <c r="B7" s="4">
        <v>966298.98754999973</v>
      </c>
      <c r="C7">
        <v>48</v>
      </c>
      <c r="D7" s="4">
        <v>302657.05754999997</v>
      </c>
    </row>
    <row r="8" spans="1:4" x14ac:dyDescent="0.3">
      <c r="A8" s="13" t="s">
        <v>716</v>
      </c>
      <c r="B8" s="4">
        <v>853038.52344999998</v>
      </c>
      <c r="C8">
        <v>46</v>
      </c>
      <c r="D8" s="4">
        <v>269716.55345000001</v>
      </c>
    </row>
    <row r="9" spans="1:4" x14ac:dyDescent="0.3">
      <c r="A9" s="13" t="s">
        <v>720</v>
      </c>
      <c r="B9" s="4">
        <v>877159.52092999988</v>
      </c>
      <c r="C9">
        <v>46</v>
      </c>
      <c r="D9" s="4">
        <v>281944.47093000001</v>
      </c>
    </row>
    <row r="10" spans="1:4" x14ac:dyDescent="0.3">
      <c r="A10" s="13" t="s">
        <v>722</v>
      </c>
      <c r="B10" s="4">
        <v>697568.29853000015</v>
      </c>
      <c r="C10">
        <v>45</v>
      </c>
      <c r="D10" s="4">
        <v>137020.80853000001</v>
      </c>
    </row>
    <row r="11" spans="1:4" x14ac:dyDescent="0.3">
      <c r="A11" s="13" t="s">
        <v>723</v>
      </c>
      <c r="B11" s="4">
        <v>883348.1293599999</v>
      </c>
      <c r="C11">
        <v>44</v>
      </c>
      <c r="D11" s="4">
        <v>278762.26935999998</v>
      </c>
    </row>
    <row r="12" spans="1:4" x14ac:dyDescent="0.3">
      <c r="A12" s="13" t="s">
        <v>726</v>
      </c>
      <c r="B12" s="4">
        <v>576820.19091000012</v>
      </c>
      <c r="C12">
        <v>38</v>
      </c>
      <c r="D12" s="4">
        <v>151076.93091</v>
      </c>
    </row>
    <row r="13" spans="1:4" x14ac:dyDescent="0.3">
      <c r="A13" s="13" t="s">
        <v>714</v>
      </c>
      <c r="B13" s="4">
        <v>541165.67181999993</v>
      </c>
      <c r="C13">
        <v>38</v>
      </c>
      <c r="D13" s="4">
        <v>140021.69181999998</v>
      </c>
    </row>
    <row r="14" spans="1:4" x14ac:dyDescent="0.3">
      <c r="A14" s="13" t="s">
        <v>719</v>
      </c>
      <c r="B14" s="4">
        <v>647724.89694000012</v>
      </c>
      <c r="C14">
        <v>37</v>
      </c>
      <c r="D14" s="4">
        <v>185219.43693999999</v>
      </c>
    </row>
    <row r="15" spans="1:4" x14ac:dyDescent="0.3">
      <c r="A15" s="13" t="s">
        <v>712</v>
      </c>
      <c r="B15" s="4">
        <v>685111.85992000008</v>
      </c>
      <c r="C15">
        <v>37</v>
      </c>
      <c r="D15" s="4">
        <v>225695.01992000005</v>
      </c>
    </row>
    <row r="16" spans="1:4" x14ac:dyDescent="0.3">
      <c r="A16" s="13" t="s">
        <v>718</v>
      </c>
      <c r="B16" s="4">
        <v>543846.44053000002</v>
      </c>
      <c r="C16">
        <v>34</v>
      </c>
      <c r="D16" s="4">
        <v>204981.34053000004</v>
      </c>
    </row>
    <row r="17" spans="1:6" x14ac:dyDescent="0.3">
      <c r="A17" s="13" t="s">
        <v>725</v>
      </c>
      <c r="B17" s="4">
        <v>388325.13659000007</v>
      </c>
      <c r="C17">
        <v>32</v>
      </c>
      <c r="D17" s="4">
        <v>110646.45658999997</v>
      </c>
    </row>
    <row r="18" spans="1:6" x14ac:dyDescent="0.3">
      <c r="A18" s="13" t="s">
        <v>715</v>
      </c>
      <c r="B18" s="4">
        <v>510653.71305000002</v>
      </c>
      <c r="C18">
        <v>30</v>
      </c>
      <c r="D18" s="4">
        <v>172441.87304999999</v>
      </c>
    </row>
    <row r="19" spans="1:6" x14ac:dyDescent="0.3">
      <c r="A19" s="13" t="s">
        <v>1455</v>
      </c>
      <c r="B19" s="4">
        <v>249026.85146999994</v>
      </c>
      <c r="C19">
        <v>8</v>
      </c>
      <c r="D19" s="4">
        <v>100098.00146999999</v>
      </c>
    </row>
    <row r="20" spans="1:6" x14ac:dyDescent="0.3">
      <c r="A20" s="13" t="s">
        <v>1446</v>
      </c>
      <c r="B20" s="4">
        <v>10928845.716499992</v>
      </c>
      <c r="C20">
        <v>632</v>
      </c>
      <c r="D20" s="4">
        <v>3401098.0064999992</v>
      </c>
    </row>
    <row r="29" spans="1:6" x14ac:dyDescent="0.3">
      <c r="A29" s="15" t="s">
        <v>8</v>
      </c>
      <c r="B29" s="15" t="s">
        <v>1458</v>
      </c>
      <c r="C29" s="15" t="s">
        <v>1459</v>
      </c>
      <c r="D29" s="15" t="s">
        <v>1460</v>
      </c>
      <c r="E29" s="15" t="s">
        <v>1461</v>
      </c>
      <c r="F29" s="15" t="s">
        <v>1462</v>
      </c>
    </row>
    <row r="30" spans="1:6" x14ac:dyDescent="0.3">
      <c r="A30" t="s">
        <v>720</v>
      </c>
      <c r="B30">
        <v>877159.52092999988</v>
      </c>
      <c r="C30">
        <v>46</v>
      </c>
      <c r="D30">
        <v>281944.47093000001</v>
      </c>
      <c r="E30" s="4">
        <f>B30/C30</f>
        <v>19068.685237608694</v>
      </c>
      <c r="F30" s="4">
        <f>D30/C30</f>
        <v>6129.2276289130441</v>
      </c>
    </row>
    <row r="31" spans="1:6" x14ac:dyDescent="0.3">
      <c r="A31" t="s">
        <v>717</v>
      </c>
      <c r="B31">
        <v>893735.6608500001</v>
      </c>
      <c r="C31">
        <v>48</v>
      </c>
      <c r="D31">
        <v>315969.97084999998</v>
      </c>
      <c r="E31" s="4">
        <f t="shared" ref="E31:E45" si="0">B31/C31</f>
        <v>18619.492934375001</v>
      </c>
      <c r="F31" s="4">
        <f t="shared" ref="F31:F45" si="1">D31/C31</f>
        <v>6582.7077260416663</v>
      </c>
    </row>
    <row r="32" spans="1:6" x14ac:dyDescent="0.3">
      <c r="A32" t="s">
        <v>712</v>
      </c>
      <c r="B32">
        <v>685111.85992000008</v>
      </c>
      <c r="C32">
        <v>37</v>
      </c>
      <c r="D32">
        <v>225695.01992000005</v>
      </c>
      <c r="E32" s="4">
        <f t="shared" si="0"/>
        <v>18516.536754594596</v>
      </c>
      <c r="F32" s="4">
        <f t="shared" si="1"/>
        <v>6099.8654032432441</v>
      </c>
    </row>
    <row r="33" spans="1:6" x14ac:dyDescent="0.3">
      <c r="A33" t="s">
        <v>726</v>
      </c>
      <c r="B33">
        <v>576820.19091000012</v>
      </c>
      <c r="C33">
        <v>38</v>
      </c>
      <c r="D33">
        <v>151076.93091</v>
      </c>
      <c r="E33" s="4">
        <f t="shared" si="0"/>
        <v>15179.478708157898</v>
      </c>
      <c r="F33" s="4">
        <f t="shared" si="1"/>
        <v>3975.7087081578948</v>
      </c>
    </row>
    <row r="34" spans="1:6" x14ac:dyDescent="0.3">
      <c r="A34" t="s">
        <v>718</v>
      </c>
      <c r="B34">
        <v>543846.44053000002</v>
      </c>
      <c r="C34">
        <v>34</v>
      </c>
      <c r="D34">
        <v>204981.34053000004</v>
      </c>
      <c r="E34" s="4">
        <f t="shared" si="0"/>
        <v>15995.483545000001</v>
      </c>
      <c r="F34" s="4">
        <f t="shared" si="1"/>
        <v>6028.8629567647076</v>
      </c>
    </row>
    <row r="35" spans="1:6" x14ac:dyDescent="0.3">
      <c r="A35" t="s">
        <v>721</v>
      </c>
      <c r="B35">
        <v>812637.17232000048</v>
      </c>
      <c r="C35">
        <v>51</v>
      </c>
      <c r="D35">
        <v>251733.01231999995</v>
      </c>
      <c r="E35" s="4">
        <f t="shared" si="0"/>
        <v>15934.06220235295</v>
      </c>
      <c r="F35" s="4">
        <f t="shared" si="1"/>
        <v>4935.941418039215</v>
      </c>
    </row>
    <row r="36" spans="1:6" x14ac:dyDescent="0.3">
      <c r="A36" t="s">
        <v>715</v>
      </c>
      <c r="B36">
        <v>510653.71305000002</v>
      </c>
      <c r="C36">
        <v>30</v>
      </c>
      <c r="D36">
        <v>172441.87304999999</v>
      </c>
      <c r="E36" s="4">
        <f t="shared" si="0"/>
        <v>17021.790434999999</v>
      </c>
      <c r="F36" s="4">
        <f t="shared" si="1"/>
        <v>5748.0624349999998</v>
      </c>
    </row>
    <row r="37" spans="1:6" x14ac:dyDescent="0.3">
      <c r="A37" t="s">
        <v>722</v>
      </c>
      <c r="B37">
        <v>697568.29853000015</v>
      </c>
      <c r="C37">
        <v>45</v>
      </c>
      <c r="D37">
        <v>137020.80853000001</v>
      </c>
      <c r="E37" s="4">
        <f t="shared" si="0"/>
        <v>15501.517745111114</v>
      </c>
      <c r="F37" s="4">
        <f t="shared" si="1"/>
        <v>3044.9068562222224</v>
      </c>
    </row>
    <row r="38" spans="1:6" x14ac:dyDescent="0.3">
      <c r="A38" t="s">
        <v>714</v>
      </c>
      <c r="B38">
        <v>541165.67181999993</v>
      </c>
      <c r="C38">
        <v>38</v>
      </c>
      <c r="D38">
        <v>140021.69181999998</v>
      </c>
      <c r="E38" s="4">
        <f t="shared" si="0"/>
        <v>14241.201889999998</v>
      </c>
      <c r="F38" s="4">
        <f t="shared" si="1"/>
        <v>3684.7813636842097</v>
      </c>
    </row>
    <row r="39" spans="1:6" x14ac:dyDescent="0.3">
      <c r="A39" t="s">
        <v>713</v>
      </c>
      <c r="B39">
        <v>802384.66228000016</v>
      </c>
      <c r="C39">
        <v>50</v>
      </c>
      <c r="D39">
        <v>273113.11228</v>
      </c>
      <c r="E39" s="4">
        <f t="shared" si="0"/>
        <v>16047.693245600003</v>
      </c>
      <c r="F39" s="4">
        <f t="shared" si="1"/>
        <v>5462.2622455999999</v>
      </c>
    </row>
    <row r="40" spans="1:6" x14ac:dyDescent="0.3">
      <c r="A40" t="s">
        <v>723</v>
      </c>
      <c r="B40">
        <v>883348.1293599999</v>
      </c>
      <c r="C40">
        <v>44</v>
      </c>
      <c r="D40">
        <v>278762.26935999998</v>
      </c>
      <c r="E40" s="4">
        <f t="shared" si="0"/>
        <v>20076.093849090907</v>
      </c>
      <c r="F40" s="4">
        <f t="shared" si="1"/>
        <v>6335.5061218181809</v>
      </c>
    </row>
    <row r="41" spans="1:6" x14ac:dyDescent="0.3">
      <c r="A41" t="s">
        <v>716</v>
      </c>
      <c r="B41">
        <v>853038.52344999998</v>
      </c>
      <c r="C41">
        <v>46</v>
      </c>
      <c r="D41">
        <v>269716.55345000001</v>
      </c>
      <c r="E41" s="4">
        <f t="shared" si="0"/>
        <v>18544.315727173911</v>
      </c>
      <c r="F41" s="4">
        <f t="shared" si="1"/>
        <v>5863.4033358695651</v>
      </c>
    </row>
    <row r="42" spans="1:6" x14ac:dyDescent="0.3">
      <c r="A42" t="s">
        <v>724</v>
      </c>
      <c r="B42">
        <v>966298.98754999973</v>
      </c>
      <c r="C42">
        <v>48</v>
      </c>
      <c r="D42">
        <v>302657.05754999997</v>
      </c>
      <c r="E42" s="4">
        <f t="shared" si="0"/>
        <v>20131.228907291661</v>
      </c>
      <c r="F42" s="4">
        <f t="shared" si="1"/>
        <v>6305.3553656249996</v>
      </c>
    </row>
    <row r="43" spans="1:6" x14ac:dyDescent="0.3">
      <c r="A43" t="s">
        <v>725</v>
      </c>
      <c r="B43">
        <v>388325.13659000007</v>
      </c>
      <c r="C43">
        <v>32</v>
      </c>
      <c r="D43">
        <v>110646.45658999997</v>
      </c>
      <c r="E43" s="4">
        <f t="shared" si="0"/>
        <v>12135.160518437502</v>
      </c>
      <c r="F43" s="4">
        <f t="shared" si="1"/>
        <v>3457.7017684374991</v>
      </c>
    </row>
    <row r="44" spans="1:6" x14ac:dyDescent="0.3">
      <c r="A44" t="s">
        <v>719</v>
      </c>
      <c r="B44">
        <v>647724.89694000012</v>
      </c>
      <c r="C44">
        <v>37</v>
      </c>
      <c r="D44">
        <v>185219.43693999999</v>
      </c>
      <c r="E44" s="4">
        <f t="shared" si="0"/>
        <v>17506.078295675678</v>
      </c>
      <c r="F44" s="4">
        <f t="shared" si="1"/>
        <v>5005.9307281081074</v>
      </c>
    </row>
    <row r="45" spans="1:6" x14ac:dyDescent="0.3">
      <c r="A45" t="s">
        <v>1455</v>
      </c>
      <c r="B45">
        <v>249026.85146999994</v>
      </c>
      <c r="C45">
        <v>8</v>
      </c>
      <c r="D45">
        <v>100098.00146999999</v>
      </c>
      <c r="E45" s="4">
        <f t="shared" si="0"/>
        <v>31128.356433749992</v>
      </c>
      <c r="F45" s="4">
        <f t="shared" si="1"/>
        <v>12512.250183749999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6B01-D669-4237-A546-D5847997F288}">
  <dimension ref="A1:H35"/>
  <sheetViews>
    <sheetView topLeftCell="A22" workbookViewId="0">
      <selection activeCell="B38" sqref="B38"/>
    </sheetView>
  </sheetViews>
  <sheetFormatPr defaultRowHeight="14.4" x14ac:dyDescent="0.3"/>
  <cols>
    <col min="1" max="1" width="15.44140625" bestFit="1" customWidth="1"/>
    <col min="2" max="2" width="15.5546875" bestFit="1" customWidth="1"/>
    <col min="3" max="3" width="9.88671875" bestFit="1" customWidth="1"/>
    <col min="4" max="4" width="11.5546875" bestFit="1" customWidth="1"/>
    <col min="5" max="7" width="7" bestFit="1" customWidth="1"/>
    <col min="8" max="8" width="10.77734375" bestFit="1" customWidth="1"/>
  </cols>
  <sheetData>
    <row r="1" spans="1:8" x14ac:dyDescent="0.3">
      <c r="A1" s="12" t="s">
        <v>1450</v>
      </c>
      <c r="B1" s="12" t="s">
        <v>1449</v>
      </c>
    </row>
    <row r="2" spans="1:8" x14ac:dyDescent="0.3">
      <c r="A2" s="12" t="s">
        <v>1445</v>
      </c>
      <c r="B2" t="s">
        <v>711</v>
      </c>
      <c r="C2" t="s">
        <v>710</v>
      </c>
      <c r="D2" t="s">
        <v>709</v>
      </c>
      <c r="E2" t="s">
        <v>708</v>
      </c>
      <c r="F2" t="s">
        <v>707</v>
      </c>
      <c r="G2" t="s">
        <v>1455</v>
      </c>
      <c r="H2" t="s">
        <v>1446</v>
      </c>
    </row>
    <row r="3" spans="1:8" x14ac:dyDescent="0.3">
      <c r="A3" s="13" t="s">
        <v>646</v>
      </c>
      <c r="B3" s="17">
        <v>0.17763419811514017</v>
      </c>
      <c r="C3" s="17">
        <v>0.24017766543817529</v>
      </c>
      <c r="D3" s="17">
        <v>0.20305689740383878</v>
      </c>
      <c r="E3" s="17">
        <v>0.16684645682272786</v>
      </c>
      <c r="F3" s="17">
        <v>0.19968989739934648</v>
      </c>
      <c r="G3" s="17">
        <v>1.2594884820771365E-2</v>
      </c>
      <c r="H3" s="17">
        <v>1</v>
      </c>
    </row>
    <row r="4" spans="1:8" x14ac:dyDescent="0.3">
      <c r="A4" s="13" t="s">
        <v>648</v>
      </c>
      <c r="B4" s="17">
        <v>0.27964209388840083</v>
      </c>
      <c r="C4" s="17">
        <v>0.21140873261126453</v>
      </c>
      <c r="D4" s="17">
        <v>0.13626254750800826</v>
      </c>
      <c r="E4" s="17">
        <v>0.25660676853333758</v>
      </c>
      <c r="F4" s="17">
        <v>0.11263731355325697</v>
      </c>
      <c r="G4" s="17">
        <v>3.4425439057317003E-3</v>
      </c>
      <c r="H4" s="17">
        <v>1</v>
      </c>
    </row>
    <row r="5" spans="1:8" x14ac:dyDescent="0.3">
      <c r="A5" s="13" t="s">
        <v>647</v>
      </c>
      <c r="B5" s="17">
        <v>0.22609014172883748</v>
      </c>
      <c r="C5" s="17">
        <v>0.17927990166846616</v>
      </c>
      <c r="D5" s="17">
        <v>0.19054974103273625</v>
      </c>
      <c r="E5" s="17">
        <v>0.14558000982536998</v>
      </c>
      <c r="F5" s="17">
        <v>0.24393754361410452</v>
      </c>
      <c r="G5" s="17">
        <v>1.4562662130485614E-2</v>
      </c>
      <c r="H5" s="17">
        <v>1</v>
      </c>
    </row>
    <row r="6" spans="1:8" x14ac:dyDescent="0.3">
      <c r="A6" s="13" t="s">
        <v>649</v>
      </c>
      <c r="B6" s="17">
        <v>0.3008275905823079</v>
      </c>
      <c r="C6" s="17">
        <v>0.11379437522820593</v>
      </c>
      <c r="D6" s="17">
        <v>0.20338414276125114</v>
      </c>
      <c r="E6" s="17">
        <v>0.2090000871634993</v>
      </c>
      <c r="F6" s="17">
        <v>0.16654949001834421</v>
      </c>
      <c r="G6" s="17">
        <v>6.4443142463915136E-3</v>
      </c>
      <c r="H6" s="17">
        <v>1</v>
      </c>
    </row>
    <row r="7" spans="1:8" x14ac:dyDescent="0.3">
      <c r="A7" s="13" t="s">
        <v>1446</v>
      </c>
      <c r="B7" s="17">
        <v>0.24690255093967589</v>
      </c>
      <c r="C7" s="17">
        <v>0.18487540926024382</v>
      </c>
      <c r="D7" s="17">
        <v>0.18345597718183326</v>
      </c>
      <c r="E7" s="17">
        <v>0.19420404296637048</v>
      </c>
      <c r="F7" s="17">
        <v>0.1812835552275042</v>
      </c>
      <c r="G7" s="17">
        <v>9.2784644243724054E-3</v>
      </c>
      <c r="H7" s="17">
        <v>1</v>
      </c>
    </row>
    <row r="15" spans="1:8" x14ac:dyDescent="0.3">
      <c r="A15" s="12" t="s">
        <v>1456</v>
      </c>
      <c r="B15" s="12" t="s">
        <v>1449</v>
      </c>
    </row>
    <row r="16" spans="1:8" x14ac:dyDescent="0.3">
      <c r="A16" s="12" t="s">
        <v>1445</v>
      </c>
      <c r="B16" t="s">
        <v>711</v>
      </c>
      <c r="C16" t="s">
        <v>710</v>
      </c>
      <c r="D16" t="s">
        <v>709</v>
      </c>
      <c r="E16" t="s">
        <v>708</v>
      </c>
      <c r="F16" t="s">
        <v>707</v>
      </c>
      <c r="G16" t="s">
        <v>1455</v>
      </c>
      <c r="H16" t="s">
        <v>1446</v>
      </c>
    </row>
    <row r="17" spans="1:8" x14ac:dyDescent="0.3">
      <c r="A17" s="13" t="s">
        <v>646</v>
      </c>
      <c r="B17" s="17">
        <v>0.19310344827586207</v>
      </c>
      <c r="C17" s="17">
        <v>0.21379310344827587</v>
      </c>
      <c r="D17" s="17">
        <v>0.22758620689655173</v>
      </c>
      <c r="E17" s="17">
        <v>0.17241379310344829</v>
      </c>
      <c r="F17" s="17">
        <v>0.17241379310344829</v>
      </c>
      <c r="G17" s="17">
        <v>2.0689655172413793E-2</v>
      </c>
      <c r="H17" s="17">
        <v>1</v>
      </c>
    </row>
    <row r="18" spans="1:8" x14ac:dyDescent="0.3">
      <c r="A18" s="13" t="s">
        <v>648</v>
      </c>
      <c r="B18" s="17">
        <v>0.24840764331210191</v>
      </c>
      <c r="C18" s="17">
        <v>0.2356687898089172</v>
      </c>
      <c r="D18" s="17">
        <v>0.17197452229299362</v>
      </c>
      <c r="E18" s="17">
        <v>0.19108280254777071</v>
      </c>
      <c r="F18" s="17">
        <v>0.1464968152866242</v>
      </c>
      <c r="G18" s="17">
        <v>6.369426751592357E-3</v>
      </c>
      <c r="H18" s="17">
        <v>1</v>
      </c>
    </row>
    <row r="19" spans="1:8" x14ac:dyDescent="0.3">
      <c r="A19" s="13" t="s">
        <v>647</v>
      </c>
      <c r="B19" s="17">
        <v>0.21052631578947367</v>
      </c>
      <c r="C19" s="17">
        <v>0.21052631578947367</v>
      </c>
      <c r="D19" s="17">
        <v>0.19883040935672514</v>
      </c>
      <c r="E19" s="17">
        <v>0.15789473684210525</v>
      </c>
      <c r="F19" s="17">
        <v>0.21052631578947367</v>
      </c>
      <c r="G19" s="17">
        <v>1.1695906432748537E-2</v>
      </c>
      <c r="H19" s="17">
        <v>1</v>
      </c>
    </row>
    <row r="20" spans="1:8" x14ac:dyDescent="0.3">
      <c r="A20" s="13" t="s">
        <v>649</v>
      </c>
      <c r="B20" s="17">
        <v>0.32075471698113206</v>
      </c>
      <c r="C20" s="17">
        <v>0.11949685534591195</v>
      </c>
      <c r="D20" s="17">
        <v>0.19496855345911951</v>
      </c>
      <c r="E20" s="17">
        <v>0.1761006289308176</v>
      </c>
      <c r="F20" s="17">
        <v>0.1761006289308176</v>
      </c>
      <c r="G20" s="17">
        <v>1.2578616352201259E-2</v>
      </c>
      <c r="H20" s="17">
        <v>1</v>
      </c>
    </row>
    <row r="21" spans="1:8" x14ac:dyDescent="0.3">
      <c r="A21" s="13" t="s">
        <v>1446</v>
      </c>
      <c r="B21" s="17">
        <v>0.24367088607594936</v>
      </c>
      <c r="C21" s="17">
        <v>0.19462025316455697</v>
      </c>
      <c r="D21" s="17">
        <v>0.19778481012658228</v>
      </c>
      <c r="E21" s="17">
        <v>0.17405063291139242</v>
      </c>
      <c r="F21" s="17">
        <v>0.17721518987341772</v>
      </c>
      <c r="G21" s="17">
        <v>1.2658227848101266E-2</v>
      </c>
      <c r="H21" s="17">
        <v>1</v>
      </c>
    </row>
    <row r="27" spans="1:8" x14ac:dyDescent="0.3">
      <c r="A27" s="15" t="s">
        <v>1463</v>
      </c>
    </row>
    <row r="28" spans="1:8" x14ac:dyDescent="0.3">
      <c r="A28" t="s">
        <v>1470</v>
      </c>
    </row>
    <row r="29" spans="1:8" x14ac:dyDescent="0.3">
      <c r="A29" t="s">
        <v>1471</v>
      </c>
    </row>
    <row r="30" spans="1:8" x14ac:dyDescent="0.3">
      <c r="A30" t="s">
        <v>1472</v>
      </c>
    </row>
    <row r="31" spans="1:8" x14ac:dyDescent="0.3">
      <c r="A31" t="s">
        <v>1473</v>
      </c>
    </row>
    <row r="32" spans="1:8" x14ac:dyDescent="0.3">
      <c r="A32" t="s">
        <v>1474</v>
      </c>
    </row>
    <row r="33" spans="1:1" x14ac:dyDescent="0.3">
      <c r="A33" t="s">
        <v>1475</v>
      </c>
    </row>
    <row r="34" spans="1:1" x14ac:dyDescent="0.3">
      <c r="A34" t="s">
        <v>1476</v>
      </c>
    </row>
    <row r="35" spans="1:1" x14ac:dyDescent="0.3">
      <c r="A35" t="s">
        <v>1464</v>
      </c>
    </row>
  </sheetData>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3C2E-70BD-442D-A84E-3B09649655E9}">
  <dimension ref="A3:I116"/>
  <sheetViews>
    <sheetView workbookViewId="0">
      <selection activeCell="D13" sqref="D13"/>
    </sheetView>
  </sheetViews>
  <sheetFormatPr defaultRowHeight="14.4" x14ac:dyDescent="0.3"/>
  <cols>
    <col min="1" max="1" width="18" bestFit="1" customWidth="1"/>
    <col min="2" max="2" width="17.5546875" bestFit="1" customWidth="1"/>
    <col min="3" max="3" width="15.44140625" bestFit="1" customWidth="1"/>
    <col min="4" max="632" width="16.109375" bestFit="1" customWidth="1"/>
    <col min="633" max="633" width="10.77734375" bestFit="1" customWidth="1"/>
  </cols>
  <sheetData>
    <row r="3" spans="1:9" x14ac:dyDescent="0.3">
      <c r="A3" s="12" t="s">
        <v>1445</v>
      </c>
      <c r="B3" t="s">
        <v>1466</v>
      </c>
      <c r="C3" t="s">
        <v>1456</v>
      </c>
    </row>
    <row r="4" spans="1:9" x14ac:dyDescent="0.3">
      <c r="A4" s="13" t="s">
        <v>655</v>
      </c>
      <c r="B4" s="4">
        <v>13</v>
      </c>
      <c r="C4">
        <v>62</v>
      </c>
    </row>
    <row r="5" spans="1:9" x14ac:dyDescent="0.3">
      <c r="A5" s="13" t="s">
        <v>653</v>
      </c>
      <c r="B5" s="4">
        <v>6</v>
      </c>
      <c r="C5">
        <v>44</v>
      </c>
    </row>
    <row r="6" spans="1:9" x14ac:dyDescent="0.3">
      <c r="A6" s="13" t="s">
        <v>659</v>
      </c>
      <c r="B6" s="4">
        <v>9</v>
      </c>
      <c r="C6">
        <v>51</v>
      </c>
    </row>
    <row r="7" spans="1:9" x14ac:dyDescent="0.3">
      <c r="A7" s="13" t="s">
        <v>657</v>
      </c>
      <c r="B7" s="4">
        <v>12</v>
      </c>
      <c r="C7">
        <v>54</v>
      </c>
    </row>
    <row r="8" spans="1:9" x14ac:dyDescent="0.3">
      <c r="A8" s="13" t="s">
        <v>656</v>
      </c>
      <c r="B8" s="4">
        <v>11</v>
      </c>
      <c r="C8">
        <v>51</v>
      </c>
      <c r="I8" t="s">
        <v>1467</v>
      </c>
    </row>
    <row r="9" spans="1:9" x14ac:dyDescent="0.3">
      <c r="A9" s="13" t="s">
        <v>654</v>
      </c>
      <c r="B9" s="4">
        <v>11</v>
      </c>
      <c r="C9">
        <v>61</v>
      </c>
      <c r="I9" s="18">
        <f>GETPIVOTDATA("Sum of OnTimeFlag",$A$3)/GETPIVOTDATA("Count of OrderID",$A$3)</f>
        <v>0.21835443037974683</v>
      </c>
    </row>
    <row r="10" spans="1:9" x14ac:dyDescent="0.3">
      <c r="A10" s="13" t="s">
        <v>652</v>
      </c>
      <c r="B10" s="4">
        <v>10</v>
      </c>
      <c r="C10">
        <v>59</v>
      </c>
    </row>
    <row r="11" spans="1:9" x14ac:dyDescent="0.3">
      <c r="A11" s="13" t="s">
        <v>650</v>
      </c>
      <c r="B11" s="4">
        <v>15</v>
      </c>
      <c r="C11">
        <v>56</v>
      </c>
    </row>
    <row r="12" spans="1:9" x14ac:dyDescent="0.3">
      <c r="A12" s="13" t="s">
        <v>651</v>
      </c>
      <c r="B12" s="4">
        <v>14</v>
      </c>
      <c r="C12">
        <v>44</v>
      </c>
    </row>
    <row r="13" spans="1:9" x14ac:dyDescent="0.3">
      <c r="A13" s="13" t="s">
        <v>661</v>
      </c>
      <c r="B13" s="4">
        <v>10</v>
      </c>
      <c r="C13">
        <v>45</v>
      </c>
    </row>
    <row r="14" spans="1:9" x14ac:dyDescent="0.3">
      <c r="A14" s="13" t="s">
        <v>658</v>
      </c>
      <c r="B14" s="4">
        <v>13</v>
      </c>
      <c r="C14">
        <v>54</v>
      </c>
    </row>
    <row r="15" spans="1:9" x14ac:dyDescent="0.3">
      <c r="A15" s="13" t="s">
        <v>660</v>
      </c>
      <c r="B15" s="4">
        <v>14</v>
      </c>
      <c r="C15">
        <v>51</v>
      </c>
    </row>
    <row r="16" spans="1:9" x14ac:dyDescent="0.3">
      <c r="A16" s="13" t="s">
        <v>1446</v>
      </c>
      <c r="B16" s="4">
        <v>138</v>
      </c>
      <c r="C16">
        <v>632</v>
      </c>
    </row>
    <row r="24" spans="1:5" x14ac:dyDescent="0.3">
      <c r="A24" s="12" t="s">
        <v>1445</v>
      </c>
      <c r="B24" t="s">
        <v>1466</v>
      </c>
      <c r="C24" t="s">
        <v>1456</v>
      </c>
    </row>
    <row r="25" spans="1:5" x14ac:dyDescent="0.3">
      <c r="A25" s="13" t="s">
        <v>733</v>
      </c>
      <c r="B25" s="4">
        <v>28</v>
      </c>
      <c r="C25">
        <v>88</v>
      </c>
    </row>
    <row r="26" spans="1:5" x14ac:dyDescent="0.3">
      <c r="A26" s="14" t="s">
        <v>655</v>
      </c>
      <c r="B26" s="4">
        <v>3</v>
      </c>
      <c r="C26">
        <v>10</v>
      </c>
    </row>
    <row r="27" spans="1:5" x14ac:dyDescent="0.3">
      <c r="A27" s="14" t="s">
        <v>653</v>
      </c>
      <c r="B27" s="4">
        <v>1</v>
      </c>
      <c r="C27">
        <v>6</v>
      </c>
      <c r="E27" s="18">
        <f>GETPIVOTDATA("Sum of OnTimeFlag",$A$24)/GETPIVOTDATA("Count of OrderID",$A$24)</f>
        <v>0.21835443037974683</v>
      </c>
    </row>
    <row r="28" spans="1:5" x14ac:dyDescent="0.3">
      <c r="A28" s="14" t="s">
        <v>659</v>
      </c>
      <c r="B28" s="4">
        <v>3</v>
      </c>
      <c r="C28">
        <v>4</v>
      </c>
    </row>
    <row r="29" spans="1:5" x14ac:dyDescent="0.3">
      <c r="A29" s="14" t="s">
        <v>657</v>
      </c>
      <c r="B29" s="4">
        <v>1</v>
      </c>
      <c r="C29">
        <v>7</v>
      </c>
    </row>
    <row r="30" spans="1:5" x14ac:dyDescent="0.3">
      <c r="A30" s="14" t="s">
        <v>656</v>
      </c>
      <c r="B30" s="4">
        <v>4</v>
      </c>
      <c r="C30">
        <v>9</v>
      </c>
    </row>
    <row r="31" spans="1:5" x14ac:dyDescent="0.3">
      <c r="A31" s="14" t="s">
        <v>654</v>
      </c>
      <c r="B31" s="4">
        <v>2</v>
      </c>
      <c r="C31">
        <v>8</v>
      </c>
    </row>
    <row r="32" spans="1:5" x14ac:dyDescent="0.3">
      <c r="A32" s="14" t="s">
        <v>652</v>
      </c>
      <c r="B32" s="4">
        <v>1</v>
      </c>
      <c r="C32">
        <v>5</v>
      </c>
    </row>
    <row r="33" spans="1:3" x14ac:dyDescent="0.3">
      <c r="A33" s="14" t="s">
        <v>650</v>
      </c>
      <c r="B33" s="4">
        <v>4</v>
      </c>
      <c r="C33">
        <v>10</v>
      </c>
    </row>
    <row r="34" spans="1:3" x14ac:dyDescent="0.3">
      <c r="A34" s="14" t="s">
        <v>651</v>
      </c>
      <c r="B34" s="4">
        <v>4</v>
      </c>
      <c r="C34">
        <v>13</v>
      </c>
    </row>
    <row r="35" spans="1:3" x14ac:dyDescent="0.3">
      <c r="A35" s="14" t="s">
        <v>661</v>
      </c>
      <c r="B35" s="4">
        <v>2</v>
      </c>
      <c r="C35">
        <v>4</v>
      </c>
    </row>
    <row r="36" spans="1:3" x14ac:dyDescent="0.3">
      <c r="A36" s="14" t="s">
        <v>658</v>
      </c>
      <c r="B36" s="4">
        <v>1</v>
      </c>
      <c r="C36">
        <v>8</v>
      </c>
    </row>
    <row r="37" spans="1:3" x14ac:dyDescent="0.3">
      <c r="A37" s="14" t="s">
        <v>660</v>
      </c>
      <c r="B37" s="4">
        <v>2</v>
      </c>
      <c r="C37">
        <v>4</v>
      </c>
    </row>
    <row r="38" spans="1:3" x14ac:dyDescent="0.3">
      <c r="A38" s="13" t="s">
        <v>727</v>
      </c>
      <c r="B38" s="4">
        <v>20</v>
      </c>
      <c r="C38">
        <v>91</v>
      </c>
    </row>
    <row r="39" spans="1:3" x14ac:dyDescent="0.3">
      <c r="A39" s="14" t="s">
        <v>655</v>
      </c>
      <c r="B39" s="4">
        <v>1</v>
      </c>
      <c r="C39">
        <v>7</v>
      </c>
    </row>
    <row r="40" spans="1:3" x14ac:dyDescent="0.3">
      <c r="A40" s="14" t="s">
        <v>653</v>
      </c>
      <c r="B40" s="4">
        <v>2</v>
      </c>
      <c r="C40">
        <v>6</v>
      </c>
    </row>
    <row r="41" spans="1:3" x14ac:dyDescent="0.3">
      <c r="A41" s="14" t="s">
        <v>659</v>
      </c>
      <c r="B41" s="4">
        <v>0</v>
      </c>
      <c r="C41">
        <v>10</v>
      </c>
    </row>
    <row r="42" spans="1:3" x14ac:dyDescent="0.3">
      <c r="A42" s="14" t="s">
        <v>657</v>
      </c>
      <c r="B42" s="4">
        <v>3</v>
      </c>
      <c r="C42">
        <v>10</v>
      </c>
    </row>
    <row r="43" spans="1:3" x14ac:dyDescent="0.3">
      <c r="A43" s="14" t="s">
        <v>656</v>
      </c>
      <c r="B43" s="4">
        <v>2</v>
      </c>
      <c r="C43">
        <v>6</v>
      </c>
    </row>
    <row r="44" spans="1:3" x14ac:dyDescent="0.3">
      <c r="A44" s="14" t="s">
        <v>654</v>
      </c>
      <c r="B44" s="4">
        <v>2</v>
      </c>
      <c r="C44">
        <v>10</v>
      </c>
    </row>
    <row r="45" spans="1:3" x14ac:dyDescent="0.3">
      <c r="A45" s="14" t="s">
        <v>652</v>
      </c>
      <c r="B45" s="4">
        <v>2</v>
      </c>
      <c r="C45">
        <v>8</v>
      </c>
    </row>
    <row r="46" spans="1:3" x14ac:dyDescent="0.3">
      <c r="A46" s="14" t="s">
        <v>650</v>
      </c>
      <c r="B46" s="4">
        <v>1</v>
      </c>
      <c r="C46">
        <v>5</v>
      </c>
    </row>
    <row r="47" spans="1:3" x14ac:dyDescent="0.3">
      <c r="A47" s="14" t="s">
        <v>651</v>
      </c>
      <c r="B47" s="4">
        <v>1</v>
      </c>
      <c r="C47">
        <v>6</v>
      </c>
    </row>
    <row r="48" spans="1:3" x14ac:dyDescent="0.3">
      <c r="A48" s="14" t="s">
        <v>661</v>
      </c>
      <c r="B48" s="4">
        <v>2</v>
      </c>
      <c r="C48">
        <v>11</v>
      </c>
    </row>
    <row r="49" spans="1:3" x14ac:dyDescent="0.3">
      <c r="A49" s="14" t="s">
        <v>658</v>
      </c>
      <c r="B49" s="4">
        <v>2</v>
      </c>
      <c r="C49">
        <v>7</v>
      </c>
    </row>
    <row r="50" spans="1:3" x14ac:dyDescent="0.3">
      <c r="A50" s="14" t="s">
        <v>660</v>
      </c>
      <c r="B50" s="4">
        <v>2</v>
      </c>
      <c r="C50">
        <v>5</v>
      </c>
    </row>
    <row r="51" spans="1:3" x14ac:dyDescent="0.3">
      <c r="A51" s="13" t="s">
        <v>731</v>
      </c>
      <c r="B51" s="4">
        <v>23</v>
      </c>
      <c r="C51">
        <v>82</v>
      </c>
    </row>
    <row r="52" spans="1:3" x14ac:dyDescent="0.3">
      <c r="A52" s="14" t="s">
        <v>655</v>
      </c>
      <c r="B52" s="4">
        <v>1</v>
      </c>
      <c r="C52">
        <v>5</v>
      </c>
    </row>
    <row r="53" spans="1:3" x14ac:dyDescent="0.3">
      <c r="A53" s="14" t="s">
        <v>653</v>
      </c>
      <c r="B53" s="4">
        <v>2</v>
      </c>
      <c r="C53">
        <v>6</v>
      </c>
    </row>
    <row r="54" spans="1:3" x14ac:dyDescent="0.3">
      <c r="A54" s="14" t="s">
        <v>659</v>
      </c>
      <c r="B54" s="4">
        <v>1</v>
      </c>
      <c r="C54">
        <v>5</v>
      </c>
    </row>
    <row r="55" spans="1:3" x14ac:dyDescent="0.3">
      <c r="A55" s="14" t="s">
        <v>657</v>
      </c>
      <c r="B55" s="4">
        <v>2</v>
      </c>
      <c r="C55">
        <v>6</v>
      </c>
    </row>
    <row r="56" spans="1:3" x14ac:dyDescent="0.3">
      <c r="A56" s="14" t="s">
        <v>656</v>
      </c>
      <c r="B56" s="4">
        <v>2</v>
      </c>
      <c r="C56">
        <v>7</v>
      </c>
    </row>
    <row r="57" spans="1:3" x14ac:dyDescent="0.3">
      <c r="A57" s="14" t="s">
        <v>654</v>
      </c>
      <c r="B57" s="4">
        <v>1</v>
      </c>
      <c r="C57">
        <v>9</v>
      </c>
    </row>
    <row r="58" spans="1:3" x14ac:dyDescent="0.3">
      <c r="A58" s="14" t="s">
        <v>652</v>
      </c>
      <c r="B58" s="4">
        <v>2</v>
      </c>
      <c r="C58">
        <v>7</v>
      </c>
    </row>
    <row r="59" spans="1:3" x14ac:dyDescent="0.3">
      <c r="A59" s="14" t="s">
        <v>650</v>
      </c>
      <c r="B59" s="4">
        <v>5</v>
      </c>
      <c r="C59">
        <v>10</v>
      </c>
    </row>
    <row r="60" spans="1:3" x14ac:dyDescent="0.3">
      <c r="A60" s="14" t="s">
        <v>651</v>
      </c>
      <c r="B60" s="4">
        <v>3</v>
      </c>
      <c r="C60">
        <v>6</v>
      </c>
    </row>
    <row r="61" spans="1:3" x14ac:dyDescent="0.3">
      <c r="A61" s="14" t="s">
        <v>661</v>
      </c>
      <c r="B61" s="4">
        <v>0</v>
      </c>
      <c r="C61">
        <v>7</v>
      </c>
    </row>
    <row r="62" spans="1:3" x14ac:dyDescent="0.3">
      <c r="A62" s="14" t="s">
        <v>658</v>
      </c>
      <c r="B62" s="4">
        <v>3</v>
      </c>
      <c r="C62">
        <v>9</v>
      </c>
    </row>
    <row r="63" spans="1:3" x14ac:dyDescent="0.3">
      <c r="A63" s="14" t="s">
        <v>660</v>
      </c>
      <c r="B63" s="4">
        <v>1</v>
      </c>
      <c r="C63">
        <v>5</v>
      </c>
    </row>
    <row r="64" spans="1:3" x14ac:dyDescent="0.3">
      <c r="A64" s="13" t="s">
        <v>732</v>
      </c>
      <c r="B64" s="4">
        <v>15</v>
      </c>
      <c r="C64">
        <v>94</v>
      </c>
    </row>
    <row r="65" spans="1:3" x14ac:dyDescent="0.3">
      <c r="A65" s="14" t="s">
        <v>655</v>
      </c>
      <c r="B65" s="4">
        <v>1</v>
      </c>
      <c r="C65">
        <v>12</v>
      </c>
    </row>
    <row r="66" spans="1:3" x14ac:dyDescent="0.3">
      <c r="A66" s="14" t="s">
        <v>653</v>
      </c>
      <c r="B66" s="4">
        <v>0</v>
      </c>
      <c r="C66">
        <v>7</v>
      </c>
    </row>
    <row r="67" spans="1:3" x14ac:dyDescent="0.3">
      <c r="A67" s="14" t="s">
        <v>659</v>
      </c>
      <c r="B67" s="4">
        <v>1</v>
      </c>
      <c r="C67">
        <v>6</v>
      </c>
    </row>
    <row r="68" spans="1:3" x14ac:dyDescent="0.3">
      <c r="A68" s="14" t="s">
        <v>657</v>
      </c>
      <c r="B68" s="4">
        <v>3</v>
      </c>
      <c r="C68">
        <v>10</v>
      </c>
    </row>
    <row r="69" spans="1:3" x14ac:dyDescent="0.3">
      <c r="A69" s="14" t="s">
        <v>656</v>
      </c>
      <c r="B69" s="4">
        <v>0</v>
      </c>
      <c r="C69">
        <v>10</v>
      </c>
    </row>
    <row r="70" spans="1:3" x14ac:dyDescent="0.3">
      <c r="A70" s="14" t="s">
        <v>654</v>
      </c>
      <c r="B70" s="4">
        <v>2</v>
      </c>
      <c r="C70">
        <v>12</v>
      </c>
    </row>
    <row r="71" spans="1:3" x14ac:dyDescent="0.3">
      <c r="A71" s="14" t="s">
        <v>652</v>
      </c>
      <c r="B71" s="4">
        <v>2</v>
      </c>
      <c r="C71">
        <v>7</v>
      </c>
    </row>
    <row r="72" spans="1:3" x14ac:dyDescent="0.3">
      <c r="A72" s="14" t="s">
        <v>650</v>
      </c>
      <c r="B72" s="4">
        <v>0</v>
      </c>
      <c r="C72">
        <v>2</v>
      </c>
    </row>
    <row r="73" spans="1:3" x14ac:dyDescent="0.3">
      <c r="A73" s="14" t="s">
        <v>651</v>
      </c>
      <c r="B73" s="4">
        <v>3</v>
      </c>
      <c r="C73">
        <v>5</v>
      </c>
    </row>
    <row r="74" spans="1:3" x14ac:dyDescent="0.3">
      <c r="A74" s="14" t="s">
        <v>661</v>
      </c>
      <c r="B74" s="4">
        <v>1</v>
      </c>
      <c r="C74">
        <v>7</v>
      </c>
    </row>
    <row r="75" spans="1:3" x14ac:dyDescent="0.3">
      <c r="A75" s="14" t="s">
        <v>658</v>
      </c>
      <c r="B75" s="4">
        <v>2</v>
      </c>
      <c r="C75">
        <v>7</v>
      </c>
    </row>
    <row r="76" spans="1:3" x14ac:dyDescent="0.3">
      <c r="A76" s="14" t="s">
        <v>660</v>
      </c>
      <c r="B76" s="4">
        <v>0</v>
      </c>
      <c r="C76">
        <v>9</v>
      </c>
    </row>
    <row r="77" spans="1:3" x14ac:dyDescent="0.3">
      <c r="A77" s="13" t="s">
        <v>729</v>
      </c>
      <c r="B77" s="4">
        <v>17</v>
      </c>
      <c r="C77">
        <v>86</v>
      </c>
    </row>
    <row r="78" spans="1:3" x14ac:dyDescent="0.3">
      <c r="A78" s="14" t="s">
        <v>655</v>
      </c>
      <c r="B78" s="4">
        <v>2</v>
      </c>
      <c r="C78">
        <v>12</v>
      </c>
    </row>
    <row r="79" spans="1:3" x14ac:dyDescent="0.3">
      <c r="A79" s="14" t="s">
        <v>653</v>
      </c>
      <c r="B79" s="4">
        <v>0</v>
      </c>
      <c r="C79">
        <v>3</v>
      </c>
    </row>
    <row r="80" spans="1:3" x14ac:dyDescent="0.3">
      <c r="A80" s="14" t="s">
        <v>659</v>
      </c>
      <c r="B80" s="4">
        <v>3</v>
      </c>
      <c r="C80">
        <v>8</v>
      </c>
    </row>
    <row r="81" spans="1:3" x14ac:dyDescent="0.3">
      <c r="A81" s="14" t="s">
        <v>657</v>
      </c>
      <c r="B81" s="4">
        <v>1</v>
      </c>
      <c r="C81">
        <v>6</v>
      </c>
    </row>
    <row r="82" spans="1:3" x14ac:dyDescent="0.3">
      <c r="A82" s="14" t="s">
        <v>656</v>
      </c>
      <c r="B82" s="4">
        <v>1</v>
      </c>
      <c r="C82">
        <v>4</v>
      </c>
    </row>
    <row r="83" spans="1:3" x14ac:dyDescent="0.3">
      <c r="A83" s="14" t="s">
        <v>654</v>
      </c>
      <c r="B83" s="4">
        <v>1</v>
      </c>
      <c r="C83">
        <v>7</v>
      </c>
    </row>
    <row r="84" spans="1:3" x14ac:dyDescent="0.3">
      <c r="A84" s="14" t="s">
        <v>652</v>
      </c>
      <c r="B84" s="4">
        <v>0</v>
      </c>
      <c r="C84">
        <v>12</v>
      </c>
    </row>
    <row r="85" spans="1:3" x14ac:dyDescent="0.3">
      <c r="A85" s="14" t="s">
        <v>650</v>
      </c>
      <c r="B85" s="4">
        <v>2</v>
      </c>
      <c r="C85">
        <v>6</v>
      </c>
    </row>
    <row r="86" spans="1:3" x14ac:dyDescent="0.3">
      <c r="A86" s="14" t="s">
        <v>651</v>
      </c>
      <c r="B86" s="4">
        <v>1</v>
      </c>
      <c r="C86">
        <v>2</v>
      </c>
    </row>
    <row r="87" spans="1:3" x14ac:dyDescent="0.3">
      <c r="A87" s="14" t="s">
        <v>661</v>
      </c>
      <c r="B87" s="4">
        <v>2</v>
      </c>
      <c r="C87">
        <v>7</v>
      </c>
    </row>
    <row r="88" spans="1:3" x14ac:dyDescent="0.3">
      <c r="A88" s="14" t="s">
        <v>658</v>
      </c>
      <c r="B88" s="4">
        <v>2</v>
      </c>
      <c r="C88">
        <v>9</v>
      </c>
    </row>
    <row r="89" spans="1:3" x14ac:dyDescent="0.3">
      <c r="A89" s="14" t="s">
        <v>660</v>
      </c>
      <c r="B89" s="4">
        <v>2</v>
      </c>
      <c r="C89">
        <v>10</v>
      </c>
    </row>
    <row r="90" spans="1:3" x14ac:dyDescent="0.3">
      <c r="A90" s="13" t="s">
        <v>730</v>
      </c>
      <c r="B90" s="4">
        <v>15</v>
      </c>
      <c r="C90">
        <v>88</v>
      </c>
    </row>
    <row r="91" spans="1:3" x14ac:dyDescent="0.3">
      <c r="A91" s="14" t="s">
        <v>655</v>
      </c>
      <c r="B91" s="4">
        <v>4</v>
      </c>
      <c r="C91">
        <v>9</v>
      </c>
    </row>
    <row r="92" spans="1:3" x14ac:dyDescent="0.3">
      <c r="A92" s="14" t="s">
        <v>653</v>
      </c>
      <c r="B92" s="4">
        <v>0</v>
      </c>
      <c r="C92">
        <v>3</v>
      </c>
    </row>
    <row r="93" spans="1:3" x14ac:dyDescent="0.3">
      <c r="A93" s="14" t="s">
        <v>659</v>
      </c>
      <c r="B93" s="4">
        <v>1</v>
      </c>
      <c r="C93">
        <v>7</v>
      </c>
    </row>
    <row r="94" spans="1:3" x14ac:dyDescent="0.3">
      <c r="A94" s="14" t="s">
        <v>657</v>
      </c>
      <c r="B94" s="4">
        <v>0</v>
      </c>
      <c r="C94">
        <v>3</v>
      </c>
    </row>
    <row r="95" spans="1:3" x14ac:dyDescent="0.3">
      <c r="A95" s="14" t="s">
        <v>656</v>
      </c>
      <c r="B95" s="4">
        <v>1</v>
      </c>
      <c r="C95">
        <v>7</v>
      </c>
    </row>
    <row r="96" spans="1:3" x14ac:dyDescent="0.3">
      <c r="A96" s="14" t="s">
        <v>654</v>
      </c>
      <c r="B96" s="4">
        <v>2</v>
      </c>
      <c r="C96">
        <v>9</v>
      </c>
    </row>
    <row r="97" spans="1:3" x14ac:dyDescent="0.3">
      <c r="A97" s="14" t="s">
        <v>652</v>
      </c>
      <c r="B97" s="4">
        <v>1</v>
      </c>
      <c r="C97">
        <v>11</v>
      </c>
    </row>
    <row r="98" spans="1:3" x14ac:dyDescent="0.3">
      <c r="A98" s="14" t="s">
        <v>650</v>
      </c>
      <c r="B98" s="4">
        <v>2</v>
      </c>
      <c r="C98">
        <v>15</v>
      </c>
    </row>
    <row r="99" spans="1:3" x14ac:dyDescent="0.3">
      <c r="A99" s="14" t="s">
        <v>651</v>
      </c>
      <c r="B99" s="4">
        <v>1</v>
      </c>
      <c r="C99">
        <v>6</v>
      </c>
    </row>
    <row r="100" spans="1:3" x14ac:dyDescent="0.3">
      <c r="A100" s="14" t="s">
        <v>661</v>
      </c>
      <c r="B100" s="4">
        <v>2</v>
      </c>
      <c r="C100">
        <v>4</v>
      </c>
    </row>
    <row r="101" spans="1:3" x14ac:dyDescent="0.3">
      <c r="A101" s="14" t="s">
        <v>658</v>
      </c>
      <c r="B101" s="4">
        <v>0</v>
      </c>
      <c r="C101">
        <v>4</v>
      </c>
    </row>
    <row r="102" spans="1:3" x14ac:dyDescent="0.3">
      <c r="A102" s="14" t="s">
        <v>660</v>
      </c>
      <c r="B102" s="4">
        <v>1</v>
      </c>
      <c r="C102">
        <v>10</v>
      </c>
    </row>
    <row r="103" spans="1:3" x14ac:dyDescent="0.3">
      <c r="A103" s="13" t="s">
        <v>728</v>
      </c>
      <c r="B103" s="4">
        <v>20</v>
      </c>
      <c r="C103">
        <v>103</v>
      </c>
    </row>
    <row r="104" spans="1:3" x14ac:dyDescent="0.3">
      <c r="A104" s="14" t="s">
        <v>655</v>
      </c>
      <c r="B104" s="4">
        <v>1</v>
      </c>
      <c r="C104">
        <v>7</v>
      </c>
    </row>
    <row r="105" spans="1:3" x14ac:dyDescent="0.3">
      <c r="A105" s="14" t="s">
        <v>653</v>
      </c>
      <c r="B105" s="4">
        <v>1</v>
      </c>
      <c r="C105">
        <v>13</v>
      </c>
    </row>
    <row r="106" spans="1:3" x14ac:dyDescent="0.3">
      <c r="A106" s="14" t="s">
        <v>659</v>
      </c>
      <c r="B106" s="4">
        <v>0</v>
      </c>
      <c r="C106">
        <v>11</v>
      </c>
    </row>
    <row r="107" spans="1:3" x14ac:dyDescent="0.3">
      <c r="A107" s="14" t="s">
        <v>657</v>
      </c>
      <c r="B107" s="4">
        <v>2</v>
      </c>
      <c r="C107">
        <v>12</v>
      </c>
    </row>
    <row r="108" spans="1:3" x14ac:dyDescent="0.3">
      <c r="A108" s="14" t="s">
        <v>656</v>
      </c>
      <c r="B108" s="4">
        <v>1</v>
      </c>
      <c r="C108">
        <v>8</v>
      </c>
    </row>
    <row r="109" spans="1:3" x14ac:dyDescent="0.3">
      <c r="A109" s="14" t="s">
        <v>654</v>
      </c>
      <c r="B109" s="4">
        <v>1</v>
      </c>
      <c r="C109">
        <v>6</v>
      </c>
    </row>
    <row r="110" spans="1:3" x14ac:dyDescent="0.3">
      <c r="A110" s="14" t="s">
        <v>652</v>
      </c>
      <c r="B110" s="4">
        <v>2</v>
      </c>
      <c r="C110">
        <v>9</v>
      </c>
    </row>
    <row r="111" spans="1:3" x14ac:dyDescent="0.3">
      <c r="A111" s="14" t="s">
        <v>650</v>
      </c>
      <c r="B111" s="4">
        <v>1</v>
      </c>
      <c r="C111">
        <v>8</v>
      </c>
    </row>
    <row r="112" spans="1:3" x14ac:dyDescent="0.3">
      <c r="A112" s="14" t="s">
        <v>651</v>
      </c>
      <c r="B112" s="4">
        <v>1</v>
      </c>
      <c r="C112">
        <v>6</v>
      </c>
    </row>
    <row r="113" spans="1:3" x14ac:dyDescent="0.3">
      <c r="A113" s="14" t="s">
        <v>661</v>
      </c>
      <c r="B113" s="4">
        <v>1</v>
      </c>
      <c r="C113">
        <v>5</v>
      </c>
    </row>
    <row r="114" spans="1:3" x14ac:dyDescent="0.3">
      <c r="A114" s="14" t="s">
        <v>658</v>
      </c>
      <c r="B114" s="4">
        <v>3</v>
      </c>
      <c r="C114">
        <v>10</v>
      </c>
    </row>
    <row r="115" spans="1:3" x14ac:dyDescent="0.3">
      <c r="A115" s="14" t="s">
        <v>660</v>
      </c>
      <c r="B115" s="4">
        <v>6</v>
      </c>
      <c r="C115">
        <v>8</v>
      </c>
    </row>
    <row r="116" spans="1:3" x14ac:dyDescent="0.3">
      <c r="A116" s="13" t="s">
        <v>1446</v>
      </c>
      <c r="B116" s="4">
        <v>138</v>
      </c>
      <c r="C116">
        <v>632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D27F8-4F88-4564-A4C9-8F64EE85262B}">
  <dimension ref="A3:F101"/>
  <sheetViews>
    <sheetView topLeftCell="A82" workbookViewId="0">
      <selection activeCell="E100" sqref="E100"/>
    </sheetView>
  </sheetViews>
  <sheetFormatPr defaultRowHeight="14.4" x14ac:dyDescent="0.3"/>
  <cols>
    <col min="1" max="1" width="12.5546875" bestFit="1" customWidth="1"/>
    <col min="2" max="2" width="15.44140625" bestFit="1" customWidth="1"/>
    <col min="3" max="3" width="17.44140625" bestFit="1" customWidth="1"/>
    <col min="8" max="8" width="10.5546875" bestFit="1" customWidth="1"/>
    <col min="9" max="9" width="16.6640625" bestFit="1" customWidth="1"/>
    <col min="10" max="10" width="15.109375" bestFit="1" customWidth="1"/>
  </cols>
  <sheetData>
    <row r="3" spans="1:6" x14ac:dyDescent="0.3">
      <c r="A3" s="12" t="s">
        <v>1445</v>
      </c>
      <c r="B3" t="s">
        <v>1469</v>
      </c>
      <c r="C3" t="s">
        <v>1456</v>
      </c>
    </row>
    <row r="4" spans="1:6" x14ac:dyDescent="0.3">
      <c r="A4" s="13" t="s">
        <v>646</v>
      </c>
      <c r="B4" s="19">
        <v>22</v>
      </c>
      <c r="C4">
        <v>145</v>
      </c>
    </row>
    <row r="5" spans="1:6" x14ac:dyDescent="0.3">
      <c r="A5" s="14" t="s">
        <v>720</v>
      </c>
      <c r="B5" s="19">
        <v>3</v>
      </c>
      <c r="C5">
        <v>16</v>
      </c>
    </row>
    <row r="6" spans="1:6" x14ac:dyDescent="0.3">
      <c r="A6" s="14" t="s">
        <v>717</v>
      </c>
      <c r="B6" s="19">
        <v>0</v>
      </c>
      <c r="C6">
        <v>8</v>
      </c>
    </row>
    <row r="7" spans="1:6" x14ac:dyDescent="0.3">
      <c r="A7" s="14" t="s">
        <v>712</v>
      </c>
      <c r="B7" s="19">
        <v>2</v>
      </c>
      <c r="C7">
        <v>8</v>
      </c>
    </row>
    <row r="8" spans="1:6" x14ac:dyDescent="0.3">
      <c r="A8" s="14" t="s">
        <v>726</v>
      </c>
      <c r="B8" s="19">
        <v>2</v>
      </c>
      <c r="C8">
        <v>10</v>
      </c>
    </row>
    <row r="9" spans="1:6" x14ac:dyDescent="0.3">
      <c r="A9" s="14" t="s">
        <v>718</v>
      </c>
      <c r="B9" s="19">
        <v>1</v>
      </c>
      <c r="C9">
        <v>5</v>
      </c>
    </row>
    <row r="10" spans="1:6" x14ac:dyDescent="0.3">
      <c r="A10" s="14" t="s">
        <v>721</v>
      </c>
      <c r="B10" s="19">
        <v>0</v>
      </c>
      <c r="C10">
        <v>13</v>
      </c>
    </row>
    <row r="11" spans="1:6" x14ac:dyDescent="0.3">
      <c r="A11" s="14" t="s">
        <v>715</v>
      </c>
      <c r="B11" s="19">
        <v>0</v>
      </c>
      <c r="C11">
        <v>3</v>
      </c>
      <c r="F11" s="15" t="s">
        <v>1477</v>
      </c>
    </row>
    <row r="12" spans="1:6" x14ac:dyDescent="0.3">
      <c r="A12" s="14" t="s">
        <v>722</v>
      </c>
      <c r="B12" s="19">
        <v>1</v>
      </c>
      <c r="C12">
        <v>7</v>
      </c>
      <c r="F12" s="20">
        <f>GETPIVOTDATA("Sum of HighDiscPct",$A$3)/GETPIVOTDATA("Count of OrderID",$A$3)</f>
        <v>0.14240506329113925</v>
      </c>
    </row>
    <row r="13" spans="1:6" x14ac:dyDescent="0.3">
      <c r="A13" s="14" t="s">
        <v>714</v>
      </c>
      <c r="B13" s="19">
        <v>2</v>
      </c>
      <c r="C13">
        <v>8</v>
      </c>
    </row>
    <row r="14" spans="1:6" x14ac:dyDescent="0.3">
      <c r="A14" s="14" t="s">
        <v>713</v>
      </c>
      <c r="B14" s="19">
        <v>3</v>
      </c>
      <c r="C14">
        <v>12</v>
      </c>
    </row>
    <row r="15" spans="1:6" x14ac:dyDescent="0.3">
      <c r="A15" s="14" t="s">
        <v>723</v>
      </c>
      <c r="B15" s="19">
        <v>0</v>
      </c>
      <c r="C15">
        <v>14</v>
      </c>
    </row>
    <row r="16" spans="1:6" x14ac:dyDescent="0.3">
      <c r="A16" s="14" t="s">
        <v>716</v>
      </c>
      <c r="B16" s="19">
        <v>2</v>
      </c>
      <c r="C16">
        <v>10</v>
      </c>
    </row>
    <row r="17" spans="1:3" x14ac:dyDescent="0.3">
      <c r="A17" s="14" t="s">
        <v>724</v>
      </c>
      <c r="B17" s="19">
        <v>5</v>
      </c>
      <c r="C17">
        <v>16</v>
      </c>
    </row>
    <row r="18" spans="1:3" x14ac:dyDescent="0.3">
      <c r="A18" s="14" t="s">
        <v>725</v>
      </c>
      <c r="B18" s="19">
        <v>0</v>
      </c>
      <c r="C18">
        <v>4</v>
      </c>
    </row>
    <row r="19" spans="1:3" x14ac:dyDescent="0.3">
      <c r="A19" s="14" t="s">
        <v>719</v>
      </c>
      <c r="B19" s="19">
        <v>0</v>
      </c>
      <c r="C19">
        <v>9</v>
      </c>
    </row>
    <row r="20" spans="1:3" x14ac:dyDescent="0.3">
      <c r="A20" s="14" t="s">
        <v>1455</v>
      </c>
      <c r="B20" s="19">
        <v>1</v>
      </c>
      <c r="C20">
        <v>2</v>
      </c>
    </row>
    <row r="21" spans="1:3" x14ac:dyDescent="0.3">
      <c r="A21" s="13" t="s">
        <v>648</v>
      </c>
      <c r="B21" s="19">
        <v>27</v>
      </c>
      <c r="C21">
        <v>157</v>
      </c>
    </row>
    <row r="22" spans="1:3" x14ac:dyDescent="0.3">
      <c r="A22" s="14" t="s">
        <v>720</v>
      </c>
      <c r="B22" s="19">
        <v>5</v>
      </c>
      <c r="C22">
        <v>10</v>
      </c>
    </row>
    <row r="23" spans="1:3" x14ac:dyDescent="0.3">
      <c r="A23" s="14" t="s">
        <v>717</v>
      </c>
      <c r="B23" s="19">
        <v>1</v>
      </c>
      <c r="C23">
        <v>8</v>
      </c>
    </row>
    <row r="24" spans="1:3" x14ac:dyDescent="0.3">
      <c r="A24" s="14" t="s">
        <v>712</v>
      </c>
      <c r="B24" s="19">
        <v>2</v>
      </c>
      <c r="C24">
        <v>14</v>
      </c>
    </row>
    <row r="25" spans="1:3" x14ac:dyDescent="0.3">
      <c r="A25" s="14" t="s">
        <v>726</v>
      </c>
      <c r="B25" s="19">
        <v>4</v>
      </c>
      <c r="C25">
        <v>8</v>
      </c>
    </row>
    <row r="26" spans="1:3" x14ac:dyDescent="0.3">
      <c r="A26" s="14" t="s">
        <v>718</v>
      </c>
      <c r="B26" s="19">
        <v>0</v>
      </c>
      <c r="C26">
        <v>5</v>
      </c>
    </row>
    <row r="27" spans="1:3" x14ac:dyDescent="0.3">
      <c r="A27" s="14" t="s">
        <v>721</v>
      </c>
      <c r="B27" s="19">
        <v>1</v>
      </c>
      <c r="C27">
        <v>15</v>
      </c>
    </row>
    <row r="28" spans="1:3" x14ac:dyDescent="0.3">
      <c r="A28" s="14" t="s">
        <v>715</v>
      </c>
      <c r="B28" s="19">
        <v>1</v>
      </c>
      <c r="C28">
        <v>8</v>
      </c>
    </row>
    <row r="29" spans="1:3" x14ac:dyDescent="0.3">
      <c r="A29" s="14" t="s">
        <v>722</v>
      </c>
      <c r="B29" s="19">
        <v>0</v>
      </c>
      <c r="C29">
        <v>9</v>
      </c>
    </row>
    <row r="30" spans="1:3" x14ac:dyDescent="0.3">
      <c r="A30" s="14" t="s">
        <v>714</v>
      </c>
      <c r="B30" s="19">
        <v>5</v>
      </c>
      <c r="C30">
        <v>14</v>
      </c>
    </row>
    <row r="31" spans="1:3" x14ac:dyDescent="0.3">
      <c r="A31" s="14" t="s">
        <v>713</v>
      </c>
      <c r="B31" s="19">
        <v>0</v>
      </c>
      <c r="C31">
        <v>10</v>
      </c>
    </row>
    <row r="32" spans="1:3" x14ac:dyDescent="0.3">
      <c r="A32" s="14" t="s">
        <v>723</v>
      </c>
      <c r="B32" s="19">
        <v>1</v>
      </c>
      <c r="C32">
        <v>10</v>
      </c>
    </row>
    <row r="33" spans="1:3" x14ac:dyDescent="0.3">
      <c r="A33" s="14" t="s">
        <v>716</v>
      </c>
      <c r="B33" s="19">
        <v>3</v>
      </c>
      <c r="C33">
        <v>12</v>
      </c>
    </row>
    <row r="34" spans="1:3" x14ac:dyDescent="0.3">
      <c r="A34" s="14" t="s">
        <v>724</v>
      </c>
      <c r="B34" s="19">
        <v>2</v>
      </c>
      <c r="C34">
        <v>12</v>
      </c>
    </row>
    <row r="35" spans="1:3" x14ac:dyDescent="0.3">
      <c r="A35" s="14" t="s">
        <v>725</v>
      </c>
      <c r="B35" s="19">
        <v>1</v>
      </c>
      <c r="C35">
        <v>7</v>
      </c>
    </row>
    <row r="36" spans="1:3" x14ac:dyDescent="0.3">
      <c r="A36" s="14" t="s">
        <v>719</v>
      </c>
      <c r="B36" s="19">
        <v>0</v>
      </c>
      <c r="C36">
        <v>12</v>
      </c>
    </row>
    <row r="37" spans="1:3" x14ac:dyDescent="0.3">
      <c r="A37" s="14" t="s">
        <v>1455</v>
      </c>
      <c r="B37" s="19">
        <v>1</v>
      </c>
      <c r="C37">
        <v>3</v>
      </c>
    </row>
    <row r="38" spans="1:3" x14ac:dyDescent="0.3">
      <c r="A38" s="13" t="s">
        <v>647</v>
      </c>
      <c r="B38" s="19">
        <v>24</v>
      </c>
      <c r="C38">
        <v>171</v>
      </c>
    </row>
    <row r="39" spans="1:3" x14ac:dyDescent="0.3">
      <c r="A39" s="14" t="s">
        <v>720</v>
      </c>
      <c r="B39" s="19">
        <v>0</v>
      </c>
      <c r="C39">
        <v>10</v>
      </c>
    </row>
    <row r="40" spans="1:3" x14ac:dyDescent="0.3">
      <c r="A40" s="14" t="s">
        <v>717</v>
      </c>
      <c r="B40" s="19">
        <v>2</v>
      </c>
      <c r="C40">
        <v>17</v>
      </c>
    </row>
    <row r="41" spans="1:3" x14ac:dyDescent="0.3">
      <c r="A41" s="14" t="s">
        <v>712</v>
      </c>
      <c r="B41" s="19">
        <v>3</v>
      </c>
      <c r="C41">
        <v>10</v>
      </c>
    </row>
    <row r="42" spans="1:3" x14ac:dyDescent="0.3">
      <c r="A42" s="14" t="s">
        <v>726</v>
      </c>
      <c r="B42" s="19">
        <v>1</v>
      </c>
      <c r="C42">
        <v>9</v>
      </c>
    </row>
    <row r="43" spans="1:3" x14ac:dyDescent="0.3">
      <c r="A43" s="14" t="s">
        <v>718</v>
      </c>
      <c r="B43" s="19">
        <v>0</v>
      </c>
      <c r="C43">
        <v>8</v>
      </c>
    </row>
    <row r="44" spans="1:3" x14ac:dyDescent="0.3">
      <c r="A44" s="14" t="s">
        <v>721</v>
      </c>
      <c r="B44" s="19">
        <v>3</v>
      </c>
      <c r="C44">
        <v>12</v>
      </c>
    </row>
    <row r="45" spans="1:3" x14ac:dyDescent="0.3">
      <c r="A45" s="14" t="s">
        <v>715</v>
      </c>
      <c r="B45" s="19">
        <v>1</v>
      </c>
      <c r="C45">
        <v>11</v>
      </c>
    </row>
    <row r="46" spans="1:3" x14ac:dyDescent="0.3">
      <c r="A46" s="14" t="s">
        <v>722</v>
      </c>
      <c r="B46" s="19">
        <v>2</v>
      </c>
      <c r="C46">
        <v>16</v>
      </c>
    </row>
    <row r="47" spans="1:3" x14ac:dyDescent="0.3">
      <c r="A47" s="14" t="s">
        <v>714</v>
      </c>
      <c r="B47" s="19">
        <v>1</v>
      </c>
      <c r="C47">
        <v>8</v>
      </c>
    </row>
    <row r="48" spans="1:3" x14ac:dyDescent="0.3">
      <c r="A48" s="14" t="s">
        <v>713</v>
      </c>
      <c r="B48" s="19">
        <v>2</v>
      </c>
      <c r="C48">
        <v>19</v>
      </c>
    </row>
    <row r="49" spans="1:3" x14ac:dyDescent="0.3">
      <c r="A49" s="14" t="s">
        <v>723</v>
      </c>
      <c r="B49" s="19">
        <v>1</v>
      </c>
      <c r="C49">
        <v>7</v>
      </c>
    </row>
    <row r="50" spans="1:3" x14ac:dyDescent="0.3">
      <c r="A50" s="14" t="s">
        <v>716</v>
      </c>
      <c r="B50" s="19">
        <v>3</v>
      </c>
      <c r="C50">
        <v>14</v>
      </c>
    </row>
    <row r="51" spans="1:3" x14ac:dyDescent="0.3">
      <c r="A51" s="14" t="s">
        <v>724</v>
      </c>
      <c r="B51" s="19">
        <v>0</v>
      </c>
      <c r="C51">
        <v>10</v>
      </c>
    </row>
    <row r="52" spans="1:3" x14ac:dyDescent="0.3">
      <c r="A52" s="14" t="s">
        <v>725</v>
      </c>
      <c r="B52" s="19">
        <v>1</v>
      </c>
      <c r="C52">
        <v>10</v>
      </c>
    </row>
    <row r="53" spans="1:3" x14ac:dyDescent="0.3">
      <c r="A53" s="14" t="s">
        <v>719</v>
      </c>
      <c r="B53" s="19">
        <v>4</v>
      </c>
      <c r="C53">
        <v>8</v>
      </c>
    </row>
    <row r="54" spans="1:3" x14ac:dyDescent="0.3">
      <c r="A54" s="14" t="s">
        <v>1455</v>
      </c>
      <c r="B54" s="19">
        <v>0</v>
      </c>
      <c r="C54">
        <v>2</v>
      </c>
    </row>
    <row r="55" spans="1:3" x14ac:dyDescent="0.3">
      <c r="A55" s="13" t="s">
        <v>649</v>
      </c>
      <c r="B55" s="19">
        <v>17</v>
      </c>
      <c r="C55">
        <v>159</v>
      </c>
    </row>
    <row r="56" spans="1:3" x14ac:dyDescent="0.3">
      <c r="A56" s="14" t="s">
        <v>720</v>
      </c>
      <c r="B56" s="19">
        <v>1</v>
      </c>
      <c r="C56">
        <v>10</v>
      </c>
    </row>
    <row r="57" spans="1:3" x14ac:dyDescent="0.3">
      <c r="A57" s="14" t="s">
        <v>717</v>
      </c>
      <c r="B57" s="19">
        <v>2</v>
      </c>
      <c r="C57">
        <v>15</v>
      </c>
    </row>
    <row r="58" spans="1:3" x14ac:dyDescent="0.3">
      <c r="A58" s="14" t="s">
        <v>712</v>
      </c>
      <c r="B58" s="19">
        <v>1</v>
      </c>
      <c r="C58">
        <v>5</v>
      </c>
    </row>
    <row r="59" spans="1:3" x14ac:dyDescent="0.3">
      <c r="A59" s="14" t="s">
        <v>726</v>
      </c>
      <c r="B59" s="19">
        <v>1</v>
      </c>
      <c r="C59">
        <v>11</v>
      </c>
    </row>
    <row r="60" spans="1:3" x14ac:dyDescent="0.3">
      <c r="A60" s="14" t="s">
        <v>718</v>
      </c>
      <c r="B60" s="19">
        <v>2</v>
      </c>
      <c r="C60">
        <v>16</v>
      </c>
    </row>
    <row r="61" spans="1:3" x14ac:dyDescent="0.3">
      <c r="A61" s="14" t="s">
        <v>721</v>
      </c>
      <c r="B61" s="19">
        <v>0</v>
      </c>
      <c r="C61">
        <v>11</v>
      </c>
    </row>
    <row r="62" spans="1:3" x14ac:dyDescent="0.3">
      <c r="A62" s="14" t="s">
        <v>715</v>
      </c>
      <c r="B62" s="19">
        <v>1</v>
      </c>
      <c r="C62">
        <v>8</v>
      </c>
    </row>
    <row r="63" spans="1:3" x14ac:dyDescent="0.3">
      <c r="A63" s="14" t="s">
        <v>722</v>
      </c>
      <c r="B63" s="19">
        <v>1</v>
      </c>
      <c r="C63">
        <v>13</v>
      </c>
    </row>
    <row r="64" spans="1:3" x14ac:dyDescent="0.3">
      <c r="A64" s="14" t="s">
        <v>714</v>
      </c>
      <c r="B64" s="19">
        <v>1</v>
      </c>
      <c r="C64">
        <v>8</v>
      </c>
    </row>
    <row r="65" spans="1:3" x14ac:dyDescent="0.3">
      <c r="A65" s="14" t="s">
        <v>713</v>
      </c>
      <c r="B65" s="19">
        <v>1</v>
      </c>
      <c r="C65">
        <v>9</v>
      </c>
    </row>
    <row r="66" spans="1:3" x14ac:dyDescent="0.3">
      <c r="A66" s="14" t="s">
        <v>723</v>
      </c>
      <c r="B66" s="19">
        <v>2</v>
      </c>
      <c r="C66">
        <v>13</v>
      </c>
    </row>
    <row r="67" spans="1:3" x14ac:dyDescent="0.3">
      <c r="A67" s="14" t="s">
        <v>716</v>
      </c>
      <c r="B67" s="19">
        <v>0</v>
      </c>
      <c r="C67">
        <v>10</v>
      </c>
    </row>
    <row r="68" spans="1:3" x14ac:dyDescent="0.3">
      <c r="A68" s="14" t="s">
        <v>724</v>
      </c>
      <c r="B68" s="19">
        <v>1</v>
      </c>
      <c r="C68">
        <v>10</v>
      </c>
    </row>
    <row r="69" spans="1:3" x14ac:dyDescent="0.3">
      <c r="A69" s="14" t="s">
        <v>725</v>
      </c>
      <c r="B69" s="19">
        <v>3</v>
      </c>
      <c r="C69">
        <v>11</v>
      </c>
    </row>
    <row r="70" spans="1:3" x14ac:dyDescent="0.3">
      <c r="A70" s="14" t="s">
        <v>719</v>
      </c>
      <c r="B70" s="19">
        <v>0</v>
      </c>
      <c r="C70">
        <v>8</v>
      </c>
    </row>
    <row r="71" spans="1:3" x14ac:dyDescent="0.3">
      <c r="A71" s="14" t="s">
        <v>1455</v>
      </c>
      <c r="B71" s="19">
        <v>0</v>
      </c>
      <c r="C71">
        <v>1</v>
      </c>
    </row>
    <row r="72" spans="1:3" x14ac:dyDescent="0.3">
      <c r="A72" s="13" t="s">
        <v>1446</v>
      </c>
      <c r="B72" s="19">
        <v>90</v>
      </c>
      <c r="C72">
        <v>632</v>
      </c>
    </row>
    <row r="84" spans="1:4" x14ac:dyDescent="0.3">
      <c r="A84" s="12" t="s">
        <v>1445</v>
      </c>
      <c r="B84" t="s">
        <v>1456</v>
      </c>
      <c r="C84" t="s">
        <v>1469</v>
      </c>
      <c r="D84" s="15" t="s">
        <v>1478</v>
      </c>
    </row>
    <row r="85" spans="1:4" x14ac:dyDescent="0.3">
      <c r="A85" s="13" t="s">
        <v>720</v>
      </c>
      <c r="B85">
        <v>46</v>
      </c>
      <c r="C85" s="19">
        <v>9</v>
      </c>
      <c r="D85" s="18">
        <f>GETPIVOTDATA("Sum of HighDiscPct",$A$84,"Salesperson","A. Patel")/GETPIVOTDATA("Count of OrderID",$A$84,"Salesperson","A. Patel")</f>
        <v>0.19565217391304349</v>
      </c>
    </row>
    <row r="86" spans="1:4" x14ac:dyDescent="0.3">
      <c r="A86" s="13" t="s">
        <v>717</v>
      </c>
      <c r="B86">
        <v>48</v>
      </c>
      <c r="C86" s="19">
        <v>5</v>
      </c>
      <c r="D86" s="18">
        <f>GETPIVOTDATA("Sum of HighDiscPct",$A$84,"Salesperson","B. Chen")/GETPIVOTDATA("Count of OrderID",$A$84,"Salesperson","B. Chen")</f>
        <v>0.10416666666666667</v>
      </c>
    </row>
    <row r="87" spans="1:4" x14ac:dyDescent="0.3">
      <c r="A87" s="13" t="s">
        <v>712</v>
      </c>
      <c r="B87">
        <v>37</v>
      </c>
      <c r="C87" s="19">
        <v>8</v>
      </c>
      <c r="D87" s="18">
        <f>GETPIVOTDATA("Sum of HighDiscPct",$A$84,"Salesperson","C. Otieno")/GETPIVOTDATA("Count of OrderID",$A$84,"Salesperson","C. Otieno")</f>
        <v>0.21621621621621623</v>
      </c>
    </row>
    <row r="88" spans="1:4" x14ac:dyDescent="0.3">
      <c r="A88" s="13" t="s">
        <v>726</v>
      </c>
      <c r="B88">
        <v>38</v>
      </c>
      <c r="C88" s="19">
        <v>8</v>
      </c>
      <c r="D88" s="18">
        <f>GETPIVOTDATA("Sum of HighDiscPct",$A$84,"Salesperson","D. Smith")/GETPIVOTDATA("Count of OrderID",$A$84,"Salesperson","D. Smith")</f>
        <v>0.21052631578947367</v>
      </c>
    </row>
    <row r="89" spans="1:4" x14ac:dyDescent="0.3">
      <c r="A89" s="13" t="s">
        <v>718</v>
      </c>
      <c r="B89">
        <v>34</v>
      </c>
      <c r="C89" s="19">
        <v>3</v>
      </c>
      <c r="D89" s="18">
        <f>GETPIVOTDATA("Sum of HighDiscPct",$A$84,"Salesperson","E. Garcia")/GETPIVOTDATA("Count of OrderID",$A$84,"Salesperson","E. Garcia")</f>
        <v>8.8235294117647065E-2</v>
      </c>
    </row>
    <row r="90" spans="1:4" x14ac:dyDescent="0.3">
      <c r="A90" s="13" t="s">
        <v>721</v>
      </c>
      <c r="B90">
        <v>51</v>
      </c>
      <c r="C90" s="19">
        <v>4</v>
      </c>
      <c r="D90" s="18">
        <f>GETPIVOTDATA("Sum of HighDiscPct",$A$84,"Salesperson","F. Müller")/GETPIVOTDATA("Count of OrderID",$A$84,"Salesperson","F. Müller")</f>
        <v>7.8431372549019607E-2</v>
      </c>
    </row>
    <row r="91" spans="1:4" x14ac:dyDescent="0.3">
      <c r="A91" s="13" t="s">
        <v>715</v>
      </c>
      <c r="B91">
        <v>30</v>
      </c>
      <c r="C91" s="19">
        <v>3</v>
      </c>
      <c r="D91" s="18">
        <f>GETPIVOTDATA("Sum of HighDiscPct",$A$84,"Salesperson","G. Dubois")/GETPIVOTDATA("Count of OrderID",$A$84,"Salesperson","G. Dubois")</f>
        <v>0.1</v>
      </c>
    </row>
    <row r="92" spans="1:4" x14ac:dyDescent="0.3">
      <c r="A92" s="13" t="s">
        <v>722</v>
      </c>
      <c r="B92">
        <v>45</v>
      </c>
      <c r="C92" s="19">
        <v>4</v>
      </c>
      <c r="D92" s="18">
        <f>GETPIVOTDATA("Sum of HighDiscPct",$A$84,"Salesperson","H. Kim")/GETPIVOTDATA("Count of OrderID",$A$84,"Salesperson","H. Kim")</f>
        <v>8.8888888888888892E-2</v>
      </c>
    </row>
    <row r="93" spans="1:4" x14ac:dyDescent="0.3">
      <c r="A93" s="13" t="s">
        <v>714</v>
      </c>
      <c r="B93">
        <v>38</v>
      </c>
      <c r="C93" s="19">
        <v>9</v>
      </c>
      <c r="D93" s="18">
        <f>GETPIVOTDATA("Sum of HighDiscPct",$A$84,"Salesperson","I. Johnson")/GETPIVOTDATA("Count of OrderID",$A$84,"Salesperson","I. Johnson")</f>
        <v>0.23684210526315788</v>
      </c>
    </row>
    <row r="94" spans="1:4" x14ac:dyDescent="0.3">
      <c r="A94" s="13" t="s">
        <v>713</v>
      </c>
      <c r="B94">
        <v>50</v>
      </c>
      <c r="C94" s="19">
        <v>6</v>
      </c>
      <c r="D94" s="18">
        <f>GETPIVOTDATA("Sum of HighDiscPct",$A$84,"Salesperson","J. Njeri")/GETPIVOTDATA("Count of OrderID",$A$84,"Salesperson","J. Njeri")</f>
        <v>0.12</v>
      </c>
    </row>
    <row r="95" spans="1:4" x14ac:dyDescent="0.3">
      <c r="A95" s="13" t="s">
        <v>723</v>
      </c>
      <c r="B95">
        <v>44</v>
      </c>
      <c r="C95" s="19">
        <v>4</v>
      </c>
      <c r="D95" s="18">
        <f>GETPIVOTDATA("Sum of HighDiscPct",$A$84,"Salesperson","K. Singh")/GETPIVOTDATA("Count of OrderID",$A$84,"Salesperson","K. Singh")</f>
        <v>9.0909090909090912E-2</v>
      </c>
    </row>
    <row r="96" spans="1:4" x14ac:dyDescent="0.3">
      <c r="A96" s="13" t="s">
        <v>716</v>
      </c>
      <c r="B96">
        <v>46</v>
      </c>
      <c r="C96" s="19">
        <v>8</v>
      </c>
      <c r="D96" s="18">
        <f>GETPIVOTDATA("Sum of HighDiscPct",$A$84,"Salesperson","L. Okafor")/GETPIVOTDATA("Count of OrderID",$A$84,"Salesperson","L. Okafor")</f>
        <v>0.17391304347826086</v>
      </c>
    </row>
    <row r="97" spans="1:4" x14ac:dyDescent="0.3">
      <c r="A97" s="13" t="s">
        <v>724</v>
      </c>
      <c r="B97">
        <v>48</v>
      </c>
      <c r="C97" s="19">
        <v>8</v>
      </c>
      <c r="D97" s="18">
        <f>GETPIVOTDATA("Sum of HighDiscPct",$A$84,"Salesperson","M. Rossi")/GETPIVOTDATA("Count of OrderID",$A$84,"Salesperson","M. Rossi")</f>
        <v>0.16666666666666666</v>
      </c>
    </row>
    <row r="98" spans="1:4" x14ac:dyDescent="0.3">
      <c r="A98" s="13" t="s">
        <v>725</v>
      </c>
      <c r="B98">
        <v>32</v>
      </c>
      <c r="C98" s="19">
        <v>5</v>
      </c>
      <c r="D98" s="18">
        <f>GETPIVOTDATA("Sum of HighDiscPct",$A$84,"Salesperson","N. Brown")/GETPIVOTDATA("Count of OrderID",$A$84,"Salesperson","N. Brown")</f>
        <v>0.15625</v>
      </c>
    </row>
    <row r="99" spans="1:4" x14ac:dyDescent="0.3">
      <c r="A99" s="13" t="s">
        <v>719</v>
      </c>
      <c r="B99">
        <v>37</v>
      </c>
      <c r="C99" s="19">
        <v>4</v>
      </c>
      <c r="D99" s="18">
        <f>GETPIVOTDATA("Sum of HighDiscPct",$A$84,"Salesperson","O. Wang")/GETPIVOTDATA("Count of OrderID",$A$84,"Salesperson","O. Wang")</f>
        <v>0.10810810810810811</v>
      </c>
    </row>
    <row r="100" spans="1:4" x14ac:dyDescent="0.3">
      <c r="A100" s="13" t="s">
        <v>1455</v>
      </c>
      <c r="B100">
        <v>8</v>
      </c>
      <c r="C100" s="19">
        <v>2</v>
      </c>
      <c r="D100" s="20">
        <f>GETPIVOTDATA("Sum of HighDiscPct",$A$84)/GETPIVOTDATA("Count of OrderID",$A$84)</f>
        <v>0.14240506329113925</v>
      </c>
    </row>
    <row r="101" spans="1:4" x14ac:dyDescent="0.3">
      <c r="A101" s="13" t="s">
        <v>1446</v>
      </c>
      <c r="B101">
        <v>632</v>
      </c>
      <c r="C101" s="19">
        <v>90</v>
      </c>
    </row>
  </sheetData>
  <sortState xmlns:xlrd2="http://schemas.microsoft.com/office/spreadsheetml/2017/richdata2" columnSort="1" ref="A3:C72">
    <sortCondition descending="1" ref="C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09A6-B5B5-44D1-98C8-53044736F601}">
  <dimension ref="A1:D10"/>
  <sheetViews>
    <sheetView workbookViewId="0">
      <selection activeCell="B4" sqref="B4"/>
    </sheetView>
  </sheetViews>
  <sheetFormatPr defaultRowHeight="14.4" x14ac:dyDescent="0.3"/>
  <cols>
    <col min="1" max="1" width="12.5546875" customWidth="1"/>
  </cols>
  <sheetData>
    <row r="1" spans="1:4" x14ac:dyDescent="0.3">
      <c r="A1" s="15" t="s">
        <v>1479</v>
      </c>
      <c r="B1" s="15" t="s">
        <v>1480</v>
      </c>
    </row>
    <row r="2" spans="1:4" x14ac:dyDescent="0.3">
      <c r="A2" t="s">
        <v>1481</v>
      </c>
      <c r="B2" s="21">
        <v>0.2</v>
      </c>
    </row>
    <row r="3" spans="1:4" x14ac:dyDescent="0.3">
      <c r="A3" t="s">
        <v>1482</v>
      </c>
      <c r="B3" s="21">
        <v>0.05</v>
      </c>
    </row>
    <row r="4" spans="1:4" x14ac:dyDescent="0.3">
      <c r="A4" t="s">
        <v>1483</v>
      </c>
      <c r="B4" s="21">
        <v>0.1</v>
      </c>
    </row>
    <row r="10" spans="1:4" x14ac:dyDescent="0.3">
      <c r="D10" s="2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5275-7790-4A1F-9706-AE24108A437E}">
  <dimension ref="A1:D4"/>
  <sheetViews>
    <sheetView workbookViewId="0">
      <selection activeCell="C6" sqref="C6"/>
    </sheetView>
  </sheetViews>
  <sheetFormatPr defaultRowHeight="14.4" x14ac:dyDescent="0.3"/>
  <cols>
    <col min="1" max="1" width="14.88671875" bestFit="1" customWidth="1"/>
    <col min="2" max="2" width="14.77734375" bestFit="1" customWidth="1"/>
    <col min="3" max="3" width="11.5546875" bestFit="1" customWidth="1"/>
    <col min="4" max="4" width="11.21875" bestFit="1" customWidth="1"/>
  </cols>
  <sheetData>
    <row r="1" spans="1:4" x14ac:dyDescent="0.3">
      <c r="A1" s="15" t="s">
        <v>1490</v>
      </c>
      <c r="B1" s="15" t="s">
        <v>1491</v>
      </c>
      <c r="C1" s="15" t="s">
        <v>1492</v>
      </c>
      <c r="D1" s="15"/>
    </row>
    <row r="2" spans="1:4" x14ac:dyDescent="0.3">
      <c r="A2" t="s">
        <v>1493</v>
      </c>
      <c r="B2" s="4">
        <f>SUM(Table1[GrossRevenue])</f>
        <v>10928845.716499986</v>
      </c>
      <c r="C2" s="4">
        <f>SUM(Table1[ScenarioRev])</f>
        <v>12137817.44649099</v>
      </c>
      <c r="D2" s="4"/>
    </row>
    <row r="3" spans="1:4" x14ac:dyDescent="0.3">
      <c r="A3" t="s">
        <v>1494</v>
      </c>
      <c r="B3" s="4">
        <f>SUM(Table1[GrossProfit])</f>
        <v>3401098.0065000006</v>
      </c>
      <c r="C3" s="4">
        <f>SUM(Table1[ScenarioProfit])</f>
        <v>515464.93950000004</v>
      </c>
      <c r="D3" s="4"/>
    </row>
    <row r="4" spans="1:4" x14ac:dyDescent="0.3">
      <c r="A4" t="s">
        <v>1495</v>
      </c>
      <c r="B4" s="18">
        <f>B3/B2</f>
        <v>0.3112037716265994</v>
      </c>
      <c r="C4" s="18">
        <f>C3/C2</f>
        <v>4.246767936430116E-2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BE09-0656-4B47-8D5E-0D637E45139E}">
  <dimension ref="A3:B101"/>
  <sheetViews>
    <sheetView topLeftCell="A31" workbookViewId="0">
      <selection activeCell="T18" sqref="T18"/>
    </sheetView>
  </sheetViews>
  <sheetFormatPr defaultRowHeight="14.4" x14ac:dyDescent="0.3"/>
  <cols>
    <col min="1" max="1" width="20.6640625" bestFit="1" customWidth="1"/>
    <col min="2" max="3" width="17.44140625" bestFit="1" customWidth="1"/>
  </cols>
  <sheetData>
    <row r="3" spans="1:2" x14ac:dyDescent="0.3">
      <c r="A3" s="12" t="s">
        <v>1445</v>
      </c>
      <c r="B3" t="s">
        <v>1450</v>
      </c>
    </row>
    <row r="4" spans="1:2" x14ac:dyDescent="0.3">
      <c r="A4" s="13" t="s">
        <v>1496</v>
      </c>
      <c r="B4" s="4">
        <v>701241.31054999994</v>
      </c>
    </row>
    <row r="5" spans="1:2" x14ac:dyDescent="0.3">
      <c r="A5" s="13" t="s">
        <v>1497</v>
      </c>
      <c r="B5" s="4">
        <v>963190.85297999997</v>
      </c>
    </row>
    <row r="6" spans="1:2" x14ac:dyDescent="0.3">
      <c r="A6" s="13" t="s">
        <v>1498</v>
      </c>
      <c r="B6" s="4">
        <v>798978.30495000014</v>
      </c>
    </row>
    <row r="7" spans="1:2" x14ac:dyDescent="0.3">
      <c r="A7" s="13" t="s">
        <v>1499</v>
      </c>
      <c r="B7" s="4">
        <v>947246.57738000015</v>
      </c>
    </row>
    <row r="8" spans="1:2" x14ac:dyDescent="0.3">
      <c r="A8" s="13" t="s">
        <v>1500</v>
      </c>
      <c r="B8" s="4">
        <v>1262173.9173499998</v>
      </c>
    </row>
    <row r="9" spans="1:2" x14ac:dyDescent="0.3">
      <c r="A9" s="13" t="s">
        <v>1501</v>
      </c>
      <c r="B9" s="4">
        <v>1252974.1609099999</v>
      </c>
    </row>
    <row r="10" spans="1:2" x14ac:dyDescent="0.3">
      <c r="A10" s="13" t="s">
        <v>1502</v>
      </c>
      <c r="B10" s="4">
        <v>1313062.2995499999</v>
      </c>
    </row>
    <row r="11" spans="1:2" x14ac:dyDescent="0.3">
      <c r="A11" s="13" t="s">
        <v>1503</v>
      </c>
      <c r="B11" s="4">
        <v>1089608.8125499997</v>
      </c>
    </row>
    <row r="12" spans="1:2" x14ac:dyDescent="0.3">
      <c r="A12" s="13" t="s">
        <v>1504</v>
      </c>
      <c r="B12" s="4">
        <v>661159.42946000001</v>
      </c>
    </row>
    <row r="13" spans="1:2" x14ac:dyDescent="0.3">
      <c r="A13" s="13" t="s">
        <v>1505</v>
      </c>
      <c r="B13" s="4">
        <v>658776.05551000021</v>
      </c>
    </row>
    <row r="14" spans="1:2" x14ac:dyDescent="0.3">
      <c r="A14" s="13" t="s">
        <v>1506</v>
      </c>
      <c r="B14" s="4">
        <v>543953.69134999998</v>
      </c>
    </row>
    <row r="15" spans="1:2" x14ac:dyDescent="0.3">
      <c r="A15" s="13" t="s">
        <v>1507</v>
      </c>
      <c r="B15" s="4">
        <v>736480.3039600004</v>
      </c>
    </row>
    <row r="16" spans="1:2" x14ac:dyDescent="0.3">
      <c r="A16" s="13" t="s">
        <v>1446</v>
      </c>
      <c r="B16" s="4">
        <v>10928845.716499999</v>
      </c>
    </row>
    <row r="25" spans="1:2" x14ac:dyDescent="0.3">
      <c r="A25" s="12" t="s">
        <v>1445</v>
      </c>
      <c r="B25" t="s">
        <v>1457</v>
      </c>
    </row>
    <row r="26" spans="1:2" x14ac:dyDescent="0.3">
      <c r="A26" s="13" t="s">
        <v>646</v>
      </c>
      <c r="B26" s="4">
        <v>837663.85149999976</v>
      </c>
    </row>
    <row r="27" spans="1:2" x14ac:dyDescent="0.3">
      <c r="A27" s="13" t="s">
        <v>648</v>
      </c>
      <c r="B27" s="4">
        <v>862340.77133999951</v>
      </c>
    </row>
    <row r="28" spans="1:2" x14ac:dyDescent="0.3">
      <c r="A28" s="13" t="s">
        <v>647</v>
      </c>
      <c r="B28" s="4">
        <v>831257.72765000002</v>
      </c>
    </row>
    <row r="29" spans="1:2" x14ac:dyDescent="0.3">
      <c r="A29" s="13" t="s">
        <v>649</v>
      </c>
      <c r="B29" s="4">
        <v>869835.65601000004</v>
      </c>
    </row>
    <row r="30" spans="1:2" x14ac:dyDescent="0.3">
      <c r="A30" s="13" t="s">
        <v>1446</v>
      </c>
      <c r="B30" s="4">
        <v>3401098.0064999992</v>
      </c>
    </row>
    <row r="43" spans="1:2" x14ac:dyDescent="0.3">
      <c r="A43" s="12" t="s">
        <v>1445</v>
      </c>
      <c r="B43" t="s">
        <v>1450</v>
      </c>
    </row>
    <row r="44" spans="1:2" x14ac:dyDescent="0.3">
      <c r="A44" s="13" t="s">
        <v>1010</v>
      </c>
      <c r="B44" s="4">
        <v>79548.755999999994</v>
      </c>
    </row>
    <row r="45" spans="1:2" x14ac:dyDescent="0.3">
      <c r="A45" s="13" t="s">
        <v>1345</v>
      </c>
      <c r="B45" s="4">
        <v>82141.339799999987</v>
      </c>
    </row>
    <row r="46" spans="1:2" x14ac:dyDescent="0.3">
      <c r="A46" s="13" t="s">
        <v>1096</v>
      </c>
      <c r="B46" s="4">
        <v>82514.711519999997</v>
      </c>
    </row>
    <row r="47" spans="1:2" x14ac:dyDescent="0.3">
      <c r="A47" s="13" t="s">
        <v>1198</v>
      </c>
      <c r="B47" s="4">
        <v>84136.119600000005</v>
      </c>
    </row>
    <row r="48" spans="1:2" x14ac:dyDescent="0.3">
      <c r="A48" s="13" t="s">
        <v>899</v>
      </c>
      <c r="B48" s="4">
        <v>85637.740319999997</v>
      </c>
    </row>
    <row r="49" spans="1:2" x14ac:dyDescent="0.3">
      <c r="A49" s="13" t="s">
        <v>874</v>
      </c>
      <c r="B49" s="4">
        <v>87404.929919999995</v>
      </c>
    </row>
    <row r="50" spans="1:2" x14ac:dyDescent="0.3">
      <c r="A50" s="13" t="s">
        <v>909</v>
      </c>
      <c r="B50" s="4">
        <v>92715.25</v>
      </c>
    </row>
    <row r="51" spans="1:2" x14ac:dyDescent="0.3">
      <c r="A51" s="13" t="s">
        <v>1155</v>
      </c>
      <c r="B51" s="4">
        <v>102122.94203999999</v>
      </c>
    </row>
    <row r="52" spans="1:2" x14ac:dyDescent="0.3">
      <c r="A52" s="13" t="s">
        <v>781</v>
      </c>
      <c r="B52" s="4">
        <v>109244</v>
      </c>
    </row>
    <row r="53" spans="1:2" x14ac:dyDescent="0.3">
      <c r="A53" s="13" t="s">
        <v>971</v>
      </c>
      <c r="B53" s="4">
        <v>139277.83032000001</v>
      </c>
    </row>
    <row r="54" spans="1:2" x14ac:dyDescent="0.3">
      <c r="A54" s="13" t="s">
        <v>1446</v>
      </c>
      <c r="B54" s="4">
        <v>944743.61951999995</v>
      </c>
    </row>
    <row r="62" spans="1:2" x14ac:dyDescent="0.3">
      <c r="A62" s="12" t="s">
        <v>1445</v>
      </c>
      <c r="B62" t="s">
        <v>1469</v>
      </c>
    </row>
    <row r="63" spans="1:2" x14ac:dyDescent="0.3">
      <c r="A63" s="13" t="s">
        <v>1455</v>
      </c>
      <c r="B63" s="19">
        <v>2</v>
      </c>
    </row>
    <row r="64" spans="1:2" x14ac:dyDescent="0.3">
      <c r="A64" s="13" t="s">
        <v>718</v>
      </c>
      <c r="B64" s="19">
        <v>3</v>
      </c>
    </row>
    <row r="65" spans="1:2" x14ac:dyDescent="0.3">
      <c r="A65" s="13" t="s">
        <v>715</v>
      </c>
      <c r="B65" s="19">
        <v>3</v>
      </c>
    </row>
    <row r="66" spans="1:2" x14ac:dyDescent="0.3">
      <c r="A66" s="13" t="s">
        <v>722</v>
      </c>
      <c r="B66" s="19">
        <v>4</v>
      </c>
    </row>
    <row r="67" spans="1:2" x14ac:dyDescent="0.3">
      <c r="A67" s="13" t="s">
        <v>721</v>
      </c>
      <c r="B67" s="19">
        <v>4</v>
      </c>
    </row>
    <row r="68" spans="1:2" x14ac:dyDescent="0.3">
      <c r="A68" s="13" t="s">
        <v>723</v>
      </c>
      <c r="B68" s="19">
        <v>4</v>
      </c>
    </row>
    <row r="69" spans="1:2" x14ac:dyDescent="0.3">
      <c r="A69" s="13" t="s">
        <v>719</v>
      </c>
      <c r="B69" s="19">
        <v>4</v>
      </c>
    </row>
    <row r="70" spans="1:2" x14ac:dyDescent="0.3">
      <c r="A70" s="13" t="s">
        <v>717</v>
      </c>
      <c r="B70" s="19">
        <v>5</v>
      </c>
    </row>
    <row r="71" spans="1:2" x14ac:dyDescent="0.3">
      <c r="A71" s="13" t="s">
        <v>725</v>
      </c>
      <c r="B71" s="19">
        <v>5</v>
      </c>
    </row>
    <row r="72" spans="1:2" x14ac:dyDescent="0.3">
      <c r="A72" s="13" t="s">
        <v>713</v>
      </c>
      <c r="B72" s="19">
        <v>6</v>
      </c>
    </row>
    <row r="73" spans="1:2" x14ac:dyDescent="0.3">
      <c r="A73" s="13" t="s">
        <v>724</v>
      </c>
      <c r="B73" s="19">
        <v>8</v>
      </c>
    </row>
    <row r="74" spans="1:2" x14ac:dyDescent="0.3">
      <c r="A74" s="13" t="s">
        <v>716</v>
      </c>
      <c r="B74" s="19">
        <v>8</v>
      </c>
    </row>
    <row r="75" spans="1:2" x14ac:dyDescent="0.3">
      <c r="A75" s="13" t="s">
        <v>726</v>
      </c>
      <c r="B75" s="19">
        <v>8</v>
      </c>
    </row>
    <row r="76" spans="1:2" x14ac:dyDescent="0.3">
      <c r="A76" s="13" t="s">
        <v>712</v>
      </c>
      <c r="B76" s="19">
        <v>8</v>
      </c>
    </row>
    <row r="77" spans="1:2" x14ac:dyDescent="0.3">
      <c r="A77" s="13" t="s">
        <v>714</v>
      </c>
      <c r="B77" s="19">
        <v>9</v>
      </c>
    </row>
    <row r="78" spans="1:2" x14ac:dyDescent="0.3">
      <c r="A78" s="13" t="s">
        <v>720</v>
      </c>
      <c r="B78" s="19">
        <v>9</v>
      </c>
    </row>
    <row r="79" spans="1:2" x14ac:dyDescent="0.3">
      <c r="A79" s="13" t="s">
        <v>1446</v>
      </c>
      <c r="B79" s="19">
        <v>90</v>
      </c>
    </row>
    <row r="83" spans="1:1" x14ac:dyDescent="0.3">
      <c r="A83" t="s">
        <v>1450</v>
      </c>
    </row>
    <row r="84" spans="1:1" x14ac:dyDescent="0.3">
      <c r="A84" s="4">
        <v>10928845.716499986</v>
      </c>
    </row>
    <row r="88" spans="1:1" x14ac:dyDescent="0.3">
      <c r="A88" t="s">
        <v>1457</v>
      </c>
    </row>
    <row r="89" spans="1:1" x14ac:dyDescent="0.3">
      <c r="A89" s="4">
        <v>3401098.0065000006</v>
      </c>
    </row>
    <row r="92" spans="1:1" x14ac:dyDescent="0.3">
      <c r="A92" s="15" t="s">
        <v>1495</v>
      </c>
    </row>
    <row r="93" spans="1:1" x14ac:dyDescent="0.3">
      <c r="A93" s="18">
        <f>GETPIVOTDATA("GrossProfit",$A$88)/GETPIVOTDATA("GrossRevenue",$A$83)</f>
        <v>0.3112037716265994</v>
      </c>
    </row>
    <row r="96" spans="1:1" x14ac:dyDescent="0.3">
      <c r="A96" s="15" t="s">
        <v>1508</v>
      </c>
    </row>
    <row r="97" spans="1:1" x14ac:dyDescent="0.3">
      <c r="A97" s="4">
        <f>GETPIVOTDATA("GrossRevenue",$A$83)/632</f>
        <v>17292.477399525294</v>
      </c>
    </row>
    <row r="100" spans="1:1" x14ac:dyDescent="0.3">
      <c r="A100" t="s">
        <v>1509</v>
      </c>
    </row>
    <row r="101" spans="1:1" x14ac:dyDescent="0.3">
      <c r="A101" s="21">
        <v>0.21835443037974683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CDE6-35EA-4FA5-B56A-B2267F67201E}">
  <dimension ref="A1:W46"/>
  <sheetViews>
    <sheetView zoomScale="90" zoomScaleNormal="90" workbookViewId="0">
      <selection activeCell="R8" sqref="R8"/>
    </sheetView>
  </sheetViews>
  <sheetFormatPr defaultRowHeight="14.4" x14ac:dyDescent="0.3"/>
  <sheetData>
    <row r="1" spans="1:23" x14ac:dyDescent="0.3">
      <c r="A1" s="22"/>
      <c r="B1" s="22"/>
      <c r="C1" s="22"/>
      <c r="D1" s="22"/>
      <c r="E1" s="22"/>
      <c r="F1" s="22"/>
      <c r="G1" s="22"/>
      <c r="H1" s="22"/>
      <c r="I1" s="22"/>
      <c r="J1" s="22"/>
      <c r="K1" s="22"/>
      <c r="L1" s="22"/>
      <c r="M1" s="22"/>
      <c r="N1" s="22"/>
      <c r="O1" s="22"/>
      <c r="P1" s="22"/>
      <c r="Q1" s="23"/>
      <c r="R1" s="23"/>
      <c r="S1" s="23"/>
      <c r="T1" s="23"/>
      <c r="U1" s="23"/>
      <c r="V1" s="23"/>
      <c r="W1" s="23"/>
    </row>
    <row r="2" spans="1:23" x14ac:dyDescent="0.3">
      <c r="A2" s="22"/>
      <c r="B2" s="22"/>
      <c r="C2" s="22"/>
      <c r="D2" s="22"/>
      <c r="E2" s="22"/>
      <c r="F2" s="22"/>
      <c r="G2" s="22"/>
      <c r="H2" s="22"/>
      <c r="I2" s="22"/>
      <c r="J2" s="22"/>
      <c r="K2" s="22"/>
      <c r="L2" s="22"/>
      <c r="M2" s="22"/>
      <c r="N2" s="22"/>
      <c r="O2" s="22"/>
      <c r="P2" s="22"/>
      <c r="Q2" s="23"/>
      <c r="R2" s="23"/>
      <c r="S2" s="23"/>
      <c r="T2" s="23"/>
      <c r="U2" s="23"/>
      <c r="V2" s="23"/>
      <c r="W2" s="23"/>
    </row>
    <row r="3" spans="1:23" x14ac:dyDescent="0.3">
      <c r="A3" s="22"/>
      <c r="B3" s="22"/>
      <c r="C3" s="22"/>
      <c r="D3" s="22"/>
      <c r="E3" s="22"/>
      <c r="F3" s="22"/>
      <c r="G3" s="22"/>
      <c r="H3" s="22"/>
      <c r="I3" s="22"/>
      <c r="J3" s="22"/>
      <c r="K3" s="22"/>
      <c r="L3" s="22"/>
      <c r="M3" s="22"/>
      <c r="N3" s="22"/>
      <c r="O3" s="22"/>
      <c r="P3" s="22"/>
      <c r="Q3" s="23"/>
      <c r="R3" s="23"/>
      <c r="S3" s="23"/>
      <c r="T3" s="23"/>
      <c r="U3" s="23"/>
      <c r="V3" s="23"/>
      <c r="W3" s="23"/>
    </row>
    <row r="4" spans="1:23" x14ac:dyDescent="0.3">
      <c r="A4" s="22"/>
      <c r="B4" s="22"/>
      <c r="C4" s="22"/>
      <c r="D4" s="22"/>
      <c r="E4" s="22"/>
      <c r="F4" s="22"/>
      <c r="G4" s="22"/>
      <c r="H4" s="22"/>
      <c r="I4" s="22"/>
      <c r="J4" s="22"/>
      <c r="K4" s="22"/>
      <c r="L4" s="22"/>
      <c r="M4" s="22"/>
      <c r="N4" s="22"/>
      <c r="O4" s="22"/>
      <c r="P4" s="22"/>
      <c r="Q4" s="23"/>
      <c r="R4" s="23"/>
      <c r="S4" s="23"/>
      <c r="T4" s="23"/>
      <c r="U4" s="23"/>
      <c r="V4" s="23"/>
      <c r="W4" s="23"/>
    </row>
    <row r="5" spans="1:23" x14ac:dyDescent="0.3">
      <c r="A5" s="22"/>
      <c r="B5" s="22"/>
      <c r="C5" s="22"/>
      <c r="D5" s="22"/>
      <c r="E5" s="22"/>
      <c r="F5" s="22"/>
      <c r="G5" s="22"/>
      <c r="H5" s="22"/>
      <c r="I5" s="22"/>
      <c r="J5" s="22"/>
      <c r="K5" s="22"/>
      <c r="L5" s="22"/>
      <c r="M5" s="22"/>
      <c r="N5" s="22"/>
      <c r="O5" s="22"/>
      <c r="P5" s="22"/>
      <c r="Q5" s="23"/>
      <c r="R5" s="23"/>
      <c r="S5" s="23"/>
      <c r="T5" s="23"/>
      <c r="U5" s="23"/>
      <c r="V5" s="23"/>
      <c r="W5" s="23"/>
    </row>
    <row r="6" spans="1:23" x14ac:dyDescent="0.3">
      <c r="A6" s="22"/>
      <c r="B6" s="22"/>
      <c r="C6" s="22"/>
      <c r="D6" s="22"/>
      <c r="E6" s="22"/>
      <c r="F6" s="22"/>
      <c r="G6" s="22"/>
      <c r="H6" s="22"/>
      <c r="I6" s="22"/>
      <c r="J6" s="22"/>
      <c r="K6" s="22"/>
      <c r="L6" s="22"/>
      <c r="M6" s="22"/>
      <c r="N6" s="22"/>
      <c r="O6" s="22"/>
      <c r="P6" s="22"/>
      <c r="Q6" s="23"/>
      <c r="R6" s="23"/>
      <c r="S6" s="23"/>
      <c r="T6" s="23"/>
      <c r="U6" s="23"/>
      <c r="V6" s="23"/>
      <c r="W6" s="23"/>
    </row>
    <row r="7" spans="1:23" x14ac:dyDescent="0.3">
      <c r="A7" s="22"/>
      <c r="B7" s="22"/>
      <c r="C7" s="22"/>
      <c r="D7" s="22"/>
      <c r="E7" s="22"/>
      <c r="F7" s="22"/>
      <c r="G7" s="22"/>
      <c r="H7" s="22"/>
      <c r="I7" s="22"/>
      <c r="J7" s="22"/>
      <c r="K7" s="22"/>
      <c r="L7" s="22"/>
      <c r="M7" s="22"/>
      <c r="N7" s="22"/>
      <c r="O7" s="22"/>
      <c r="P7" s="22"/>
      <c r="Q7" s="23"/>
      <c r="R7" s="23"/>
      <c r="S7" s="23"/>
      <c r="T7" s="23"/>
      <c r="U7" s="23"/>
      <c r="V7" s="23"/>
      <c r="W7" s="23"/>
    </row>
    <row r="8" spans="1:23" x14ac:dyDescent="0.3">
      <c r="A8" s="22"/>
      <c r="B8" s="22"/>
      <c r="C8" s="22"/>
      <c r="D8" s="22"/>
      <c r="E8" s="22"/>
      <c r="F8" s="22"/>
      <c r="G8" s="22"/>
      <c r="H8" s="22"/>
      <c r="I8" s="22"/>
      <c r="J8" s="22"/>
      <c r="K8" s="22"/>
      <c r="L8" s="22"/>
      <c r="M8" s="22"/>
      <c r="N8" s="22"/>
      <c r="O8" s="22"/>
      <c r="P8" s="22"/>
      <c r="Q8" s="23"/>
      <c r="R8" s="23"/>
      <c r="S8" s="23"/>
      <c r="T8" s="23"/>
      <c r="U8" s="23"/>
      <c r="V8" s="23"/>
      <c r="W8" s="23"/>
    </row>
    <row r="9" spans="1:23" x14ac:dyDescent="0.3">
      <c r="A9" s="22"/>
      <c r="B9" s="22"/>
      <c r="C9" s="22"/>
      <c r="D9" s="22"/>
      <c r="E9" s="22"/>
      <c r="F9" s="22"/>
      <c r="G9" s="22"/>
      <c r="H9" s="22"/>
      <c r="I9" s="22"/>
      <c r="J9" s="22"/>
      <c r="K9" s="22"/>
      <c r="L9" s="22"/>
      <c r="M9" s="22"/>
      <c r="N9" s="22"/>
      <c r="O9" s="22"/>
      <c r="P9" s="22"/>
      <c r="Q9" s="23"/>
      <c r="R9" s="23"/>
      <c r="S9" s="23"/>
      <c r="T9" s="23"/>
      <c r="U9" s="23"/>
      <c r="V9" s="23"/>
      <c r="W9" s="23"/>
    </row>
    <row r="10" spans="1:23" x14ac:dyDescent="0.3">
      <c r="A10" s="22"/>
      <c r="B10" s="22"/>
      <c r="C10" s="22"/>
      <c r="D10" s="22"/>
      <c r="E10" s="22"/>
      <c r="F10" s="22"/>
      <c r="G10" s="22"/>
      <c r="H10" s="22"/>
      <c r="I10" s="22"/>
      <c r="J10" s="22"/>
      <c r="K10" s="22"/>
      <c r="L10" s="22"/>
      <c r="M10" s="22"/>
      <c r="N10" s="22"/>
      <c r="O10" s="22"/>
      <c r="P10" s="22"/>
      <c r="Q10" s="23"/>
      <c r="R10" s="23"/>
      <c r="S10" s="23"/>
      <c r="T10" s="23"/>
      <c r="U10" s="23"/>
      <c r="V10" s="23"/>
      <c r="W10" s="23"/>
    </row>
    <row r="11" spans="1:23" x14ac:dyDescent="0.3">
      <c r="A11" s="22"/>
      <c r="B11" s="22"/>
      <c r="C11" s="22"/>
      <c r="D11" s="22"/>
      <c r="E11" s="22"/>
      <c r="F11" s="22"/>
      <c r="G11" s="22"/>
      <c r="H11" s="22"/>
      <c r="I11" s="22"/>
      <c r="J11" s="22"/>
      <c r="K11" s="22"/>
      <c r="L11" s="22"/>
      <c r="M11" s="22"/>
      <c r="N11" s="22"/>
      <c r="O11" s="22"/>
      <c r="P11" s="22"/>
      <c r="Q11" s="23"/>
      <c r="R11" s="23"/>
      <c r="S11" s="23"/>
      <c r="T11" s="23"/>
      <c r="U11" s="23"/>
      <c r="V11" s="23"/>
      <c r="W11" s="23"/>
    </row>
    <row r="12" spans="1:23" x14ac:dyDescent="0.3">
      <c r="A12" s="22"/>
      <c r="B12" s="22"/>
      <c r="C12" s="22"/>
      <c r="D12" s="22"/>
      <c r="E12" s="22"/>
      <c r="F12" s="22"/>
      <c r="G12" s="22"/>
      <c r="H12" s="22"/>
      <c r="I12" s="22"/>
      <c r="J12" s="22"/>
      <c r="K12" s="22"/>
      <c r="L12" s="22"/>
      <c r="M12" s="22"/>
      <c r="N12" s="22"/>
      <c r="O12" s="22"/>
      <c r="P12" s="22"/>
      <c r="Q12" s="23"/>
      <c r="R12" s="23"/>
      <c r="S12" s="23"/>
      <c r="T12" s="23"/>
      <c r="U12" s="23"/>
      <c r="V12" s="23"/>
      <c r="W12" s="23"/>
    </row>
    <row r="13" spans="1:23" x14ac:dyDescent="0.3">
      <c r="A13" s="22"/>
      <c r="B13" s="22"/>
      <c r="C13" s="22"/>
      <c r="D13" s="22"/>
      <c r="E13" s="22"/>
      <c r="F13" s="22"/>
      <c r="G13" s="22"/>
      <c r="H13" s="22"/>
      <c r="I13" s="22"/>
      <c r="J13" s="22"/>
      <c r="K13" s="22"/>
      <c r="L13" s="22"/>
      <c r="M13" s="22"/>
      <c r="N13" s="22"/>
      <c r="O13" s="22"/>
      <c r="P13" s="22"/>
      <c r="Q13" s="23"/>
      <c r="R13" s="23"/>
      <c r="S13" s="23"/>
      <c r="T13" s="23"/>
      <c r="U13" s="23"/>
      <c r="V13" s="23"/>
      <c r="W13" s="23"/>
    </row>
    <row r="14" spans="1:23" x14ac:dyDescent="0.3">
      <c r="A14" s="22"/>
      <c r="B14" s="22"/>
      <c r="C14" s="22"/>
      <c r="D14" s="22"/>
      <c r="E14" s="22"/>
      <c r="F14" s="22"/>
      <c r="G14" s="22"/>
      <c r="H14" s="22"/>
      <c r="I14" s="22"/>
      <c r="J14" s="22"/>
      <c r="K14" s="22"/>
      <c r="L14" s="22"/>
      <c r="M14" s="22"/>
      <c r="N14" s="22"/>
      <c r="O14" s="22"/>
      <c r="P14" s="22"/>
      <c r="Q14" s="23"/>
      <c r="R14" s="23"/>
      <c r="S14" s="23"/>
      <c r="T14" s="23"/>
      <c r="U14" s="23"/>
      <c r="V14" s="23"/>
      <c r="W14" s="23"/>
    </row>
    <row r="15" spans="1:23" x14ac:dyDescent="0.3">
      <c r="A15" s="22"/>
      <c r="B15" s="22"/>
      <c r="C15" s="22"/>
      <c r="D15" s="22"/>
      <c r="E15" s="22"/>
      <c r="F15" s="22"/>
      <c r="G15" s="22"/>
      <c r="H15" s="22"/>
      <c r="I15" s="22"/>
      <c r="J15" s="22"/>
      <c r="K15" s="22"/>
      <c r="L15" s="22"/>
      <c r="M15" s="22"/>
      <c r="N15" s="22"/>
      <c r="O15" s="22"/>
      <c r="P15" s="22"/>
      <c r="Q15" s="23"/>
      <c r="R15" s="23"/>
      <c r="S15" s="23"/>
      <c r="T15" s="23"/>
      <c r="U15" s="23"/>
      <c r="V15" s="23"/>
      <c r="W15" s="23"/>
    </row>
    <row r="16" spans="1:23" x14ac:dyDescent="0.3">
      <c r="A16" s="22"/>
      <c r="B16" s="22"/>
      <c r="C16" s="22"/>
      <c r="D16" s="22"/>
      <c r="E16" s="22"/>
      <c r="F16" s="22"/>
      <c r="G16" s="22"/>
      <c r="H16" s="22"/>
      <c r="I16" s="22"/>
      <c r="J16" s="22"/>
      <c r="K16" s="22"/>
      <c r="L16" s="22"/>
      <c r="M16" s="22"/>
      <c r="N16" s="22"/>
      <c r="O16" s="22"/>
      <c r="P16" s="22"/>
      <c r="Q16" s="23"/>
      <c r="R16" s="23"/>
      <c r="S16" s="23"/>
      <c r="T16" s="23"/>
      <c r="U16" s="23"/>
      <c r="V16" s="23"/>
      <c r="W16" s="23"/>
    </row>
    <row r="17" spans="1:23" x14ac:dyDescent="0.3">
      <c r="A17" s="22"/>
      <c r="B17" s="22"/>
      <c r="C17" s="22"/>
      <c r="D17" s="22"/>
      <c r="E17" s="22"/>
      <c r="F17" s="22"/>
      <c r="G17" s="22"/>
      <c r="H17" s="22"/>
      <c r="I17" s="22"/>
      <c r="J17" s="22"/>
      <c r="K17" s="22"/>
      <c r="L17" s="22"/>
      <c r="M17" s="22"/>
      <c r="N17" s="22"/>
      <c r="O17" s="22"/>
      <c r="P17" s="22"/>
      <c r="Q17" s="23"/>
      <c r="R17" s="23"/>
      <c r="S17" s="23"/>
      <c r="T17" s="23"/>
      <c r="U17" s="23"/>
      <c r="V17" s="23"/>
      <c r="W17" s="23"/>
    </row>
    <row r="18" spans="1:23" x14ac:dyDescent="0.3">
      <c r="A18" s="22"/>
      <c r="B18" s="22"/>
      <c r="C18" s="22"/>
      <c r="D18" s="22"/>
      <c r="E18" s="22"/>
      <c r="F18" s="22"/>
      <c r="G18" s="22"/>
      <c r="H18" s="22"/>
      <c r="I18" s="22"/>
      <c r="J18" s="22"/>
      <c r="K18" s="22"/>
      <c r="L18" s="22"/>
      <c r="M18" s="22"/>
      <c r="N18" s="22"/>
      <c r="O18" s="22"/>
      <c r="P18" s="22"/>
      <c r="Q18" s="23"/>
      <c r="R18" s="23"/>
      <c r="S18" s="23"/>
      <c r="T18" s="23"/>
      <c r="U18" s="23"/>
      <c r="V18" s="23"/>
      <c r="W18" s="23"/>
    </row>
    <row r="19" spans="1:23" x14ac:dyDescent="0.3">
      <c r="A19" s="22"/>
      <c r="B19" s="22"/>
      <c r="C19" s="22"/>
      <c r="D19" s="22"/>
      <c r="E19" s="22"/>
      <c r="F19" s="22"/>
      <c r="G19" s="22"/>
      <c r="H19" s="22"/>
      <c r="I19" s="22"/>
      <c r="J19" s="22"/>
      <c r="K19" s="22"/>
      <c r="L19" s="22"/>
      <c r="M19" s="22"/>
      <c r="N19" s="22"/>
      <c r="O19" s="22"/>
      <c r="P19" s="22"/>
      <c r="Q19" s="23"/>
      <c r="R19" s="23"/>
      <c r="S19" s="23"/>
      <c r="T19" s="23"/>
      <c r="U19" s="23"/>
      <c r="V19" s="23"/>
      <c r="W19" s="23"/>
    </row>
    <row r="20" spans="1:23" x14ac:dyDescent="0.3">
      <c r="A20" s="22"/>
      <c r="B20" s="22"/>
      <c r="C20" s="22"/>
      <c r="D20" s="22"/>
      <c r="E20" s="22"/>
      <c r="F20" s="22"/>
      <c r="G20" s="22"/>
      <c r="H20" s="22"/>
      <c r="I20" s="22"/>
      <c r="J20" s="22"/>
      <c r="K20" s="22"/>
      <c r="L20" s="22"/>
      <c r="M20" s="22"/>
      <c r="N20" s="22"/>
      <c r="O20" s="22"/>
      <c r="P20" s="22"/>
      <c r="Q20" s="23"/>
      <c r="R20" s="23"/>
      <c r="S20" s="23"/>
      <c r="T20" s="23"/>
      <c r="U20" s="23"/>
      <c r="V20" s="23"/>
      <c r="W20" s="23"/>
    </row>
    <row r="21" spans="1:23" x14ac:dyDescent="0.3">
      <c r="A21" s="22"/>
      <c r="B21" s="22"/>
      <c r="C21" s="22"/>
      <c r="D21" s="22"/>
      <c r="E21" s="22"/>
      <c r="F21" s="22"/>
      <c r="G21" s="22"/>
      <c r="H21" s="22"/>
      <c r="I21" s="22"/>
      <c r="J21" s="22"/>
      <c r="K21" s="22"/>
      <c r="L21" s="22"/>
      <c r="M21" s="22"/>
      <c r="N21" s="22"/>
      <c r="O21" s="22"/>
      <c r="P21" s="22"/>
      <c r="Q21" s="23"/>
      <c r="R21" s="23"/>
      <c r="S21" s="23"/>
      <c r="T21" s="23"/>
      <c r="U21" s="23"/>
      <c r="V21" s="23"/>
      <c r="W21" s="23"/>
    </row>
    <row r="22" spans="1:23" x14ac:dyDescent="0.3">
      <c r="A22" s="22"/>
      <c r="B22" s="22"/>
      <c r="C22" s="22"/>
      <c r="D22" s="22"/>
      <c r="E22" s="22"/>
      <c r="F22" s="22"/>
      <c r="G22" s="22"/>
      <c r="H22" s="22"/>
      <c r="I22" s="22"/>
      <c r="J22" s="22"/>
      <c r="K22" s="22"/>
      <c r="L22" s="22"/>
      <c r="M22" s="22"/>
      <c r="N22" s="22"/>
      <c r="O22" s="22"/>
      <c r="P22" s="22"/>
      <c r="Q22" s="23"/>
      <c r="R22" s="23"/>
      <c r="S22" s="23"/>
      <c r="T22" s="23"/>
      <c r="U22" s="23"/>
      <c r="V22" s="23"/>
      <c r="W22" s="23"/>
    </row>
    <row r="23" spans="1:23" x14ac:dyDescent="0.3">
      <c r="A23" s="22"/>
      <c r="B23" s="22"/>
      <c r="C23" s="22"/>
      <c r="D23" s="22"/>
      <c r="E23" s="22"/>
      <c r="F23" s="22"/>
      <c r="G23" s="22"/>
      <c r="H23" s="22"/>
      <c r="I23" s="22"/>
      <c r="J23" s="22"/>
      <c r="K23" s="22"/>
      <c r="L23" s="22"/>
      <c r="M23" s="22"/>
      <c r="N23" s="22"/>
      <c r="O23" s="22"/>
      <c r="P23" s="22"/>
      <c r="Q23" s="23"/>
      <c r="R23" s="23"/>
      <c r="S23" s="23"/>
      <c r="T23" s="23"/>
      <c r="U23" s="23"/>
      <c r="V23" s="23"/>
      <c r="W23" s="23"/>
    </row>
    <row r="24" spans="1:23" x14ac:dyDescent="0.3">
      <c r="A24" s="22"/>
      <c r="B24" s="22"/>
      <c r="C24" s="22"/>
      <c r="D24" s="22"/>
      <c r="E24" s="22"/>
      <c r="F24" s="22"/>
      <c r="G24" s="22"/>
      <c r="H24" s="22"/>
      <c r="I24" s="22"/>
      <c r="J24" s="22"/>
      <c r="K24" s="22"/>
      <c r="L24" s="22"/>
      <c r="M24" s="22"/>
      <c r="N24" s="22"/>
      <c r="O24" s="22"/>
      <c r="P24" s="22"/>
      <c r="Q24" s="23"/>
      <c r="R24" s="23"/>
      <c r="S24" s="23"/>
      <c r="T24" s="23"/>
      <c r="U24" s="23"/>
      <c r="V24" s="23"/>
      <c r="W24" s="23"/>
    </row>
    <row r="25" spans="1:23" x14ac:dyDescent="0.3">
      <c r="A25" s="22"/>
      <c r="B25" s="22"/>
      <c r="C25" s="22"/>
      <c r="D25" s="22"/>
      <c r="E25" s="22"/>
      <c r="F25" s="22"/>
      <c r="G25" s="22"/>
      <c r="H25" s="22"/>
      <c r="I25" s="22"/>
      <c r="J25" s="22"/>
      <c r="K25" s="22"/>
      <c r="L25" s="22"/>
      <c r="M25" s="22"/>
      <c r="N25" s="22"/>
      <c r="O25" s="22"/>
      <c r="P25" s="22"/>
      <c r="Q25" s="23"/>
      <c r="R25" s="23"/>
      <c r="S25" s="23"/>
      <c r="T25" s="23"/>
      <c r="U25" s="23"/>
      <c r="V25" s="23"/>
      <c r="W25" s="23"/>
    </row>
    <row r="26" spans="1:23" x14ac:dyDescent="0.3">
      <c r="A26" s="22"/>
      <c r="B26" s="22"/>
      <c r="C26" s="22"/>
      <c r="D26" s="22"/>
      <c r="E26" s="22"/>
      <c r="F26" s="22"/>
      <c r="G26" s="22"/>
      <c r="H26" s="22"/>
      <c r="I26" s="22"/>
      <c r="J26" s="22"/>
      <c r="K26" s="22"/>
      <c r="L26" s="22"/>
      <c r="M26" s="22"/>
      <c r="N26" s="22"/>
      <c r="O26" s="22"/>
      <c r="P26" s="22"/>
      <c r="Q26" s="23"/>
      <c r="R26" s="23"/>
      <c r="S26" s="23"/>
      <c r="T26" s="23"/>
      <c r="U26" s="23"/>
      <c r="V26" s="23"/>
      <c r="W26" s="23"/>
    </row>
    <row r="27" spans="1:23" x14ac:dyDescent="0.3">
      <c r="A27" s="22"/>
      <c r="B27" s="22"/>
      <c r="C27" s="22"/>
      <c r="D27" s="22"/>
      <c r="E27" s="22"/>
      <c r="F27" s="22"/>
      <c r="G27" s="22"/>
      <c r="H27" s="22"/>
      <c r="I27" s="22"/>
      <c r="J27" s="22"/>
      <c r="K27" s="22"/>
      <c r="L27" s="22"/>
      <c r="M27" s="22"/>
      <c r="N27" s="22"/>
      <c r="O27" s="22"/>
      <c r="P27" s="22"/>
      <c r="Q27" s="23"/>
      <c r="R27" s="23"/>
      <c r="S27" s="23"/>
      <c r="T27" s="23"/>
      <c r="U27" s="23"/>
      <c r="V27" s="23"/>
      <c r="W27" s="23"/>
    </row>
    <row r="28" spans="1:23" x14ac:dyDescent="0.3">
      <c r="A28" s="22"/>
      <c r="B28" s="22"/>
      <c r="C28" s="22"/>
      <c r="D28" s="22"/>
      <c r="E28" s="22"/>
      <c r="F28" s="22"/>
      <c r="G28" s="22"/>
      <c r="H28" s="22"/>
      <c r="I28" s="22"/>
      <c r="J28" s="22"/>
      <c r="K28" s="22"/>
      <c r="L28" s="22"/>
      <c r="M28" s="22"/>
      <c r="N28" s="22"/>
      <c r="O28" s="22"/>
      <c r="P28" s="22"/>
      <c r="Q28" s="23"/>
      <c r="R28" s="23"/>
      <c r="S28" s="23"/>
      <c r="T28" s="23"/>
      <c r="U28" s="23"/>
      <c r="V28" s="23"/>
      <c r="W28" s="23"/>
    </row>
    <row r="29" spans="1:23" x14ac:dyDescent="0.3">
      <c r="A29" s="22"/>
      <c r="B29" s="22"/>
      <c r="C29" s="22"/>
      <c r="D29" s="22"/>
      <c r="E29" s="22"/>
      <c r="F29" s="22"/>
      <c r="G29" s="22"/>
      <c r="H29" s="22"/>
      <c r="I29" s="22"/>
      <c r="J29" s="22"/>
      <c r="K29" s="22"/>
      <c r="L29" s="22"/>
      <c r="M29" s="22"/>
      <c r="N29" s="22"/>
      <c r="O29" s="22"/>
      <c r="P29" s="22"/>
      <c r="Q29" s="23"/>
      <c r="R29" s="23"/>
      <c r="S29" s="23"/>
      <c r="T29" s="23"/>
      <c r="U29" s="23"/>
      <c r="V29" s="23"/>
      <c r="W29" s="23"/>
    </row>
    <row r="30" spans="1:23" x14ac:dyDescent="0.3">
      <c r="A30" s="22"/>
      <c r="B30" s="22"/>
      <c r="C30" s="22"/>
      <c r="D30" s="22"/>
      <c r="E30" s="22"/>
      <c r="F30" s="22"/>
      <c r="G30" s="22"/>
      <c r="H30" s="22"/>
      <c r="I30" s="22"/>
      <c r="J30" s="22"/>
      <c r="K30" s="22"/>
      <c r="L30" s="22"/>
      <c r="M30" s="22"/>
      <c r="N30" s="22"/>
      <c r="O30" s="22"/>
      <c r="P30" s="22"/>
      <c r="Q30" s="23"/>
      <c r="R30" s="23"/>
      <c r="S30" s="23"/>
      <c r="T30" s="23"/>
      <c r="U30" s="23"/>
      <c r="V30" s="23"/>
      <c r="W30" s="23"/>
    </row>
    <row r="31" spans="1:23" x14ac:dyDescent="0.3">
      <c r="A31" s="22"/>
      <c r="B31" s="22"/>
      <c r="C31" s="22"/>
      <c r="D31" s="22"/>
      <c r="E31" s="22"/>
      <c r="F31" s="22"/>
      <c r="G31" s="22"/>
      <c r="H31" s="22"/>
      <c r="I31" s="22"/>
      <c r="J31" s="22"/>
      <c r="K31" s="22"/>
      <c r="L31" s="22"/>
      <c r="M31" s="22"/>
      <c r="N31" s="22"/>
      <c r="O31" s="22"/>
      <c r="P31" s="22"/>
      <c r="Q31" s="23"/>
      <c r="R31" s="23"/>
      <c r="S31" s="23"/>
      <c r="T31" s="23"/>
      <c r="U31" s="23"/>
      <c r="V31" s="23"/>
      <c r="W31" s="23"/>
    </row>
    <row r="32" spans="1:23" x14ac:dyDescent="0.3">
      <c r="A32" s="22"/>
      <c r="B32" s="22"/>
      <c r="C32" s="22"/>
      <c r="D32" s="22"/>
      <c r="E32" s="22"/>
      <c r="F32" s="22"/>
      <c r="G32" s="22"/>
      <c r="H32" s="22"/>
      <c r="I32" s="22"/>
      <c r="J32" s="22"/>
      <c r="K32" s="22"/>
      <c r="L32" s="22"/>
      <c r="M32" s="22"/>
      <c r="N32" s="22"/>
      <c r="O32" s="22"/>
      <c r="P32" s="22"/>
      <c r="Q32" s="23"/>
      <c r="R32" s="23"/>
      <c r="S32" s="23"/>
      <c r="T32" s="23"/>
      <c r="U32" s="23"/>
      <c r="V32" s="23"/>
      <c r="W32" s="23"/>
    </row>
    <row r="33" spans="1:23" x14ac:dyDescent="0.3">
      <c r="A33" s="22"/>
      <c r="B33" s="22"/>
      <c r="C33" s="22"/>
      <c r="D33" s="22"/>
      <c r="E33" s="22"/>
      <c r="F33" s="22"/>
      <c r="G33" s="22"/>
      <c r="H33" s="22"/>
      <c r="I33" s="22"/>
      <c r="J33" s="22"/>
      <c r="K33" s="22"/>
      <c r="L33" s="22"/>
      <c r="M33" s="22"/>
      <c r="N33" s="22"/>
      <c r="O33" s="22"/>
      <c r="P33" s="22"/>
      <c r="Q33" s="23"/>
      <c r="R33" s="23"/>
      <c r="S33" s="23"/>
      <c r="T33" s="23"/>
      <c r="U33" s="23"/>
      <c r="V33" s="23"/>
      <c r="W33" s="23"/>
    </row>
    <row r="34" spans="1:23" x14ac:dyDescent="0.3">
      <c r="A34" s="22"/>
      <c r="B34" s="22"/>
      <c r="C34" s="22"/>
      <c r="D34" s="22"/>
      <c r="E34" s="22"/>
      <c r="F34" s="22"/>
      <c r="G34" s="22"/>
      <c r="H34" s="22"/>
      <c r="I34" s="22"/>
      <c r="J34" s="22"/>
      <c r="K34" s="22"/>
      <c r="L34" s="22"/>
      <c r="M34" s="22"/>
      <c r="N34" s="22"/>
      <c r="O34" s="22"/>
      <c r="P34" s="22"/>
      <c r="Q34" s="23"/>
      <c r="R34" s="23"/>
      <c r="S34" s="23"/>
      <c r="T34" s="23"/>
      <c r="U34" s="23"/>
      <c r="V34" s="23"/>
      <c r="W34" s="23"/>
    </row>
    <row r="35" spans="1:23" x14ac:dyDescent="0.3">
      <c r="A35" s="22"/>
      <c r="B35" s="22"/>
      <c r="C35" s="22"/>
      <c r="D35" s="22"/>
      <c r="E35" s="22"/>
      <c r="F35" s="22"/>
      <c r="G35" s="22"/>
      <c r="H35" s="22"/>
      <c r="I35" s="22"/>
      <c r="J35" s="22"/>
      <c r="K35" s="22"/>
      <c r="L35" s="22"/>
      <c r="M35" s="22"/>
      <c r="N35" s="22"/>
      <c r="O35" s="22"/>
      <c r="P35" s="22"/>
      <c r="Q35" s="23"/>
      <c r="R35" s="23"/>
      <c r="S35" s="23"/>
      <c r="T35" s="23"/>
      <c r="U35" s="23"/>
      <c r="V35" s="23"/>
      <c r="W35" s="23"/>
    </row>
    <row r="36" spans="1:23" x14ac:dyDescent="0.3">
      <c r="A36" s="22"/>
      <c r="B36" s="22"/>
      <c r="C36" s="22"/>
      <c r="D36" s="22"/>
      <c r="E36" s="22"/>
      <c r="F36" s="22"/>
      <c r="G36" s="22"/>
      <c r="H36" s="22"/>
      <c r="I36" s="22"/>
      <c r="J36" s="22"/>
      <c r="K36" s="22"/>
      <c r="L36" s="22"/>
      <c r="M36" s="22"/>
      <c r="N36" s="22"/>
      <c r="O36" s="22"/>
      <c r="P36" s="22"/>
      <c r="Q36" s="23"/>
      <c r="R36" s="23"/>
      <c r="S36" s="23"/>
      <c r="T36" s="23"/>
      <c r="U36" s="23"/>
      <c r="V36" s="23"/>
      <c r="W36" s="23"/>
    </row>
    <row r="37" spans="1:23" x14ac:dyDescent="0.3">
      <c r="A37" s="22"/>
      <c r="B37" s="22"/>
      <c r="C37" s="22"/>
      <c r="D37" s="22"/>
      <c r="E37" s="22"/>
      <c r="F37" s="22"/>
      <c r="G37" s="22"/>
      <c r="H37" s="22"/>
      <c r="I37" s="22"/>
      <c r="J37" s="22"/>
      <c r="K37" s="22"/>
      <c r="L37" s="22"/>
      <c r="M37" s="22"/>
      <c r="N37" s="22"/>
      <c r="O37" s="22"/>
      <c r="P37" s="22"/>
      <c r="Q37" s="23"/>
      <c r="R37" s="23"/>
      <c r="S37" s="23"/>
      <c r="T37" s="23"/>
      <c r="U37" s="23"/>
      <c r="V37" s="23"/>
      <c r="W37" s="23"/>
    </row>
    <row r="38" spans="1:23" x14ac:dyDescent="0.3">
      <c r="A38" s="22"/>
      <c r="B38" s="22"/>
      <c r="C38" s="22"/>
      <c r="D38" s="22"/>
      <c r="E38" s="22"/>
      <c r="F38" s="22"/>
      <c r="G38" s="22"/>
      <c r="H38" s="22"/>
      <c r="I38" s="22"/>
      <c r="J38" s="22"/>
      <c r="K38" s="22"/>
      <c r="L38" s="22"/>
      <c r="M38" s="22"/>
      <c r="N38" s="22"/>
      <c r="O38" s="22"/>
      <c r="P38" s="22"/>
      <c r="Q38" s="23"/>
      <c r="R38" s="23"/>
      <c r="S38" s="23"/>
      <c r="T38" s="23"/>
      <c r="U38" s="23"/>
      <c r="V38" s="23"/>
      <c r="W38" s="23"/>
    </row>
    <row r="39" spans="1:23" x14ac:dyDescent="0.3">
      <c r="A39" s="22"/>
      <c r="B39" s="22"/>
      <c r="C39" s="22"/>
      <c r="D39" s="22"/>
      <c r="E39" s="22"/>
      <c r="F39" s="22"/>
      <c r="G39" s="22"/>
      <c r="H39" s="22"/>
      <c r="I39" s="22"/>
      <c r="J39" s="22"/>
      <c r="K39" s="22"/>
      <c r="L39" s="22"/>
      <c r="M39" s="22"/>
      <c r="N39" s="22"/>
      <c r="O39" s="22"/>
      <c r="P39" s="22"/>
      <c r="Q39" s="23"/>
      <c r="R39" s="23"/>
      <c r="S39" s="23"/>
      <c r="T39" s="23"/>
      <c r="U39" s="23"/>
      <c r="V39" s="23"/>
      <c r="W39" s="23"/>
    </row>
    <row r="40" spans="1:23" x14ac:dyDescent="0.3">
      <c r="A40" s="22"/>
      <c r="B40" s="22"/>
      <c r="C40" s="22"/>
      <c r="D40" s="22"/>
      <c r="E40" s="22"/>
      <c r="F40" s="22"/>
      <c r="G40" s="22"/>
      <c r="H40" s="22"/>
      <c r="I40" s="22"/>
      <c r="J40" s="22"/>
      <c r="K40" s="22"/>
      <c r="L40" s="22"/>
      <c r="M40" s="22"/>
      <c r="N40" s="22"/>
      <c r="O40" s="22"/>
      <c r="P40" s="22"/>
      <c r="Q40" s="23"/>
      <c r="R40" s="23"/>
      <c r="S40" s="23"/>
      <c r="T40" s="23"/>
      <c r="U40" s="23"/>
      <c r="V40" s="23"/>
      <c r="W40" s="23"/>
    </row>
    <row r="41" spans="1:23" x14ac:dyDescent="0.3">
      <c r="A41" s="22"/>
      <c r="B41" s="22"/>
      <c r="C41" s="22"/>
      <c r="D41" s="22"/>
      <c r="E41" s="22"/>
      <c r="F41" s="22"/>
      <c r="G41" s="22"/>
      <c r="H41" s="22"/>
      <c r="I41" s="22"/>
      <c r="J41" s="22"/>
      <c r="K41" s="22"/>
      <c r="L41" s="22"/>
      <c r="M41" s="22"/>
      <c r="N41" s="22"/>
      <c r="O41" s="22"/>
      <c r="P41" s="22"/>
      <c r="Q41" s="23"/>
      <c r="R41" s="23"/>
      <c r="S41" s="23"/>
      <c r="T41" s="23"/>
      <c r="U41" s="23"/>
      <c r="V41" s="23"/>
      <c r="W41" s="23"/>
    </row>
    <row r="42" spans="1:23" x14ac:dyDescent="0.3">
      <c r="A42" s="22"/>
      <c r="B42" s="22"/>
      <c r="C42" s="22"/>
      <c r="D42" s="22"/>
      <c r="E42" s="22"/>
      <c r="F42" s="22"/>
      <c r="G42" s="22"/>
      <c r="H42" s="22"/>
      <c r="I42" s="22"/>
      <c r="J42" s="22"/>
      <c r="K42" s="22"/>
      <c r="L42" s="22"/>
      <c r="M42" s="22"/>
      <c r="N42" s="22"/>
      <c r="O42" s="22"/>
      <c r="P42" s="22"/>
      <c r="Q42" s="23"/>
      <c r="R42" s="23"/>
      <c r="S42" s="23"/>
      <c r="T42" s="23"/>
      <c r="U42" s="23"/>
      <c r="V42" s="23"/>
      <c r="W42" s="23"/>
    </row>
    <row r="43" spans="1:23" x14ac:dyDescent="0.3">
      <c r="A43" s="22"/>
      <c r="B43" s="22"/>
      <c r="C43" s="22"/>
      <c r="D43" s="22"/>
      <c r="E43" s="22"/>
      <c r="F43" s="22"/>
      <c r="G43" s="22"/>
      <c r="H43" s="22"/>
      <c r="I43" s="22"/>
      <c r="J43" s="22"/>
      <c r="K43" s="22"/>
      <c r="L43" s="22"/>
      <c r="M43" s="22"/>
      <c r="N43" s="22"/>
      <c r="O43" s="22"/>
      <c r="P43" s="22"/>
      <c r="Q43" s="23"/>
      <c r="R43" s="23"/>
      <c r="S43" s="23"/>
      <c r="T43" s="23"/>
      <c r="U43" s="23"/>
      <c r="V43" s="23"/>
      <c r="W43" s="23"/>
    </row>
    <row r="44" spans="1:23" x14ac:dyDescent="0.3">
      <c r="A44" s="22"/>
      <c r="B44" s="22"/>
      <c r="C44" s="22"/>
      <c r="D44" s="22"/>
      <c r="E44" s="22"/>
      <c r="F44" s="22"/>
      <c r="G44" s="22"/>
      <c r="H44" s="22"/>
      <c r="I44" s="22"/>
      <c r="J44" s="22"/>
      <c r="K44" s="22"/>
      <c r="L44" s="22"/>
      <c r="M44" s="22"/>
      <c r="N44" s="22"/>
      <c r="O44" s="22"/>
      <c r="P44" s="22"/>
      <c r="Q44" s="23"/>
      <c r="R44" s="23"/>
      <c r="S44" s="23"/>
      <c r="T44" s="23"/>
      <c r="U44" s="23"/>
      <c r="V44" s="23"/>
      <c r="W44" s="23"/>
    </row>
    <row r="45" spans="1:23" x14ac:dyDescent="0.3">
      <c r="A45" s="22"/>
      <c r="B45" s="22"/>
      <c r="C45" s="22"/>
      <c r="D45" s="22"/>
      <c r="E45" s="22"/>
      <c r="F45" s="22"/>
      <c r="G45" s="22"/>
      <c r="H45" s="22"/>
      <c r="I45" s="22"/>
      <c r="J45" s="22"/>
      <c r="K45" s="22"/>
      <c r="L45" s="22"/>
      <c r="M45" s="22"/>
      <c r="N45" s="22"/>
      <c r="O45" s="22"/>
      <c r="P45" s="22"/>
      <c r="Q45" s="23"/>
      <c r="R45" s="23"/>
      <c r="S45" s="23"/>
      <c r="T45" s="23"/>
      <c r="U45" s="23"/>
      <c r="V45" s="23"/>
      <c r="W45" s="23"/>
    </row>
    <row r="46" spans="1:23" x14ac:dyDescent="0.3">
      <c r="A46" s="22"/>
      <c r="B46" s="22"/>
      <c r="C46" s="22"/>
      <c r="D46" s="22"/>
      <c r="E46" s="22"/>
      <c r="F46" s="22"/>
      <c r="G46" s="22"/>
      <c r="H46" s="22"/>
      <c r="I46" s="22"/>
      <c r="J46" s="22"/>
      <c r="K46" s="22"/>
      <c r="L46" s="22"/>
      <c r="M46" s="22"/>
      <c r="N46" s="22"/>
      <c r="O46" s="22"/>
      <c r="P46" s="22"/>
      <c r="Q46" s="23"/>
      <c r="R46" s="23"/>
      <c r="S46" s="23"/>
      <c r="T46" s="23"/>
      <c r="U46" s="23"/>
      <c r="V46" s="23"/>
      <c r="W46"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61CE3-F25D-400C-A319-B6D992D8BA5E}">
  <dimension ref="A1:A24"/>
  <sheetViews>
    <sheetView workbookViewId="0">
      <selection activeCell="G15" sqref="G15"/>
    </sheetView>
  </sheetViews>
  <sheetFormatPr defaultRowHeight="14.4" x14ac:dyDescent="0.3"/>
  <sheetData>
    <row r="1" spans="1:1" x14ac:dyDescent="0.3">
      <c r="A1" s="15" t="s">
        <v>1510</v>
      </c>
    </row>
    <row r="2" spans="1:1" x14ac:dyDescent="0.3">
      <c r="A2" t="s">
        <v>1511</v>
      </c>
    </row>
    <row r="3" spans="1:1" x14ac:dyDescent="0.3">
      <c r="A3" t="s">
        <v>1519</v>
      </c>
    </row>
    <row r="5" spans="1:1" x14ac:dyDescent="0.3">
      <c r="A5" t="s">
        <v>1512</v>
      </c>
    </row>
    <row r="6" spans="1:1" x14ac:dyDescent="0.3">
      <c r="A6" t="s">
        <v>1520</v>
      </c>
    </row>
    <row r="8" spans="1:1" x14ac:dyDescent="0.3">
      <c r="A8" t="s">
        <v>1513</v>
      </c>
    </row>
    <row r="9" spans="1:1" x14ac:dyDescent="0.3">
      <c r="A9" t="s">
        <v>1521</v>
      </c>
    </row>
    <row r="11" spans="1:1" x14ac:dyDescent="0.3">
      <c r="A11" t="s">
        <v>1514</v>
      </c>
    </row>
    <row r="12" spans="1:1" x14ac:dyDescent="0.3">
      <c r="A12" t="s">
        <v>1522</v>
      </c>
    </row>
    <row r="14" spans="1:1" x14ac:dyDescent="0.3">
      <c r="A14" t="s">
        <v>1515</v>
      </c>
    </row>
    <row r="15" spans="1:1" x14ac:dyDescent="0.3">
      <c r="A15" t="s">
        <v>1523</v>
      </c>
    </row>
    <row r="17" spans="1:1" x14ac:dyDescent="0.3">
      <c r="A17" t="s">
        <v>1516</v>
      </c>
    </row>
    <row r="18" spans="1:1" x14ac:dyDescent="0.3">
      <c r="A18" t="s">
        <v>1524</v>
      </c>
    </row>
    <row r="20" spans="1:1" x14ac:dyDescent="0.3">
      <c r="A20" t="s">
        <v>1517</v>
      </c>
    </row>
    <row r="21" spans="1:1" x14ac:dyDescent="0.3">
      <c r="A21" t="s">
        <v>1525</v>
      </c>
    </row>
    <row r="23" spans="1:1" x14ac:dyDescent="0.3">
      <c r="A23" t="s">
        <v>1518</v>
      </c>
    </row>
    <row r="24" spans="1:1" x14ac:dyDescent="0.3">
      <c r="A24" t="s">
        <v>1526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Working Sheet</vt:lpstr>
      <vt:lpstr>Brief</vt:lpstr>
      <vt:lpstr>Cleaning Documentation</vt:lpstr>
      <vt:lpstr>CountryFirstMonth</vt:lpstr>
      <vt:lpstr>ABC Classification</vt:lpstr>
      <vt:lpstr>SalespersonProdPivot</vt:lpstr>
      <vt:lpstr>Salesperson</vt:lpstr>
      <vt:lpstr>Cannibalization</vt:lpstr>
      <vt:lpstr>MeetingTarget</vt:lpstr>
      <vt:lpstr>PriceCompliance</vt:lpstr>
      <vt:lpstr>WhatIf</vt:lpstr>
      <vt:lpstr>Scenario_Results</vt:lpstr>
      <vt:lpstr>PivotTables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Mary Ngure</cp:lastModifiedBy>
  <dcterms:created xsi:type="dcterms:W3CDTF">2025-09-28T10:49:35Z</dcterms:created>
  <dcterms:modified xsi:type="dcterms:W3CDTF">2026-06-24T12:54:36Z</dcterms:modified>
</cp:coreProperties>
</file>